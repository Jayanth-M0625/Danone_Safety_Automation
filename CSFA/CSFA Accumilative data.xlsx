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pivotTables/pivotTable2.xml" ContentType="application/vnd.openxmlformats-officedocument.spreadsheetml.pivotTable+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harts/chart2.xml" ContentType="application/vnd.openxmlformats-officedocument.drawingml.chart+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pivotTables/pivotTable4.xml" ContentType="application/vnd.openxmlformats-officedocument.spreadsheetml.pivotTable+xml"/>
  <Override PartName="/xl/pivotTables/pivotTable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166925"/>
  <mc:AlternateContent xmlns:mc="http://schemas.openxmlformats.org/markup-compatibility/2006">
    <mc:Choice Requires="x15">
      <x15ac:absPath xmlns:x15ac="http://schemas.microsoft.com/office/spreadsheetml/2010/11/ac" url="D:\IITK pdfs\Acads\Intern stuff\Danone\Pojects Projects\Safety automation\Dashboards\CSFA\"/>
    </mc:Choice>
  </mc:AlternateContent>
  <xr:revisionPtr revIDLastSave="0" documentId="13_ncr:1_{5F1CE791-E0FA-4EC2-816D-622216453E57}" xr6:coauthVersionLast="47" xr6:coauthVersionMax="47" xr10:uidLastSave="{00000000-0000-0000-0000-000000000000}"/>
  <bookViews>
    <workbookView xWindow="-108" yWindow="-108" windowWidth="23256" windowHeight="13176" firstSheet="1" activeTab="1" xr2:uid="{00000000-000D-0000-FFFF-FFFF00000000}"/>
  </bookViews>
  <sheets>
    <sheet name="Sheet1" sheetId="1" r:id="rId1"/>
    <sheet name="CSFA Accumilative data" sheetId="2" r:id="rId2"/>
    <sheet name="Severity info" sheetId="3" r:id="rId3"/>
    <sheet name="Sheet3" sheetId="4" r:id="rId4"/>
    <sheet name="Sheet4" sheetId="5" r:id="rId5"/>
    <sheet name="Sheet5" sheetId="6" r:id="rId6"/>
  </sheets>
  <definedNames>
    <definedName name="_xlnm._FilterDatabase" localSheetId="1" hidden="1">'CSFA Accumilative data'!$A$1:$S$655</definedName>
    <definedName name="_xlnm._FilterDatabase" localSheetId="5" hidden="1">Sheet5!$S$3:$T$19</definedName>
  </definedNames>
  <calcPr calcId="191029"/>
  <pivotCaches>
    <pivotCache cacheId="0" r:id="rId7"/>
    <pivotCache cacheId="1" r:id="rId8"/>
    <pivotCache cacheId="2" r:id="rId9"/>
    <pivotCache cacheId="3" r:id="rId10"/>
  </pivotCaches>
</workbook>
</file>

<file path=xl/calcChain.xml><?xml version="1.0" encoding="utf-8"?>
<calcChain xmlns="http://schemas.openxmlformats.org/spreadsheetml/2006/main">
  <c r="A540" i="2" l="1"/>
  <c r="A541" i="2" s="1"/>
  <c r="A542" i="2" s="1"/>
  <c r="A543" i="2" s="1"/>
  <c r="A544" i="2" s="1"/>
  <c r="A545" i="2" s="1"/>
  <c r="A546" i="2" s="1"/>
  <c r="A547" i="2" s="1"/>
  <c r="A548" i="2" s="1"/>
  <c r="A549" i="2" s="1"/>
  <c r="A550" i="2" s="1"/>
  <c r="A551" i="2" s="1"/>
  <c r="A552" i="2" s="1"/>
  <c r="A553" i="2" s="1"/>
  <c r="A554" i="2" s="1"/>
  <c r="A555" i="2" s="1"/>
  <c r="A556" i="2" s="1"/>
  <c r="A557" i="2" s="1"/>
  <c r="A558" i="2" s="1"/>
  <c r="A559" i="2" s="1"/>
  <c r="A560" i="2" s="1"/>
  <c r="A561" i="2" s="1"/>
  <c r="A562" i="2" s="1"/>
  <c r="A563" i="2" s="1"/>
  <c r="A564" i="2" s="1"/>
  <c r="A565" i="2" s="1"/>
  <c r="A566" i="2" s="1"/>
  <c r="A567" i="2" s="1"/>
  <c r="A568" i="2" s="1"/>
  <c r="A569" i="2" s="1"/>
  <c r="A570" i="2" s="1"/>
  <c r="A571" i="2" s="1"/>
  <c r="A572" i="2" s="1"/>
  <c r="A573" i="2" s="1"/>
  <c r="A574" i="2" s="1"/>
  <c r="A575" i="2" s="1"/>
  <c r="A576" i="2" s="1"/>
  <c r="A577" i="2" s="1"/>
  <c r="A578" i="2" s="1"/>
  <c r="A579" i="2" s="1"/>
  <c r="A580" i="2" s="1"/>
  <c r="A581" i="2" s="1"/>
  <c r="A582" i="2" s="1"/>
  <c r="A583" i="2" s="1"/>
  <c r="A584" i="2" s="1"/>
  <c r="A585" i="2" s="1"/>
  <c r="A586" i="2" s="1"/>
  <c r="A587" i="2" s="1"/>
  <c r="A588" i="2" s="1"/>
  <c r="A589" i="2" s="1"/>
  <c r="A590" i="2" s="1"/>
  <c r="A591" i="2" s="1"/>
  <c r="A592" i="2" s="1"/>
  <c r="A593" i="2" s="1"/>
  <c r="A594" i="2" s="1"/>
  <c r="A595" i="2" s="1"/>
  <c r="A596" i="2" s="1"/>
  <c r="A597" i="2" s="1"/>
  <c r="A598" i="2" s="1"/>
  <c r="A599" i="2" s="1"/>
  <c r="A600" i="2" s="1"/>
  <c r="A601" i="2" s="1"/>
  <c r="A602" i="2" s="1"/>
  <c r="A603" i="2" s="1"/>
  <c r="A604" i="2" s="1"/>
  <c r="A605" i="2" s="1"/>
  <c r="A606" i="2" s="1"/>
  <c r="A607" i="2" s="1"/>
  <c r="A608" i="2" s="1"/>
  <c r="A609" i="2" s="1"/>
  <c r="A610" i="2" s="1"/>
  <c r="A611" i="2" s="1"/>
  <c r="A612" i="2" s="1"/>
  <c r="A613" i="2" s="1"/>
  <c r="A614" i="2" s="1"/>
  <c r="A615" i="2" s="1"/>
  <c r="A616" i="2" s="1"/>
  <c r="A617" i="2" s="1"/>
  <c r="A618" i="2" s="1"/>
  <c r="A619" i="2" s="1"/>
  <c r="A620" i="2" s="1"/>
  <c r="A621" i="2" s="1"/>
  <c r="A622" i="2" s="1"/>
  <c r="A623" i="2" s="1"/>
  <c r="A624" i="2" s="1"/>
  <c r="A625" i="2" s="1"/>
  <c r="A626" i="2" s="1"/>
  <c r="A627" i="2" s="1"/>
  <c r="A628" i="2" s="1"/>
  <c r="A629" i="2" s="1"/>
  <c r="A630" i="2" s="1"/>
  <c r="A631" i="2" s="1"/>
  <c r="A632" i="2" s="1"/>
  <c r="A633" i="2" s="1"/>
  <c r="A634" i="2" s="1"/>
  <c r="A635" i="2" s="1"/>
  <c r="A636" i="2" s="1"/>
  <c r="A637" i="2" s="1"/>
  <c r="A638" i="2" s="1"/>
  <c r="A639" i="2" s="1"/>
  <c r="A640" i="2" s="1"/>
  <c r="A641" i="2" s="1"/>
  <c r="A642" i="2" s="1"/>
  <c r="A643" i="2" s="1"/>
  <c r="A644" i="2" s="1"/>
  <c r="A645" i="2" s="1"/>
  <c r="A646" i="2" s="1"/>
  <c r="A647" i="2" s="1"/>
  <c r="A648" i="2" s="1"/>
  <c r="A649" i="2" s="1"/>
  <c r="A650" i="2" s="1"/>
  <c r="A651" i="2" s="1"/>
  <c r="A652" i="2" s="1"/>
  <c r="A653" i="2" s="1"/>
  <c r="A654" i="2" s="1"/>
  <c r="A655" i="2" s="1"/>
  <c r="J459" i="2"/>
  <c r="J458" i="2"/>
  <c r="J457" i="2"/>
  <c r="J456" i="2"/>
  <c r="J455" i="2"/>
  <c r="J454" i="2"/>
  <c r="J453" i="2"/>
  <c r="J452" i="2"/>
  <c r="J451" i="2"/>
  <c r="J450" i="2"/>
  <c r="J449" i="2"/>
  <c r="J448" i="2"/>
  <c r="J447" i="2"/>
  <c r="J446" i="2"/>
  <c r="J445" i="2"/>
  <c r="J444" i="2"/>
  <c r="J443" i="2"/>
  <c r="J442" i="2"/>
  <c r="J441" i="2"/>
  <c r="J440" i="2"/>
  <c r="J439" i="2"/>
  <c r="J438" i="2"/>
  <c r="J437" i="2"/>
  <c r="J436" i="2"/>
  <c r="J435" i="2"/>
  <c r="J434" i="2"/>
  <c r="J433" i="2"/>
  <c r="J432" i="2"/>
  <c r="J431" i="2"/>
  <c r="J430" i="2"/>
  <c r="J429" i="2"/>
  <c r="J428" i="2"/>
  <c r="J427" i="2"/>
  <c r="J426" i="2"/>
  <c r="J425" i="2"/>
  <c r="J424" i="2"/>
  <c r="J423" i="2"/>
  <c r="J422" i="2"/>
  <c r="J421" i="2"/>
  <c r="J420" i="2"/>
  <c r="J419" i="2"/>
  <c r="J418" i="2"/>
  <c r="J417" i="2"/>
  <c r="J416" i="2"/>
  <c r="J415" i="2"/>
  <c r="J414" i="2"/>
  <c r="J413" i="2"/>
  <c r="J412" i="2"/>
  <c r="J411" i="2"/>
  <c r="J410" i="2"/>
  <c r="J409" i="2"/>
  <c r="J408" i="2"/>
  <c r="J407" i="2"/>
  <c r="J406" i="2"/>
  <c r="J405" i="2"/>
  <c r="J404" i="2"/>
  <c r="J403" i="2"/>
  <c r="J402" i="2"/>
  <c r="J401" i="2"/>
  <c r="J400" i="2"/>
  <c r="J399" i="2"/>
  <c r="J398" i="2"/>
  <c r="J397" i="2"/>
  <c r="J396" i="2"/>
  <c r="J395" i="2"/>
  <c r="J394" i="2"/>
  <c r="J393" i="2"/>
  <c r="J392" i="2"/>
  <c r="J391" i="2"/>
  <c r="J390" i="2"/>
  <c r="J389" i="2"/>
  <c r="J388" i="2"/>
  <c r="J387" i="2"/>
  <c r="J386" i="2"/>
  <c r="J385" i="2"/>
  <c r="J384" i="2"/>
  <c r="J383" i="2"/>
  <c r="J382" i="2"/>
  <c r="J381" i="2"/>
  <c r="J380" i="2"/>
  <c r="J379" i="2"/>
  <c r="J378" i="2"/>
  <c r="J377" i="2"/>
  <c r="J376" i="2"/>
  <c r="J375" i="2"/>
  <c r="J374" i="2"/>
  <c r="J373" i="2"/>
  <c r="J372" i="2"/>
  <c r="J371" i="2"/>
  <c r="J370" i="2"/>
  <c r="J369" i="2"/>
  <c r="J368" i="2"/>
  <c r="V367" i="2"/>
  <c r="J367" i="2"/>
  <c r="J366" i="2"/>
  <c r="J365" i="2"/>
  <c r="V364" i="2"/>
  <c r="J364" i="2"/>
  <c r="J363" i="2"/>
  <c r="J362" i="2"/>
  <c r="J361" i="2"/>
  <c r="J360" i="2"/>
  <c r="J359" i="2"/>
  <c r="V358" i="2"/>
  <c r="J358" i="2"/>
  <c r="V357" i="2"/>
  <c r="J357" i="2"/>
  <c r="V356" i="2"/>
  <c r="J356" i="2"/>
  <c r="J355" i="2"/>
  <c r="V354" i="2"/>
  <c r="J354" i="2"/>
  <c r="J353" i="2"/>
  <c r="J352" i="2"/>
  <c r="J351" i="2"/>
  <c r="J350" i="2"/>
  <c r="J349" i="2"/>
  <c r="J348" i="2"/>
  <c r="J347" i="2"/>
  <c r="J346" i="2"/>
  <c r="J345" i="2"/>
  <c r="J344" i="2"/>
  <c r="J343" i="2"/>
  <c r="J342" i="2"/>
  <c r="V341" i="2"/>
  <c r="J341" i="2"/>
  <c r="J340" i="2"/>
  <c r="J339" i="2"/>
  <c r="J331" i="2"/>
  <c r="J330" i="2"/>
  <c r="J329" i="2"/>
  <c r="J328" i="2"/>
  <c r="J327" i="2"/>
  <c r="J326" i="2"/>
  <c r="J325" i="2"/>
  <c r="J324" i="2"/>
  <c r="J323" i="2"/>
  <c r="J322" i="2"/>
  <c r="J321" i="2"/>
  <c r="J320" i="2"/>
  <c r="J319" i="2"/>
  <c r="X318" i="2"/>
  <c r="J318" i="2"/>
  <c r="J317" i="2"/>
  <c r="J316" i="2"/>
  <c r="J315" i="2"/>
  <c r="J314" i="2"/>
  <c r="J313" i="2"/>
  <c r="J312" i="2"/>
  <c r="J311" i="2"/>
  <c r="J310" i="2"/>
  <c r="J309" i="2"/>
  <c r="J308" i="2"/>
  <c r="J307" i="2"/>
  <c r="J306" i="2"/>
  <c r="J305" i="2"/>
  <c r="J304" i="2"/>
  <c r="X303" i="2"/>
  <c r="J303" i="2"/>
  <c r="J302" i="2"/>
  <c r="J301" i="2"/>
  <c r="J300" i="2"/>
  <c r="J299" i="2"/>
  <c r="J298" i="2"/>
  <c r="J297" i="2"/>
  <c r="J296" i="2"/>
  <c r="J295" i="2"/>
  <c r="J294" i="2"/>
  <c r="J291" i="2"/>
  <c r="J290" i="2"/>
  <c r="J289" i="2"/>
  <c r="J288" i="2"/>
  <c r="J287" i="2"/>
  <c r="J286" i="2"/>
  <c r="J285" i="2"/>
  <c r="J284" i="2"/>
  <c r="J283" i="2"/>
  <c r="J282" i="2"/>
  <c r="J281" i="2"/>
  <c r="J280" i="2"/>
  <c r="J279" i="2"/>
  <c r="J278" i="2"/>
  <c r="J277" i="2"/>
  <c r="J276" i="2"/>
  <c r="J275" i="2"/>
  <c r="J274" i="2"/>
  <c r="J273" i="2"/>
  <c r="J272" i="2"/>
  <c r="J271" i="2"/>
  <c r="J270" i="2"/>
  <c r="J269" i="2"/>
  <c r="J268" i="2"/>
  <c r="J267" i="2"/>
  <c r="J266" i="2"/>
  <c r="J265" i="2"/>
  <c r="J264" i="2"/>
  <c r="J263" i="2"/>
  <c r="J262" i="2"/>
  <c r="J261" i="2"/>
  <c r="J260" i="2"/>
  <c r="J259" i="2"/>
  <c r="J258" i="2"/>
  <c r="J257" i="2"/>
  <c r="J256" i="2"/>
  <c r="J255" i="2"/>
  <c r="J254" i="2"/>
  <c r="J253" i="2"/>
  <c r="J252" i="2"/>
  <c r="J251" i="2"/>
  <c r="J250" i="2"/>
  <c r="J249" i="2"/>
  <c r="J248" i="2"/>
  <c r="J247" i="2"/>
  <c r="J246" i="2"/>
  <c r="J245" i="2"/>
  <c r="J244" i="2"/>
  <c r="J243" i="2"/>
  <c r="J242" i="2"/>
  <c r="J241" i="2"/>
  <c r="J240" i="2"/>
  <c r="J239" i="2"/>
  <c r="J238" i="2"/>
  <c r="J237" i="2"/>
  <c r="J236" i="2"/>
  <c r="J235" i="2"/>
  <c r="J234" i="2"/>
  <c r="J233" i="2"/>
  <c r="J232" i="2"/>
  <c r="J231" i="2"/>
  <c r="J230" i="2"/>
  <c r="J229" i="2"/>
  <c r="J228" i="2"/>
  <c r="J227" i="2"/>
  <c r="J226" i="2"/>
  <c r="J225" i="2"/>
  <c r="J224" i="2"/>
  <c r="J223" i="2"/>
  <c r="J222" i="2"/>
  <c r="J221" i="2"/>
  <c r="J220" i="2"/>
  <c r="J219" i="2"/>
  <c r="J218" i="2"/>
  <c r="J217" i="2"/>
  <c r="J216" i="2"/>
  <c r="J215" i="2"/>
  <c r="J214" i="2"/>
  <c r="J213" i="2"/>
  <c r="J212" i="2"/>
  <c r="J211" i="2"/>
  <c r="J210" i="2"/>
  <c r="J209" i="2"/>
  <c r="J208" i="2"/>
  <c r="J207" i="2"/>
  <c r="J206" i="2"/>
  <c r="J205" i="2"/>
  <c r="J204" i="2"/>
  <c r="J203" i="2"/>
  <c r="J202" i="2"/>
  <c r="J201" i="2"/>
  <c r="J200" i="2"/>
  <c r="J199" i="2"/>
  <c r="J198" i="2"/>
  <c r="J197" i="2"/>
  <c r="J196" i="2"/>
  <c r="J195" i="2"/>
  <c r="J194" i="2"/>
  <c r="J193" i="2"/>
  <c r="J192" i="2"/>
  <c r="J191" i="2"/>
  <c r="J190" i="2"/>
  <c r="J189" i="2"/>
  <c r="J188" i="2"/>
  <c r="J187" i="2"/>
  <c r="J186" i="2"/>
  <c r="J185" i="2"/>
  <c r="J184" i="2"/>
  <c r="J183" i="2"/>
  <c r="J182" i="2"/>
  <c r="J181" i="2"/>
  <c r="J180" i="2"/>
  <c r="J179" i="2"/>
  <c r="J178" i="2"/>
  <c r="J177" i="2"/>
  <c r="J176" i="2"/>
  <c r="J175" i="2"/>
  <c r="J174" i="2"/>
  <c r="J173" i="2"/>
  <c r="J172" i="2"/>
  <c r="J171" i="2"/>
  <c r="J170" i="2"/>
  <c r="J169" i="2"/>
  <c r="J168" i="2"/>
  <c r="J167" i="2"/>
  <c r="J166" i="2"/>
  <c r="J165" i="2"/>
  <c r="J164" i="2"/>
  <c r="J163" i="2"/>
  <c r="J162" i="2"/>
  <c r="J161" i="2"/>
  <c r="J160" i="2"/>
  <c r="J159" i="2"/>
  <c r="J158" i="2"/>
  <c r="J157" i="2"/>
  <c r="J156" i="2"/>
  <c r="J155" i="2"/>
  <c r="J154" i="2"/>
  <c r="J153" i="2"/>
  <c r="J152" i="2"/>
  <c r="J151" i="2"/>
  <c r="J150" i="2"/>
  <c r="J149" i="2"/>
  <c r="J148" i="2"/>
  <c r="J147" i="2"/>
  <c r="J146" i="2"/>
  <c r="J145" i="2"/>
  <c r="J144" i="2"/>
  <c r="J143" i="2"/>
  <c r="J142" i="2"/>
  <c r="J141" i="2"/>
  <c r="J140" i="2"/>
  <c r="J139" i="2"/>
  <c r="J138" i="2"/>
  <c r="J137" i="2"/>
  <c r="J136" i="2"/>
  <c r="J135" i="2"/>
  <c r="J134" i="2"/>
  <c r="J133" i="2"/>
  <c r="J132" i="2"/>
  <c r="J131" i="2"/>
  <c r="J130" i="2"/>
  <c r="J129" i="2"/>
  <c r="J128" i="2"/>
  <c r="J127" i="2"/>
  <c r="J126" i="2"/>
  <c r="J125" i="2"/>
  <c r="J124" i="2"/>
  <c r="J123" i="2"/>
  <c r="J122" i="2"/>
  <c r="J121" i="2"/>
  <c r="J120" i="2"/>
  <c r="J119" i="2"/>
  <c r="J118" i="2"/>
  <c r="J117" i="2"/>
  <c r="J116" i="2"/>
  <c r="J115" i="2"/>
  <c r="J114" i="2"/>
  <c r="J113" i="2"/>
  <c r="J112" i="2"/>
  <c r="J111" i="2"/>
  <c r="J110" i="2"/>
  <c r="J109" i="2"/>
  <c r="J108" i="2"/>
  <c r="J107" i="2"/>
  <c r="J106" i="2"/>
  <c r="J105" i="2"/>
  <c r="J104" i="2"/>
  <c r="J103" i="2"/>
  <c r="J102" i="2"/>
  <c r="J101" i="2"/>
  <c r="J100" i="2"/>
  <c r="J99" i="2"/>
  <c r="J98" i="2"/>
  <c r="J97" i="2"/>
  <c r="J96" i="2"/>
  <c r="J95" i="2"/>
  <c r="J94" i="2"/>
  <c r="J93" i="2"/>
  <c r="J92" i="2"/>
  <c r="J91" i="2"/>
  <c r="J90" i="2"/>
  <c r="J89" i="2"/>
  <c r="J88" i="2"/>
  <c r="J87" i="2"/>
  <c r="J86" i="2"/>
  <c r="J85" i="2"/>
  <c r="J84" i="2"/>
  <c r="J83" i="2"/>
  <c r="J82" i="2"/>
  <c r="J81" i="2"/>
  <c r="J80" i="2"/>
  <c r="J79" i="2"/>
  <c r="J78" i="2"/>
  <c r="J77" i="2"/>
  <c r="J76" i="2"/>
  <c r="J75" i="2"/>
  <c r="J74" i="2"/>
  <c r="J73" i="2"/>
  <c r="J72" i="2"/>
  <c r="J71" i="2"/>
  <c r="J70" i="2"/>
  <c r="J69" i="2"/>
  <c r="J68" i="2"/>
  <c r="J67" i="2"/>
  <c r="J66" i="2"/>
  <c r="J65" i="2"/>
  <c r="J64" i="2"/>
  <c r="J63" i="2"/>
  <c r="J62" i="2"/>
  <c r="J61" i="2"/>
  <c r="J60" i="2"/>
  <c r="J59" i="2"/>
  <c r="J58" i="2"/>
  <c r="J57" i="2"/>
  <c r="J56" i="2"/>
  <c r="J55" i="2"/>
  <c r="J54" i="2"/>
  <c r="J53" i="2"/>
  <c r="J52" i="2"/>
  <c r="J51" i="2"/>
  <c r="J50" i="2"/>
  <c r="J49" i="2"/>
  <c r="J48" i="2"/>
  <c r="J47" i="2"/>
  <c r="J46" i="2"/>
  <c r="J45" i="2"/>
  <c r="J44" i="2"/>
  <c r="J43" i="2"/>
  <c r="J42" i="2"/>
  <c r="J41" i="2"/>
  <c r="J40" i="2"/>
  <c r="J39" i="2"/>
  <c r="J38" i="2"/>
  <c r="J37" i="2"/>
  <c r="J36" i="2"/>
  <c r="J35" i="2"/>
  <c r="J34" i="2"/>
  <c r="J33" i="2"/>
  <c r="J32" i="2"/>
  <c r="J31" i="2"/>
  <c r="J30" i="2"/>
  <c r="J29" i="2"/>
  <c r="J28" i="2"/>
  <c r="J27" i="2"/>
  <c r="J26" i="2"/>
  <c r="J25" i="2"/>
  <c r="J24" i="2"/>
  <c r="J23" i="2"/>
  <c r="J22" i="2"/>
  <c r="J21" i="2"/>
  <c r="J20" i="2"/>
  <c r="J19" i="2"/>
  <c r="J18" i="2"/>
  <c r="J17" i="2"/>
  <c r="J16" i="2"/>
  <c r="J15" i="2"/>
  <c r="J14" i="2"/>
  <c r="J13" i="2"/>
  <c r="J12" i="2"/>
  <c r="J11" i="2"/>
  <c r="J10" i="2"/>
  <c r="J9" i="2"/>
  <c r="J8" i="2"/>
  <c r="J7" i="2"/>
  <c r="J6" i="2"/>
  <c r="J5" i="2"/>
  <c r="J4" i="2"/>
  <c r="J3" i="2"/>
  <c r="A3" i="2"/>
  <c r="A4" i="2" s="1"/>
  <c r="A5" i="2" s="1"/>
  <c r="A6" i="2" s="1"/>
  <c r="A7" i="2" s="1"/>
  <c r="A8" i="2" s="1"/>
  <c r="A9" i="2" s="1"/>
  <c r="A10" i="2" s="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s="1"/>
  <c r="A132" i="2" s="1"/>
  <c r="A133" i="2" s="1"/>
  <c r="A134" i="2" s="1"/>
  <c r="A135" i="2" s="1"/>
  <c r="A136" i="2" s="1"/>
  <c r="A137" i="2" s="1"/>
  <c r="A138" i="2" s="1"/>
  <c r="A139" i="2" s="1"/>
  <c r="A140" i="2" s="1"/>
  <c r="A141" i="2" s="1"/>
  <c r="A142" i="2" s="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 r="A249" i="2" s="1"/>
  <c r="A250" i="2" s="1"/>
  <c r="A251" i="2" s="1"/>
  <c r="A252" i="2" s="1"/>
  <c r="A253" i="2" s="1"/>
  <c r="A254" i="2" s="1"/>
  <c r="A255" i="2" s="1"/>
  <c r="A256" i="2" s="1"/>
  <c r="A257" i="2" s="1"/>
  <c r="A258" i="2" s="1"/>
  <c r="A259" i="2" s="1"/>
  <c r="A260" i="2" s="1"/>
  <c r="A261" i="2" s="1"/>
  <c r="A262" i="2" s="1"/>
  <c r="A263" i="2" s="1"/>
  <c r="A264" i="2" s="1"/>
  <c r="A265" i="2" s="1"/>
  <c r="A266" i="2" s="1"/>
  <c r="A267" i="2" s="1"/>
  <c r="A268" i="2" s="1"/>
  <c r="A269" i="2" s="1"/>
  <c r="A270" i="2" s="1"/>
  <c r="A271" i="2" s="1"/>
  <c r="A272" i="2" s="1"/>
  <c r="A273" i="2" s="1"/>
  <c r="A274" i="2" s="1"/>
  <c r="A275" i="2" s="1"/>
  <c r="A276" i="2" s="1"/>
  <c r="A277" i="2" s="1"/>
  <c r="A278" i="2" s="1"/>
  <c r="A279" i="2" s="1"/>
  <c r="A280" i="2" s="1"/>
  <c r="A281" i="2" s="1"/>
  <c r="A282" i="2" s="1"/>
  <c r="A283" i="2" s="1"/>
  <c r="A284" i="2" s="1"/>
  <c r="A285" i="2" s="1"/>
  <c r="A286" i="2" s="1"/>
  <c r="A287" i="2" s="1"/>
  <c r="A288" i="2" s="1"/>
  <c r="A289" i="2" s="1"/>
  <c r="A290" i="2" s="1"/>
  <c r="A291" i="2" s="1"/>
  <c r="A292" i="2" s="1"/>
  <c r="A293" i="2" s="1"/>
  <c r="A294" i="2" s="1"/>
  <c r="A295" i="2" s="1"/>
  <c r="A296" i="2" s="1"/>
  <c r="A297" i="2" s="1"/>
  <c r="A298" i="2" s="1"/>
  <c r="A299" i="2" s="1"/>
  <c r="A300" i="2" s="1"/>
  <c r="A301" i="2" s="1"/>
  <c r="A302" i="2" s="1"/>
  <c r="A303" i="2" s="1"/>
  <c r="A304" i="2" s="1"/>
  <c r="A305" i="2" s="1"/>
  <c r="A306" i="2" s="1"/>
  <c r="A307" i="2" s="1"/>
  <c r="A308" i="2" s="1"/>
  <c r="A309" i="2" s="1"/>
  <c r="A310" i="2" s="1"/>
  <c r="A311" i="2" s="1"/>
  <c r="A312" i="2" s="1"/>
  <c r="A313" i="2" s="1"/>
  <c r="A314" i="2" s="1"/>
  <c r="A315" i="2" s="1"/>
  <c r="A316" i="2" s="1"/>
  <c r="A317" i="2" s="1"/>
  <c r="A318" i="2" s="1"/>
  <c r="A319" i="2" s="1"/>
  <c r="A320" i="2" s="1"/>
  <c r="A321" i="2" s="1"/>
  <c r="A322" i="2" s="1"/>
  <c r="A323" i="2" s="1"/>
  <c r="A324" i="2" s="1"/>
  <c r="A325" i="2" s="1"/>
  <c r="A326" i="2" s="1"/>
  <c r="A327" i="2" s="1"/>
  <c r="A328" i="2" s="1"/>
  <c r="A329" i="2" s="1"/>
  <c r="A330" i="2" s="1"/>
  <c r="A331" i="2" s="1"/>
  <c r="A332" i="2" s="1"/>
  <c r="A333" i="2" s="1"/>
  <c r="A334" i="2" s="1"/>
  <c r="A335" i="2" s="1"/>
  <c r="A336" i="2" s="1"/>
  <c r="A337" i="2" s="1"/>
  <c r="A338" i="2" s="1"/>
  <c r="A339" i="2" s="1"/>
  <c r="A340" i="2" s="1"/>
  <c r="A341" i="2" s="1"/>
  <c r="A342" i="2" s="1"/>
  <c r="A343" i="2" s="1"/>
  <c r="A344" i="2" s="1"/>
  <c r="A345" i="2" s="1"/>
  <c r="A346" i="2" s="1"/>
  <c r="A347" i="2" s="1"/>
  <c r="A348" i="2" s="1"/>
  <c r="A349" i="2" s="1"/>
  <c r="A350" i="2" s="1"/>
  <c r="A351" i="2" s="1"/>
  <c r="A352" i="2" s="1"/>
  <c r="A353" i="2" s="1"/>
  <c r="A354" i="2" s="1"/>
  <c r="A355" i="2" s="1"/>
  <c r="A356" i="2" s="1"/>
  <c r="A357" i="2" s="1"/>
  <c r="A358" i="2" s="1"/>
  <c r="A359" i="2" s="1"/>
  <c r="A360" i="2" s="1"/>
  <c r="A361" i="2" s="1"/>
  <c r="A362" i="2" s="1"/>
  <c r="A363" i="2" s="1"/>
  <c r="A364" i="2" s="1"/>
  <c r="A365" i="2" s="1"/>
  <c r="A366" i="2" s="1"/>
  <c r="A367" i="2" s="1"/>
  <c r="A368" i="2" s="1"/>
  <c r="A369" i="2" s="1"/>
  <c r="A370" i="2" s="1"/>
  <c r="A371" i="2" s="1"/>
  <c r="A372" i="2" s="1"/>
  <c r="A373" i="2" s="1"/>
  <c r="A374" i="2" s="1"/>
  <c r="A375" i="2" s="1"/>
  <c r="A376" i="2" s="1"/>
  <c r="A377" i="2" s="1"/>
  <c r="A378" i="2" s="1"/>
  <c r="A379" i="2" s="1"/>
  <c r="A380" i="2" s="1"/>
  <c r="A381" i="2" s="1"/>
  <c r="A382" i="2" s="1"/>
  <c r="A383" i="2" s="1"/>
  <c r="A384" i="2" s="1"/>
  <c r="A385" i="2" s="1"/>
  <c r="A386" i="2" s="1"/>
  <c r="A387" i="2" s="1"/>
  <c r="A388" i="2" s="1"/>
  <c r="A389" i="2" s="1"/>
  <c r="A390" i="2" s="1"/>
  <c r="A391" i="2" s="1"/>
  <c r="A392" i="2" s="1"/>
  <c r="A393" i="2" s="1"/>
  <c r="A394" i="2" s="1"/>
  <c r="A395" i="2" s="1"/>
  <c r="A396" i="2" s="1"/>
  <c r="A397" i="2" s="1"/>
  <c r="A398" i="2" s="1"/>
  <c r="A399" i="2" s="1"/>
  <c r="A400" i="2" s="1"/>
  <c r="A401" i="2" s="1"/>
  <c r="A402" i="2" s="1"/>
  <c r="A403" i="2" s="1"/>
  <c r="A404" i="2" s="1"/>
  <c r="A405" i="2" s="1"/>
  <c r="A406" i="2" s="1"/>
  <c r="A407" i="2" s="1"/>
  <c r="A408" i="2" s="1"/>
  <c r="A409" i="2" s="1"/>
  <c r="A410" i="2" s="1"/>
  <c r="A411" i="2" s="1"/>
  <c r="A412" i="2" s="1"/>
  <c r="A413" i="2" s="1"/>
  <c r="A414" i="2" s="1"/>
  <c r="A415" i="2" s="1"/>
  <c r="A416" i="2" s="1"/>
  <c r="A417" i="2" s="1"/>
  <c r="A418" i="2" s="1"/>
  <c r="A419" i="2" s="1"/>
  <c r="A420" i="2" s="1"/>
  <c r="A421" i="2" s="1"/>
  <c r="A422" i="2" s="1"/>
  <c r="A423" i="2" s="1"/>
  <c r="A424" i="2" s="1"/>
  <c r="A425" i="2" s="1"/>
  <c r="A426" i="2" s="1"/>
  <c r="A427" i="2" s="1"/>
  <c r="A428" i="2" s="1"/>
  <c r="A429" i="2" s="1"/>
  <c r="A430" i="2" s="1"/>
  <c r="A431" i="2" s="1"/>
  <c r="A432" i="2" s="1"/>
  <c r="A433" i="2" s="1"/>
  <c r="A434" i="2" s="1"/>
  <c r="A435" i="2" s="1"/>
  <c r="A436" i="2" s="1"/>
  <c r="A437" i="2" s="1"/>
  <c r="A438" i="2" s="1"/>
  <c r="A439" i="2" s="1"/>
  <c r="A440" i="2" s="1"/>
  <c r="A441" i="2" s="1"/>
  <c r="A442" i="2" s="1"/>
  <c r="A443" i="2" s="1"/>
  <c r="A444" i="2" s="1"/>
  <c r="A445" i="2" s="1"/>
  <c r="A446" i="2" s="1"/>
  <c r="A447" i="2" s="1"/>
  <c r="A448" i="2" s="1"/>
  <c r="A449" i="2" s="1"/>
  <c r="A450" i="2" s="1"/>
  <c r="A451" i="2" s="1"/>
  <c r="A452" i="2" s="1"/>
  <c r="A453" i="2" s="1"/>
  <c r="A454" i="2" s="1"/>
  <c r="A455" i="2" s="1"/>
  <c r="A456" i="2" s="1"/>
  <c r="A457" i="2" s="1"/>
  <c r="A458" i="2" s="1"/>
  <c r="A459" i="2" s="1"/>
  <c r="A460" i="2" s="1"/>
  <c r="A461" i="2" s="1"/>
  <c r="A462" i="2" s="1"/>
  <c r="A463" i="2" s="1"/>
  <c r="A464" i="2" s="1"/>
  <c r="A465" i="2" s="1"/>
  <c r="A466" i="2" s="1"/>
  <c r="A467" i="2" s="1"/>
  <c r="A468" i="2" s="1"/>
  <c r="A469" i="2" s="1"/>
  <c r="A470" i="2" s="1"/>
  <c r="A471" i="2" s="1"/>
  <c r="A472" i="2" s="1"/>
  <c r="A473" i="2" s="1"/>
  <c r="A474" i="2" s="1"/>
  <c r="A475" i="2" s="1"/>
  <c r="A476" i="2" s="1"/>
  <c r="A477" i="2" s="1"/>
  <c r="A478" i="2" s="1"/>
  <c r="A479" i="2" s="1"/>
  <c r="A480" i="2" s="1"/>
  <c r="A481" i="2" s="1"/>
  <c r="A482" i="2" s="1"/>
  <c r="A483" i="2" s="1"/>
  <c r="A484" i="2" s="1"/>
  <c r="A485" i="2" s="1"/>
  <c r="A486" i="2" s="1"/>
  <c r="A487" i="2" s="1"/>
  <c r="A488" i="2" s="1"/>
  <c r="A489" i="2" s="1"/>
  <c r="A490" i="2" s="1"/>
  <c r="A491" i="2" s="1"/>
  <c r="A492" i="2" s="1"/>
  <c r="A493" i="2" s="1"/>
  <c r="A494" i="2" s="1"/>
  <c r="A495" i="2" s="1"/>
  <c r="A496" i="2" s="1"/>
  <c r="A497" i="2" s="1"/>
  <c r="A498" i="2" s="1"/>
  <c r="A499" i="2" s="1"/>
  <c r="A500" i="2" s="1"/>
  <c r="A501" i="2" s="1"/>
  <c r="A502" i="2" s="1"/>
  <c r="A503" i="2" s="1"/>
  <c r="A504" i="2" s="1"/>
  <c r="A505" i="2" s="1"/>
  <c r="A506" i="2" s="1"/>
  <c r="A507" i="2" s="1"/>
  <c r="A508" i="2" s="1"/>
  <c r="A509" i="2" s="1"/>
  <c r="A510" i="2" s="1"/>
  <c r="A511" i="2" s="1"/>
  <c r="A512" i="2" s="1"/>
  <c r="A513" i="2" s="1"/>
  <c r="A514" i="2" s="1"/>
  <c r="A515" i="2" s="1"/>
  <c r="A516" i="2" s="1"/>
  <c r="A517" i="2" s="1"/>
  <c r="A518" i="2" s="1"/>
  <c r="A519" i="2" s="1"/>
  <c r="A520" i="2" s="1"/>
  <c r="A521" i="2" s="1"/>
  <c r="A522" i="2" s="1"/>
  <c r="A523" i="2" s="1"/>
  <c r="A524" i="2" s="1"/>
  <c r="A525" i="2" s="1"/>
  <c r="A526" i="2" s="1"/>
  <c r="A527" i="2" s="1"/>
  <c r="A528" i="2" s="1"/>
  <c r="A529" i="2" s="1"/>
  <c r="A530" i="2" s="1"/>
  <c r="A531" i="2" s="1"/>
  <c r="A532" i="2" s="1"/>
  <c r="A533" i="2" s="1"/>
  <c r="A534" i="2" s="1"/>
  <c r="A535" i="2" s="1"/>
  <c r="A536" i="2" s="1"/>
  <c r="A537" i="2" s="1"/>
  <c r="A538" i="2" s="1"/>
  <c r="J2" i="2"/>
  <c r="I47" i="3"/>
  <c r="H47" i="3"/>
  <c r="I46" i="3"/>
  <c r="H46" i="3"/>
  <c r="I45" i="3"/>
  <c r="H45" i="3"/>
  <c r="I44" i="3"/>
  <c r="H44" i="3"/>
  <c r="I43" i="3"/>
  <c r="H43" i="3"/>
  <c r="W34" i="3"/>
  <c r="W33" i="3"/>
  <c r="W32" i="3"/>
  <c r="W31" i="3"/>
  <c r="W30" i="3"/>
  <c r="L30" i="3"/>
  <c r="K30" i="3"/>
  <c r="J30" i="3"/>
  <c r="I30" i="3"/>
  <c r="O38" i="3" s="1"/>
  <c r="W29" i="3"/>
  <c r="L29" i="3"/>
  <c r="K29" i="3"/>
  <c r="J29" i="3"/>
  <c r="I29" i="3"/>
  <c r="O37" i="3" s="1"/>
  <c r="W28" i="3"/>
  <c r="L28" i="3"/>
  <c r="K28" i="3"/>
  <c r="J28" i="3"/>
  <c r="I28" i="3"/>
  <c r="O36" i="3" s="1"/>
  <c r="W27" i="3"/>
  <c r="L27" i="3"/>
  <c r="K27" i="3"/>
  <c r="J27" i="3"/>
  <c r="I27" i="3"/>
  <c r="O35" i="3" s="1"/>
  <c r="W26" i="3"/>
  <c r="X34" i="3" s="1"/>
  <c r="L26" i="3"/>
  <c r="J26" i="3"/>
  <c r="I26" i="3"/>
  <c r="L50" i="3" s="1"/>
  <c r="W25" i="3"/>
  <c r="X33" i="3" s="1"/>
  <c r="O25" i="3"/>
  <c r="L25" i="3"/>
  <c r="K25" i="3"/>
  <c r="J25" i="3"/>
  <c r="I25" i="3"/>
  <c r="L49" i="3" s="1"/>
  <c r="W24" i="3"/>
  <c r="X32" i="3" s="1"/>
  <c r="O24" i="3"/>
  <c r="R37" i="3" s="1"/>
  <c r="L24" i="3"/>
  <c r="K24" i="3"/>
  <c r="J24" i="3"/>
  <c r="I24" i="3"/>
  <c r="L48" i="3" s="1"/>
  <c r="W23" i="3"/>
  <c r="X31" i="3" s="1"/>
  <c r="L23" i="3"/>
  <c r="K23" i="3"/>
  <c r="J23" i="3"/>
  <c r="I23" i="3"/>
  <c r="L47" i="3" s="1"/>
  <c r="W22" i="3"/>
  <c r="L22" i="3"/>
  <c r="K22" i="3"/>
  <c r="J22" i="3"/>
  <c r="I22" i="3"/>
  <c r="L46" i="3" s="1"/>
  <c r="W21" i="3"/>
  <c r="X29" i="3" s="1"/>
  <c r="S21" i="3"/>
  <c r="L21" i="3"/>
  <c r="K21" i="3"/>
  <c r="J21" i="3"/>
  <c r="I21" i="3"/>
  <c r="L45" i="3" s="1"/>
  <c r="W20" i="3"/>
  <c r="X28" i="3" s="1"/>
  <c r="Q20" i="3"/>
  <c r="P20" i="3"/>
  <c r="L20" i="3"/>
  <c r="K20" i="3"/>
  <c r="J20" i="3"/>
  <c r="I20" i="3"/>
  <c r="L44" i="3" s="1"/>
  <c r="W19" i="3"/>
  <c r="X27" i="3" s="1"/>
  <c r="Q19" i="3"/>
  <c r="P19" i="3"/>
  <c r="P21" i="3" s="1"/>
  <c r="L19" i="3"/>
  <c r="K19" i="3"/>
  <c r="J19" i="3"/>
  <c r="I19" i="3"/>
  <c r="L43" i="3" s="1"/>
  <c r="X30" i="3" l="1"/>
  <c r="S22" i="3"/>
  <c r="R35" i="3" s="1"/>
  <c r="R38" i="3"/>
  <c r="Q21" i="3"/>
  <c r="S23" i="3" s="1"/>
  <c r="R36" i="3" s="1"/>
</calcChain>
</file>

<file path=xl/sharedStrings.xml><?xml version="1.0" encoding="utf-8"?>
<sst xmlns="http://schemas.openxmlformats.org/spreadsheetml/2006/main" count="4027" uniqueCount="702">
  <si>
    <t xml:space="preserve">Severity </t>
  </si>
  <si>
    <t>(All)</t>
  </si>
  <si>
    <t>Count of Contractor name</t>
  </si>
  <si>
    <t>Column Labels</t>
  </si>
  <si>
    <t>&lt;5/22/2026</t>
  </si>
  <si>
    <t>May</t>
  </si>
  <si>
    <t>Jun</t>
  </si>
  <si>
    <t>Grand Total</t>
  </si>
  <si>
    <t>Row Labels</t>
  </si>
  <si>
    <t>Aalanna</t>
  </si>
  <si>
    <t>All</t>
  </si>
  <si>
    <t>CCEPL</t>
  </si>
  <si>
    <t>Crescon</t>
  </si>
  <si>
    <t>Danone</t>
  </si>
  <si>
    <t>Devansh</t>
  </si>
  <si>
    <t>Ess Pee</t>
  </si>
  <si>
    <t>Esspee</t>
  </si>
  <si>
    <t>Fluidline</t>
  </si>
  <si>
    <t>GEA</t>
  </si>
  <si>
    <t>Average severity based upon Accumilative sheet</t>
  </si>
  <si>
    <t>Maptrix</t>
  </si>
  <si>
    <t>Vendor-monthly observations</t>
  </si>
  <si>
    <t>Project Management &amp; Structure</t>
  </si>
  <si>
    <t>DO NOT TOUCH</t>
  </si>
  <si>
    <t>Avg. Severity Score</t>
  </si>
  <si>
    <t>Unsafe acts</t>
  </si>
  <si>
    <t>July14th-July29th</t>
  </si>
  <si>
    <t>unsafe acts</t>
  </si>
  <si>
    <t>SEVERITY</t>
  </si>
  <si>
    <t>NO. OF OBS</t>
  </si>
  <si>
    <t>NO. OF CLOSED</t>
  </si>
  <si>
    <t>Vendor</t>
  </si>
  <si>
    <t>Month</t>
  </si>
  <si>
    <t>4&amp;5 observations</t>
  </si>
  <si>
    <t>Change from prev month</t>
  </si>
  <si>
    <t>Sai Electro</t>
  </si>
  <si>
    <t>EssPee</t>
  </si>
  <si>
    <t>Closed</t>
  </si>
  <si>
    <t>SPX</t>
  </si>
  <si>
    <t>SPX Flow</t>
  </si>
  <si>
    <t xml:space="preserve">Sum: </t>
  </si>
  <si>
    <t>No. of days:</t>
  </si>
  <si>
    <t>Supertech</t>
  </si>
  <si>
    <t>H.OBS/DAY</t>
  </si>
  <si>
    <t>(blank)</t>
  </si>
  <si>
    <t>H.CLOSURE</t>
  </si>
  <si>
    <t xml:space="preserve">Crescon </t>
  </si>
  <si>
    <t>unsafe act/cond</t>
  </si>
  <si>
    <t>Satnam</t>
  </si>
  <si>
    <t>unsafe acts:</t>
  </si>
  <si>
    <t>ESSWIN</t>
  </si>
  <si>
    <t>No one working at roof area.</t>
  </si>
  <si>
    <t>ZONE</t>
  </si>
  <si>
    <t>Zone 1 - Chiller Building and Oil Injection</t>
  </si>
  <si>
    <t>June</t>
  </si>
  <si>
    <t>No one working at the time of visit</t>
  </si>
  <si>
    <t>Zone 2 - Evaporator Building</t>
  </si>
  <si>
    <t>No one outside</t>
  </si>
  <si>
    <t>Zone 3 - Contractor Yard and Periphery</t>
  </si>
  <si>
    <t>Zone 4 - Oil Blending, Panel Room, Refrigeration Building &amp; Roof Areas</t>
  </si>
  <si>
    <t>Zone</t>
  </si>
  <si>
    <t>stat</t>
  </si>
  <si>
    <t>Value</t>
  </si>
  <si>
    <t>Total 4&amp;5</t>
  </si>
  <si>
    <t>tot.no. of vend</t>
  </si>
  <si>
    <t>Trends</t>
  </si>
  <si>
    <t>Contracotr Severity</t>
  </si>
  <si>
    <t>Avg manpower/day</t>
  </si>
  <si>
    <t>Category</t>
  </si>
  <si>
    <t>Count</t>
  </si>
  <si>
    <t>Trend</t>
  </si>
  <si>
    <t>Count of Trend</t>
  </si>
  <si>
    <t>Material Management</t>
  </si>
  <si>
    <t>PPE</t>
  </si>
  <si>
    <t>Electrical</t>
  </si>
  <si>
    <t>Work at Height</t>
  </si>
  <si>
    <t>Housekeeping</t>
  </si>
  <si>
    <t>Barricading</t>
  </si>
  <si>
    <t>Access &amp; Egress</t>
  </si>
  <si>
    <t>Lifting Operations</t>
  </si>
  <si>
    <t>Sharp edges</t>
  </si>
  <si>
    <t>Fire Safety</t>
  </si>
  <si>
    <t>Tools &amp; Equipment</t>
  </si>
  <si>
    <t>Environment</t>
  </si>
  <si>
    <t>Excavation</t>
  </si>
  <si>
    <t>Unsafe Behavior</t>
  </si>
  <si>
    <t>PTW &amp; Supervision</t>
  </si>
  <si>
    <t>Workbench</t>
  </si>
  <si>
    <t>Good Practice</t>
  </si>
  <si>
    <t>ln</t>
  </si>
  <si>
    <t xml:space="preserve">Observation Discription </t>
  </si>
  <si>
    <t>Engineer</t>
  </si>
  <si>
    <t>Contractors</t>
  </si>
  <si>
    <t>Good Citizens</t>
  </si>
  <si>
    <t>Violators</t>
  </si>
  <si>
    <t>Number of Violations</t>
  </si>
  <si>
    <t>Violations x Severity</t>
  </si>
  <si>
    <t>4 &amp; 5</t>
  </si>
  <si>
    <t xml:space="preserve">PPE Non-compliance </t>
  </si>
  <si>
    <t>unsafe Condes</t>
  </si>
  <si>
    <t>Contractor name</t>
  </si>
  <si>
    <t>Status</t>
  </si>
  <si>
    <t>Danone FPR</t>
  </si>
  <si>
    <t>Date</t>
  </si>
  <si>
    <t>Stacking of material in improper way</t>
  </si>
  <si>
    <t xml:space="preserve">GI Sheet found kept untied </t>
  </si>
  <si>
    <t>Uneven surface of the chiller area without barrication</t>
  </si>
  <si>
    <t xml:space="preserve">Sharp edges of the Electrical DB Canopy </t>
  </si>
  <si>
    <t>Using of defective web-sling for lifting material</t>
  </si>
  <si>
    <t xml:space="preserve">Wobling of sheets barrication due to wind </t>
  </si>
  <si>
    <t>Insufficient barricading at roof</t>
  </si>
  <si>
    <t>Poor house-keeping</t>
  </si>
  <si>
    <t>Scaffolding with wooden planks</t>
  </si>
  <si>
    <t xml:space="preserve">Sharp edges of the Compactor Guard </t>
  </si>
  <si>
    <t>Zone 3 - Piperack H,I &amp; K Section, Temp. Chiller</t>
  </si>
  <si>
    <t>Monkey Ladder without cage</t>
  </si>
  <si>
    <t xml:space="preserve">Inspection overdue Compactor used </t>
  </si>
  <si>
    <t>Railings missing from the ramps</t>
  </si>
  <si>
    <t>Excavated pits kept open and back filling not done</t>
  </si>
  <si>
    <t/>
  </si>
  <si>
    <t>Sharp edges of barrication sheet exposed</t>
  </si>
  <si>
    <t>Pending</t>
  </si>
  <si>
    <t>5S improper (cable trays)</t>
  </si>
  <si>
    <t>Water logging</t>
  </si>
  <si>
    <t xml:space="preserve">Plastic chair in panel room </t>
  </si>
  <si>
    <t>=SUMIFS('CSFA Accumilative data'!T1</t>
  </si>
  <si>
    <t xml:space="preserve">Improper Insulation </t>
  </si>
  <si>
    <t>Cage ladder not closed</t>
  </si>
  <si>
    <t>Pannel not fixed properly at site</t>
  </si>
  <si>
    <t>Workmen without safety hand gloves</t>
  </si>
  <si>
    <t>Permit not accessible with worker easily and found under documents after some time with no clear knowledge of work risks</t>
  </si>
  <si>
    <t>Supervisor not present for safety check while work was being done</t>
  </si>
  <si>
    <t>PPE not being used while marking and worker told they will use it during cutting</t>
  </si>
  <si>
    <t>Non Barricaded material kept near washroom area with very sharp edges and hot surface but no coverage</t>
  </si>
  <si>
    <t>Inadequate illumination in contractor yard</t>
  </si>
  <si>
    <t>Sharp edge on panel top sheet near container</t>
  </si>
  <si>
    <t>No earthing on power distribution board</t>
  </si>
  <si>
    <t>Broken chair kept in the contractor area</t>
  </si>
  <si>
    <t>Loose sheet lying on pathway</t>
  </si>
  <si>
    <t>Wheel chokes Not used for sludge truck</t>
  </si>
  <si>
    <t>No signage or hazard warning for stored compressed cylinders</t>
  </si>
  <si>
    <t>Material stored in oil injection area without following 5S</t>
  </si>
  <si>
    <t xml:space="preserve">Not using wise while cutting square pipe with grinder by holding </t>
  </si>
  <si>
    <t xml:space="preserve">Sharp edges of the GI sheet exposed </t>
  </si>
  <si>
    <t>Water logging near cooling tower</t>
  </si>
  <si>
    <t>Poor house keeping - Unwanted material kept in the way</t>
  </si>
  <si>
    <t>House Keeping to improve</t>
  </si>
  <si>
    <t>Manual Transfer of Panels through Staircase</t>
  </si>
  <si>
    <t>Loose cables and unwanted cables removal</t>
  </si>
  <si>
    <t>Disconnector Switch for DB panel required</t>
  </si>
  <si>
    <t>Access to Staircase is open, and the platform is not complete</t>
  </si>
  <si>
    <t xml:space="preserve">Pathway was blocked .jsa was not capturing all the hazards </t>
  </si>
  <si>
    <t xml:space="preserve">Area was not barricade </t>
  </si>
  <si>
    <t xml:space="preserve">During the Critical lifting activities, Multiple Non-compliances were Observed in Pipe rack side.1. Supervisor and safety engineer is not at site. 2. JSA condition not respected during emergency 3. Excavated area in the vicinity of work may lead to the incident 4. Pipe rack kept in the pathway causing the trip hazard 5. Boom lifter person was in the line of fire  </t>
  </si>
  <si>
    <t xml:space="preserve">Scaffold inspection tag missing, open wire observed in the area. concrete needs to be removed from the area. Door of roof is still open </t>
  </si>
  <si>
    <t xml:space="preserve">Staircase is not adequate in the entrance. </t>
  </si>
  <si>
    <t>Ladder leading to Tanks platform is not locked</t>
  </si>
  <si>
    <t>House keeping to be improved</t>
  </si>
  <si>
    <t>Step platform, Slip / Trip Caution Marking</t>
  </si>
  <si>
    <t>Platform tanker unloading - not locked / secured properly to avoid man movement</t>
  </si>
  <si>
    <t>Dust could be seen on floor and around from outside. Also, temporary hanging cable was going into oil storage room which needs to be corrected. The connection point from panel had gland missing which poses a risk of lizard or insects entering in panel and might lead to electrical hazard.</t>
  </si>
  <si>
    <t xml:space="preserve">Insulation over rockwool being done and worker with out mask and goggles. </t>
  </si>
  <si>
    <t>Poor housekeeping, scrap material found in work place</t>
  </si>
  <si>
    <t xml:space="preserve">Person found without hand gloves </t>
  </si>
  <si>
    <t>Improper way of laying the cables - of extension board</t>
  </si>
  <si>
    <t>Improper support of cooling tower</t>
  </si>
  <si>
    <t xml:space="preserve">During lunch area observed unbarricated &amp; witbout supervion </t>
  </si>
  <si>
    <t xml:space="preserve">Platform support near pedestrial walkway creating obstuction (trip hazard) </t>
  </si>
  <si>
    <t xml:space="preserve">Drain observed open &amp; drain cover kept in the walkway </t>
  </si>
  <si>
    <t>Improper cable storage</t>
  </si>
  <si>
    <t>Improper stacking of panels/sheets observed on ground. Material not stored safely and may collapse or cause handling hazard.</t>
  </si>
  <si>
    <t>Pipes/material improperly stored near assembly area.</t>
  </si>
  <si>
    <t>5S not maintained inside container. Poor housekeeping, blocked access, and improper material storage observed,</t>
  </si>
  <si>
    <t>5S not maintained inside container. Poor housekeeping, blocked access, and improper material storage observed</t>
  </si>
  <si>
    <t xml:space="preserve">Housekeeping not maintained </t>
  </si>
  <si>
    <t>Rebinding work involves fixing rebars into existing concrete structures using chemical anchoring systems (HILTI HIT) for structural continuity. During this activity, a worker was observed working without safety goggles, which is a violation of safety protocol and exposes the individual to risks of eye injury from drilling dust, flying debris, and chemical splashes.</t>
  </si>
  <si>
    <t>The door at the top of the evaporator building (old dryer side) was found open, and an unusual gap was observed in the stair steps. This condition creates a potential fall hazard and indicates a safety protocol violation due to  unsafe access conditions.</t>
  </si>
  <si>
    <t>Gi sheet used for partition at observed tied with plastic rope without proper fixing Near temporary chiller cooling tower, sharp edges of the sheet are not covered</t>
  </si>
  <si>
    <t>Observed unloading conret blocks from tractor trolley by standing on the trolley without fall protection</t>
  </si>
  <si>
    <t>Access to teh chiller area is not proper (slip &amp; trip hazard)</t>
  </si>
  <si>
    <t xml:space="preserve">Handling a full roll of sheet firstly single handely and then on feedback 2 people doing heavy lifting. Asked them to arrange a trolley to pick it up as it was too heavy and they were just able to move 7-8 steps and then stop to change hand to take the load. Ergonomically not feasible exercise of lifting they were doing </t>
  </si>
  <si>
    <t xml:space="preserve">they are creating a structure and welding and that iron strucutre has sharp edges and corners which are uncovered near potta cabins which are too risky for handling for cut related injuries. </t>
  </si>
  <si>
    <t>Improper storage arrangement observed for refrigerant compressed gas cylinders.</t>
  </si>
  <si>
    <t>Electrical cable tray and cables were not properly arranged. Poor housekeeping and 5S standards were not maintained</t>
  </si>
  <si>
    <t>Electrical cable was found directly tied the scaffolding during working at height</t>
  </si>
  <si>
    <t>Not using goggles shifting of bricks</t>
  </si>
  <si>
    <t>Missing barrication  below the pipe rack</t>
  </si>
  <si>
    <t>Loose temporary cable found on the area</t>
  </si>
  <si>
    <t xml:space="preserve">Non standard ladder used by team, no safe , instructions not followed by contractor </t>
  </si>
  <si>
    <t xml:space="preserve">Area not barricade,proper walkway is not defined one person found using mobile phone while working </t>
  </si>
  <si>
    <t>Uneven access area, materials kept in movement area</t>
  </si>
  <si>
    <t>Non compliant tool - hacksaw without frame is being used</t>
  </si>
  <si>
    <t>The design of the cutting structure behind the MWRS poses a safety risk due to an angle welded at the bottom of the rectangular frame, creating a potential slip and fall hazard.</t>
  </si>
  <si>
    <t xml:space="preserve">It has been observed that people are using the pathway between the two containers, but the exit is very narrow, which poses a safety risk </t>
  </si>
  <si>
    <t>People are using the pathway between the contractor yard and the chiller building, which passes through the plantation area. The surface is uneven and not level, posing a risk of slips and falls</t>
  </si>
  <si>
    <t>Standing on tractor material</t>
  </si>
  <si>
    <t>Crane kept without wheel stopper</t>
  </si>
  <si>
    <t xml:space="preserve">Truck without wheel stopper </t>
  </si>
  <si>
    <t>Too many people gathering during the lifting activity</t>
  </si>
  <si>
    <t>Trolly observed without wheel chokes.</t>
  </si>
  <si>
    <t xml:space="preserve">Worker leaning support on the rebars </t>
  </si>
  <si>
    <t>Using mobile phone at working area</t>
  </si>
  <si>
    <t>Crane operator was not wearing PPE</t>
  </si>
  <si>
    <t xml:space="preserve">Parapet wall opening above Utility building without barrication </t>
  </si>
  <si>
    <t>Construction power cable taken through door</t>
  </si>
  <si>
    <t>Untidy area on Evaporator roofop</t>
  </si>
  <si>
    <t xml:space="preserve">Stircase top step flight is too high creating trip hazard at top of evaporator </t>
  </si>
  <si>
    <t xml:space="preserve">Person holding the cable of extension board </t>
  </si>
  <si>
    <t>Parallel work going on</t>
  </si>
  <si>
    <t xml:space="preserve">Boom barrier struck in between </t>
  </si>
  <si>
    <t xml:space="preserve">Helmet not worn by the farana operetor </t>
  </si>
  <si>
    <t>Cable trays not secured and stored properly.</t>
  </si>
  <si>
    <t>Around 1 feet excavated pit is not barricated</t>
  </si>
  <si>
    <t>Person moving on narrow iron platform and multiple sariyas exposed to manpower near construction area</t>
  </si>
  <si>
    <t xml:space="preserve">Area barrication was not respected .personel crossing barrication </t>
  </si>
  <si>
    <t xml:space="preserve">Material stored at floor </t>
  </si>
  <si>
    <t xml:space="preserve">Ms pipe stored without stopper near chiller area </t>
  </si>
  <si>
    <t>Housekeeping standards require improvement, as materials were found to be placed irregularly across the area.</t>
  </si>
  <si>
    <t xml:space="preserve">Poor ventilation in the area causing High heat in the area </t>
  </si>
  <si>
    <t>Workmen observed using wornout gloves</t>
  </si>
  <si>
    <t>Dust across lines and instruments</t>
  </si>
  <si>
    <t>Manoj</t>
  </si>
  <si>
    <t xml:space="preserve">Workmen observed using phonewhile walking </t>
  </si>
  <si>
    <t xml:space="preserve">Person observed without ppe in ppe zone </t>
  </si>
  <si>
    <t>Sharp edgas of the GI sheet needs to be covered</t>
  </si>
  <si>
    <t xml:space="preserve">Tape jointed cable </t>
  </si>
  <si>
    <t>Use of non standard table for work at height of around 1 meter</t>
  </si>
  <si>
    <t xml:space="preserve">Trip hazard due to pipe on pathway. Also the drain to be covered with planks as people are moving over the drain </t>
  </si>
  <si>
    <t xml:space="preserve">Flammable materials (cartons, plastic coverings) not properly protected while welding was performed nearby </t>
  </si>
  <si>
    <t>Materials kept randomly</t>
  </si>
  <si>
    <t>Civil materials stored in safe assembly point 2</t>
  </si>
  <si>
    <t xml:space="preserve">PPE was being followed but overall 5s still needs improvement for hazards elimination </t>
  </si>
  <si>
    <t>Material was improperly stored under the staircase and 5S was not maintained.</t>
  </si>
  <si>
    <t>After completion of civil work, bricks and blocks were not removed from the work area. Poor housekeeping and 5S not maintained.</t>
  </si>
  <si>
    <t>Obstructive material found in the MCC panel area</t>
  </si>
  <si>
    <t>Water drain inside the chiller building is unprotected and risk of trip and fall</t>
  </si>
  <si>
    <t xml:space="preserve">Poor 5S, Shuttering material not stacked properly </t>
  </si>
  <si>
    <t>Hand gloves not used</t>
  </si>
  <si>
    <t>Worker found working on ladder</t>
  </si>
  <si>
    <t>Pipe rack material stored in improper way</t>
  </si>
  <si>
    <t>Improper platform at the trench at entry of building</t>
  </si>
  <si>
    <t>Cables knotted on pole</t>
  </si>
  <si>
    <t>Dust mask not used by all</t>
  </si>
  <si>
    <t>Rope was kept on the cooling tower roof,2.tractor use for shifting the cold well hot well</t>
  </si>
  <si>
    <t xml:space="preserve">Excavation found without Hard barricade, housekeeping was not adequate in the area </t>
  </si>
  <si>
    <t>Welding activity being done on cooling tower for fixing toe guards and area below is not barricaded.</t>
  </si>
  <si>
    <t xml:space="preserve">Access platform / stair to evaporator building is bent or deformed </t>
  </si>
  <si>
    <t>ELCB of the distribution board was found not working, posing a serious electrical safety hazard.</t>
  </si>
  <si>
    <t xml:space="preserve">While moving the Hot well/cold well tank, the tank shifted while moving </t>
  </si>
  <si>
    <t xml:space="preserve">Scaffolding (height &gt;6 m) approved with outriggers on just two sides. </t>
  </si>
  <si>
    <t>Workmen observed doing rebar cutting with angle grinder work on floor without workbanch &amp; PTW</t>
  </si>
  <si>
    <t xml:space="preserve">Work done without supervision </t>
  </si>
  <si>
    <t>Fire extinguisher kept on ground without stand</t>
  </si>
  <si>
    <t>Distribution board was found in use without ELCB protection.</t>
  </si>
  <si>
    <t>Person working on ladder inside chiller room</t>
  </si>
  <si>
    <t>Full PPE compliance</t>
  </si>
  <si>
    <t>Housekeeping was not properly maintained in the evaporator building</t>
  </si>
  <si>
    <t xml:space="preserve">Sharp edges of temporary chiller shed not protected </t>
  </si>
  <si>
    <t>No rubber mat used in front of electrical panel</t>
  </si>
  <si>
    <t xml:space="preserve">Scaffolding observed erecting on wooden planks </t>
  </si>
  <si>
    <t xml:space="preserve">Person observed using wornout gloves </t>
  </si>
  <si>
    <t xml:space="preserve">Sharp edges of the GI sheet used for pipe rack </t>
  </si>
  <si>
    <t>Sharp edges of Pipes stored in pipe rack needs to be covered</t>
  </si>
  <si>
    <t>Sharp edges of the sheet used for Barrication behind container</t>
  </si>
  <si>
    <t xml:space="preserve">Sharp material(rebars) kept and people standing beside it, risk of injury </t>
  </si>
  <si>
    <t>Materials stored under the staircase, creating obstruction and poor housekeeping.</t>
  </si>
  <si>
    <t>Unwanted rebars kept at work site</t>
  </si>
  <si>
    <t xml:space="preserve">PPE Jacket highlighted not wearing. Feedback given. Plus welding kit and iron blocks restricitng access near washroom area in pota cabin  </t>
  </si>
  <si>
    <t>No fire extinguisher kept at site ( lot of combustible material stored in the area)</t>
  </si>
  <si>
    <t>Improper tool,PPE not used by team,</t>
  </si>
  <si>
    <t>Pipe rack material kept near the walkway without barrication near cooling tower</t>
  </si>
  <si>
    <t>Goggles not getting used during welding and no fall arrestor as the gap in railing is high and all working at the edge of railing</t>
  </si>
  <si>
    <t>Cable trays and scrap materials found stored improperly; 5S not maintained.</t>
  </si>
  <si>
    <t>Worker using mobile phone inside the work area</t>
  </si>
  <si>
    <t>Gea</t>
  </si>
  <si>
    <t>Workmen observed using Stone instead of hammer</t>
  </si>
  <si>
    <t>Electrical board lying on floor</t>
  </si>
  <si>
    <t>Refrigrent cylinders stored in an improper location.</t>
  </si>
  <si>
    <t xml:space="preserve">Hand railing and hard barricades removed at entry of evaporator building for shifting platform material inside building </t>
  </si>
  <si>
    <t>Sharp edges of the Gi sheet behind Colling tower</t>
  </si>
  <si>
    <t xml:space="preserve">Drain left unprotected, creating trip and fall hazard </t>
  </si>
  <si>
    <t xml:space="preserve">Bundwall provided for temporary chiller elctrical pannel behind cooling tower creating Obstruction in pathway </t>
  </si>
  <si>
    <t>Materials improperly kept in the electrical panel room</t>
  </si>
  <si>
    <t>Sharp edges in the railing going on the platform</t>
  </si>
  <si>
    <t xml:space="preserve">Railing required for Platform </t>
  </si>
  <si>
    <t>Untidy area near contractor yard</t>
  </si>
  <si>
    <t xml:space="preserve">Cables splices-Tape used </t>
  </si>
  <si>
    <t>No barricade in Evaporator area</t>
  </si>
  <si>
    <t>People were seating without helmet</t>
  </si>
  <si>
    <t>Suppression bottle have low pressure, Potential to have Fire hazard</t>
  </si>
  <si>
    <t>Refrigerator cylinders not removed from the site,cable tray not removed from the site, handrail not installed at oil injection unloading dock.</t>
  </si>
  <si>
    <t xml:space="preserve">Manual work of unloading heavy bricks without using trolly, slip hazard, electrical wire at low height </t>
  </si>
  <si>
    <t xml:space="preserve">PPE was worn out glove and reflected jacket not wore properly. Helmet also dangling at side </t>
  </si>
  <si>
    <t>Two cables were connected through a single industrial plug top for welding machine operation.</t>
  </si>
  <si>
    <t xml:space="preserve">Mobile phone usage in the area of Critical activities pipe rack work </t>
  </si>
  <si>
    <t>Cutting activity without workbench</t>
  </si>
  <si>
    <t xml:space="preserve">Overall 5S requires improvement </t>
  </si>
  <si>
    <t>Old glass wool (insulation wool) has been stored for a long time and is now scrap, so it should be removed to maintain proper housekeeping.</t>
  </si>
  <si>
    <t>Material overloaded on racks in container</t>
  </si>
  <si>
    <t>Bottle kept place behind the panel</t>
  </si>
  <si>
    <t xml:space="preserve">5s is not upto mark near evaporator construction area </t>
  </si>
  <si>
    <t>Housekeeping not maintained at worksite and site office. Materials and equipment found improperly stored</t>
  </si>
  <si>
    <t xml:space="preserve">People crossing the barricade </t>
  </si>
  <si>
    <t xml:space="preserve">Waste rockwool found spread nearby SPX container </t>
  </si>
  <si>
    <t>There is no lighting in the container where materials are stored, and personnel are using mobile torches to locate and handle items, which poses a serious safety risk; additionally, the lack of fans or ventilation may lead to health issues</t>
  </si>
  <si>
    <t>All material hang on weak rope in container</t>
  </si>
  <si>
    <t>Harness are inappropriately placed, No trash box there in.</t>
  </si>
  <si>
    <t xml:space="preserve">Barricade to be strengthened avoid any gaps </t>
  </si>
  <si>
    <t xml:space="preserve">Material storage inside container needs improvement </t>
  </si>
  <si>
    <t>Cut pieces of metal, angles, and scrap are scattered across the contractor yard, which can pose a serious safety hazard to pedestrians.</t>
  </si>
  <si>
    <t xml:space="preserve">Without helmet </t>
  </si>
  <si>
    <t>Non-Standard ladder platform used by team</t>
  </si>
  <si>
    <t>No seating space available at contractor shed area</t>
  </si>
  <si>
    <t>Water accumulation in the area is creating a slip and trip hazard.</t>
  </si>
  <si>
    <t>No change in condition seen last time. Taped wire of tube light, material kept In unsafe stacked manner</t>
  </si>
  <si>
    <t>Safety intelock are non opertional in oildozing area ( FN1.00.ZE.01)</t>
  </si>
  <si>
    <t>Non-  standard pathway is being used by the gea team,trench found open where permits is issued.</t>
  </si>
  <si>
    <t xml:space="preserve">1. Boom lift struck and person putting mud near tyre with machine moving and shaking </t>
  </si>
  <si>
    <t xml:space="preserve">Workmen observed without impact resistance gloves while handling pipes at pipe rack </t>
  </si>
  <si>
    <t>Non- standard scaffold is being used by the team .</t>
  </si>
  <si>
    <t>Boom lift and farana working on non levelled ground.</t>
  </si>
  <si>
    <t>temporary chiller Roof sheet gap observed, which may allow rainwater to enter.</t>
  </si>
  <si>
    <t xml:space="preserve">Stairs upgradation on top floor(Civil activity goes on), No Barrication or signage to paste their for awareness. </t>
  </si>
  <si>
    <t>scaffold stair assembly, some of the steps are securely locked, whereas many others are tied or secured using very thin wire, which is not adequate to ensure proper stability.</t>
  </si>
  <si>
    <t xml:space="preserve">Sharp points of column grouts not covered </t>
  </si>
  <si>
    <t>Drain design to be looked into and slope of floor to be corrected. Flush water all around on floor. Slip hazard</t>
  </si>
  <si>
    <t xml:space="preserve">Civil structure on Door edge is about to fall at top floor </t>
  </si>
  <si>
    <t xml:space="preserve">Water pit full with multiple mosquitos visible on top layer with risk of malaria and dengue 3. Door stopper is not there for entry to construction site and it is waving around due to wind </t>
  </si>
  <si>
    <t>100 % PPE Compliance, No man movement in lifting shifting area, Emergency devices of farana and boom lift in working condition, Adequate load maintained on boom lift</t>
  </si>
  <si>
    <t>Workmen observed without impact resistance gloves while handling pipes at pipe rack</t>
  </si>
  <si>
    <t>Siren &amp; key lock of the boom lift is observed defective</t>
  </si>
  <si>
    <t>Cooling tower Material kept at chiller building roof without Tieng.</t>
  </si>
  <si>
    <t>Housekeeping on 2nd floor is not adequate</t>
  </si>
  <si>
    <t>Top floor access door is in open condition, Crane work goes on so make a potential hazard</t>
  </si>
  <si>
    <t>Stairs upgradation on top floor(Civil activity goes on), No Barrication or signage to paste their for awareness.</t>
  </si>
  <si>
    <t>Trench is exposed, Falling hazard</t>
  </si>
  <si>
    <t>Civil structure on Door edge is about to fall</t>
  </si>
  <si>
    <t>Pipe shifting work is being carried out by the Fluidline contractor using a Farana. It has been observed that the pipes placed on the rack are neither tied nor properly secured. Due to this, the pipes are hitting against each other during handling, creating a risk of them falling from the rack. This condition poses a significant safety hazard to personnel and material. Therefore, it is essential that all pipes, once placed on the rack, are properly secured either by tying or by temporary tack welding to prevent movement and ensure stability.</t>
  </si>
  <si>
    <t>It was observed that the Farana driver was operating the equipment without wearing a helmet. Upon being instructed, he subsequently wore the helmet.</t>
  </si>
  <si>
    <t>Hand blower was found in use at site without a valid inspection tag</t>
  </si>
  <si>
    <t>Roof sheet gap observed, which may allow rainwater to enter.</t>
  </si>
  <si>
    <t>Structural material lying on the road without barricading.</t>
  </si>
  <si>
    <t>Improper barricade during boom lift operation</t>
  </si>
  <si>
    <t>Missing Area Barricade in Evaporator entrance</t>
  </si>
  <si>
    <t>PPE gloves missing while picking up heavy iron structure for welding and cutting with bad ergonomics in picking it. Location is near potta cabin washroom in cotractor yard where welding is being done</t>
  </si>
  <si>
    <t>Plastic wrapper all around in calendria stored area</t>
  </si>
  <si>
    <t>Spliced cable with tape on ess pee container</t>
  </si>
  <si>
    <t>Debris stored near etp area</t>
  </si>
  <si>
    <t>Damaged tool was found in use at site</t>
  </si>
  <si>
    <t>Housekeeping was not maintained in the panel room.</t>
  </si>
  <si>
    <t>The farana driver is not complying with PPE requirements, which poses a serious safety risk. Even after being instructed, he wore the PPE only for a short time and then removed it.</t>
  </si>
  <si>
    <t>All four individuals were instructing the farana driver during the lifting and placement of the piping rack.</t>
  </si>
  <si>
    <t>Person working at height on scaffolding to break some concrete part and one person on lower scaffolding standing on one narrow beam without any wire connected to him for safety. Gave feedback and ask him to come down. Further entrance to evaporator area is very narrow due to protruding sheets and slip hazard there. Further ther eis a big pole kept as a barricade with one end very linently resting on a railing to act as a gate but it can fall anytime with motion and heavy for cause of an injury</t>
  </si>
  <si>
    <t>Excavated area need to barricade adequately,slippery area observed, pipeline kept loose on rack</t>
  </si>
  <si>
    <t>Work in progress adjacent to an unprotected open drain.</t>
  </si>
  <si>
    <t>Worker observed exiting the evaporator without using safe access.</t>
  </si>
  <si>
    <t xml:space="preserve">one of the  contract  employee operation was doing  un safe act with no wheel chokes on the crane and operating the crane very casually can lead to serious ingury </t>
  </si>
  <si>
    <t xml:space="preserve">Unauthorised Person crossing the critical work area through it was barricaded fully </t>
  </si>
  <si>
    <t>Worker tightening nut bolts without hand gloves</t>
  </si>
  <si>
    <t>People entering into barricaded area, where work at height was ongoing near pipe rack</t>
  </si>
  <si>
    <t xml:space="preserve">Cable mgt is not adequate, Obstruct the pathway </t>
  </si>
  <si>
    <t>Outdoor unit of AC connected to container is not grouted</t>
  </si>
  <si>
    <t>Barrication not proper for pile cap area</t>
  </si>
  <si>
    <t xml:space="preserve">Workmen observed working without taking a rest &amp; lunch break </t>
  </si>
  <si>
    <t xml:space="preserve">Employee was not wearing the head gear while above him height work was going on </t>
  </si>
  <si>
    <t xml:space="preserve">AC outlet water drain pipe is in walkway inside panel room and nearby panels </t>
  </si>
  <si>
    <t xml:space="preserve">People entering barricaded area when work on pipe rack was ongoing </t>
  </si>
  <si>
    <t>Scaffolding is not stacked properly</t>
  </si>
  <si>
    <t>1. No rubber mat kept in front of electrical panel next to alana container and panel blocked 2. Single body earthing provided to electriccal panel</t>
  </si>
  <si>
    <t>Barrication sheet hit by faranha movement</t>
  </si>
  <si>
    <t xml:space="preserve">Compaction of the area needed where the farana is moving </t>
  </si>
  <si>
    <t xml:space="preserve">Worker using mobile phone while cutting insulation sheet </t>
  </si>
  <si>
    <t xml:space="preserve">Pipe lifting by crane is wobbling dangerously, </t>
  </si>
  <si>
    <t xml:space="preserve">Access to alana container ( staircase made with bricks ) shall have nightglow tape on the edges </t>
  </si>
  <si>
    <t>Flammable material (paint box) kept inside container having tape joints for electrical connections</t>
  </si>
  <si>
    <t xml:space="preserve">Scaffolding material stored in unlocked condition </t>
  </si>
  <si>
    <t>Protruding nails (3 inches) protruding out of the wooden rack at multiple locations and flammable material stored inside the container.</t>
  </si>
  <si>
    <t>Cable routing on the fire reel</t>
  </si>
  <si>
    <t xml:space="preserve">Welding work being done at height but barricading needs to be done majorly on right side as people can move below it and get injured. Gave feedback as contractor was verbally asking other members not to walk below it. Further, issue of mosquitoes in pit is still unresolved which can cause malaria and dengue badly to workers </t>
  </si>
  <si>
    <t>People standing beneath pipe rack welding / pipes placed, No barricade</t>
  </si>
  <si>
    <t xml:space="preserve">Material stored abruptly, cement blocks used as a staircase, cement stored around the walkway </t>
  </si>
  <si>
    <t>Panel door kept open and left unattended.. Ensure to close the panel door when commissioning team visits the field</t>
  </si>
  <si>
    <t>Team working in close proximity of excvator</t>
  </si>
  <si>
    <t>Scrap material at contractor yard</t>
  </si>
  <si>
    <t>Improper platform covering the trench</t>
  </si>
  <si>
    <t>One person was observed without a helmet in the oil injection area, while others were wearing helmets.</t>
  </si>
  <si>
    <t xml:space="preserve">The top rail is not the proper standard height due to pipeline fall. </t>
  </si>
  <si>
    <t>Excavation area not barricaded has a risk of fall</t>
  </si>
  <si>
    <t>Cutting activity done without face shield</t>
  </si>
  <si>
    <t xml:space="preserve">1 m distance of hard barigation from the excavated pit not maintained </t>
  </si>
  <si>
    <t xml:space="preserve">Scaffold material not stacked properly </t>
  </si>
  <si>
    <t>During the gemba round, it was observed that multiple individuals had removed their helmets and were seated between the scrap yard and ETP during lunch time. This may be due to the lack of a proper designated rest area for project personnel.</t>
  </si>
  <si>
    <t>Suppression bottle still have low pressure in Panel room</t>
  </si>
  <si>
    <t xml:space="preserve">Rusted pipes used in scaffolding building and no hard barigation for scaffold step ladder </t>
  </si>
  <si>
    <t>Entrance step of GEA container damaged</t>
  </si>
  <si>
    <t xml:space="preserve">Housekeeping of oil injection area is not upto the mark. </t>
  </si>
  <si>
    <t>The power tool unsecured condition and the cable is also laid on water</t>
  </si>
  <si>
    <t>Temporary electrical cable routed through metal fencing of FO yard and tied with GI wire</t>
  </si>
  <si>
    <t>Workmen observed sitting on Refrigeration roof Parapet wall without safety harness.</t>
  </si>
  <si>
    <t>Power tool observed used without distribution boards (ELCB)</t>
  </si>
  <si>
    <t xml:space="preserve">Cable observed tied with wire </t>
  </si>
  <si>
    <t>Workmen observed using cotton gloves instead of using cut resistance gloves</t>
  </si>
  <si>
    <t xml:space="preserve">Fire extinguisher observed kept at the edge of the wall </t>
  </si>
  <si>
    <t xml:space="preserve">Round pipes observed kept in the working area without barricating &amp; stopper </t>
  </si>
  <si>
    <t>Personnel observed standing near the cutting booth without adequate ppes (googles)</t>
  </si>
  <si>
    <t>Window glass panel broken. Glass pieces to be removed</t>
  </si>
  <si>
    <t>Restricted access to Evaporator area</t>
  </si>
  <si>
    <t>Material stored abruptly in the area,</t>
  </si>
  <si>
    <t>Person working on shuttering job not wearing gloves, sharp edges on wooden plank along with Nail</t>
  </si>
  <si>
    <t>Poor cable management - for earthing cables connected to electrical panels , lying cables in the area, no bonding for panel board</t>
  </si>
  <si>
    <t>Low illumination in the area</t>
  </si>
  <si>
    <t>No handrail present and trip hazard at multiple locations</t>
  </si>
  <si>
    <t>Poor housekeeping - Material kept in area from long time( picture attached)</t>
  </si>
  <si>
    <t>Saw near work at height people standing near the drain and crosssing the paty by moving on very narrow area of drain which is risky if slip is ther eperson will fall into drain side . Avoid this kind of narrow movement among all contractors</t>
  </si>
  <si>
    <t>Area is barricaded from all sides and fire extinguisher is not easily accessible</t>
  </si>
  <si>
    <t>Damaged cable insulation</t>
  </si>
  <si>
    <t xml:space="preserve">Boom lifter is kept near farhana not have adequate space for man movement.floor is uneven for farhana movement , people are working in line of farhana movement </t>
  </si>
  <si>
    <t>Loose materials and pump kept unorganized</t>
  </si>
  <si>
    <t xml:space="preserve">Poor cable management and cable routing to be improved </t>
  </si>
  <si>
    <t>Toe guard of platform used at pipe rack was missing</t>
  </si>
  <si>
    <t>Lighting cable has an improper joint and is tied to the handrail.</t>
  </si>
  <si>
    <t>The fall arrestor is put on the same platform on which person is working</t>
  </si>
  <si>
    <t>2</t>
  </si>
  <si>
    <t>1</t>
  </si>
  <si>
    <t>Debris collection work done by workers w/o mask</t>
  </si>
  <si>
    <t>3</t>
  </si>
  <si>
    <t>Improper barricades for excavated area</t>
  </si>
  <si>
    <t>Tool lanyard not used by the workmen while working at height</t>
  </si>
  <si>
    <t>Loose electrical cables on the walkway creating a trip hazard.</t>
  </si>
  <si>
    <t>8</t>
  </si>
  <si>
    <t xml:space="preserve">In case of any emergency there is no clear pathway for person to come out from the working area. Multiple works are happening and blocked from all sides. Clear path to be ensured for each working zone for emergency </t>
  </si>
  <si>
    <t>Area untidy</t>
  </si>
  <si>
    <t>One workmen without helmet at worksite, was having helmet in his hand</t>
  </si>
  <si>
    <t>Civil work in progress on Red Tag scaffolding at cooling tower area.</t>
  </si>
  <si>
    <t>The heavy pipes are hanging on structure but the pipes are free and not hold with any support. Risk of falling of pipe. Need to give support and ensure below area is barricaded to ensure no movement below the pipes</t>
  </si>
  <si>
    <t>Loose cable on ground</t>
  </si>
  <si>
    <t>The heavy pipes which are not having any clamping are moved ahead manually and the area is not barricaded completely. The work permit and MS &amp; RA could not be shown by person at site to check the approved Methodology for this activity. This activity to be relooked for safe execution of work.</t>
  </si>
  <si>
    <t>Carrying 6m+ length pipeline alone from one area to other. Risk of falling of pipe and injury to the personnel</t>
  </si>
  <si>
    <t>No Violation reported</t>
  </si>
  <si>
    <t>Roof sheet broken due to wind</t>
  </si>
  <si>
    <t>loose materials and tools stored in open condition</t>
  </si>
  <si>
    <t>Person working on scaffolding erection work watthour gloves</t>
  </si>
  <si>
    <t>Loose cable &amp; tied on stand</t>
  </si>
  <si>
    <t>People were observed sitting on the floor in the panel room, which may pose a safety risk in case of an emergency</t>
  </si>
  <si>
    <t>One person was observed sitting near a welding machine under the pipe racks while welding work was in progress, posing a significant safety risk</t>
  </si>
  <si>
    <t>Loose roof sheet hanging in air due to heavy wind</t>
  </si>
  <si>
    <t>Traffic marshal not maintaining the traffic adequately, people and vehicle are crossing each other while both are in motion, MMI is not managed adequately.</t>
  </si>
  <si>
    <t>Water not going into drains and creating slip hazard. Drainage system needs to be redesigned.</t>
  </si>
  <si>
    <t>Huge vibration observed in lines</t>
  </si>
  <si>
    <t>No place to go from one end to other. No aisle available.</t>
  </si>
  <si>
    <t>Panels kept open and cables hanging from panels</t>
  </si>
  <si>
    <t>Water leakage from temporary cooling tower</t>
  </si>
  <si>
    <t>The handglove used by the helper was torn</t>
  </si>
  <si>
    <t>Entry to construction area where welding cutting part is done is barricaded leading to people taking detour from side with narrow area and width which can lead to fall injury</t>
  </si>
  <si>
    <t>Loose materials kept on roof. Risk of materials falling off during windy condition</t>
  </si>
  <si>
    <t>Multiple parallel work and cleaning activity in close proximity</t>
  </si>
  <si>
    <t>Worker doing grinding work, using work bench with bench wise, power tools in good condition. Appreciated workers</t>
  </si>
  <si>
    <t>Water spilled over floor inside oil blending area</t>
  </si>
  <si>
    <t>Worker observed using staircase without handrails.</t>
  </si>
  <si>
    <t>Worker was doing welding work without leather hand gloves.</t>
  </si>
  <si>
    <t>Poor housekeeping in the area , water cooler pathway is obstructed near canteen area.</t>
  </si>
  <si>
    <t>Good PPE adherence, road kept blocked &amp; person moving over it. It is a trip hazard at site while walking.</t>
  </si>
  <si>
    <t>Gap between ladder and platform</t>
  </si>
  <si>
    <t>Person moving on ladder which is not having rails. Risk of fall.</t>
  </si>
  <si>
    <t>Old walls have got cracks now. Needs to be inspected for strength</t>
  </si>
  <si>
    <t>Inadequate fire blanketing</t>
  </si>
  <si>
    <t>Missing rebar Caps</t>
  </si>
  <si>
    <t>Manually shifting welding Machine over shoulder</t>
  </si>
  <si>
    <t>barricade is broken near cement work where high height work near evaporator building is being done with iron protrusions out on plane level which can cause pinch to person if remains unnoticed</t>
  </si>
  <si>
    <t>Platform material being shifted inside the evaporator building, area barricaded, flag mag available, proper communication maintained and taglines used</t>
  </si>
  <si>
    <t>Housekeeping needs improvement</t>
  </si>
  <si>
    <t>One worker handling platform structure without hand gloves</t>
  </si>
  <si>
    <t>Slab Rebar caps exposed while Fluidline team working on pipe shifting</t>
  </si>
  <si>
    <t>Work bench height to be reduced to work ergonomically safe</t>
  </si>
  <si>
    <t>Using mobile phone while shifting of material</t>
  </si>
  <si>
    <t>In contractor yards, several containers are currently being used for storing materials and spare parts. However, these containers lack a proper power supply, and personnel working inside them are exposed to uncomfortable and unsuitable environmental conditions. Additionally, workers are relying on mobile torches for lighting, which poses a safety risk and is not an appropriate or reliable solution. Although this observation is being reported for the second time within a month, no corrective actions have been implemented so far.</t>
  </si>
  <si>
    <t>Materials are being stored adjoining the periphery; however, the housekeeping in this area requires improvement. The storage arrangement should be better organized to ensure safe access, proper identification, and efficiency.</t>
  </si>
  <si>
    <t>1. Crescorn working without supervision at top.2 Espee people not using handrail while coming  or going downstairs.3. housekeeping need to be improved at GEA platform.</t>
  </si>
  <si>
    <t>Rockwool scrap at site</t>
  </si>
  <si>
    <t>Fabrication work being done in safe way, using work bench along with bench wise, proper Ppe and good condition tools</t>
  </si>
  <si>
    <t>Supervisors and workers stood in close proximity of JCB during while levelling activity</t>
  </si>
  <si>
    <t>Workers standing in close proximity of boom lift inside the barigation</t>
  </si>
  <si>
    <t>Ongoing housekeeping activity</t>
  </si>
  <si>
    <t>Condensate line crossing pathway to Evaporator site near boiler towards</t>
  </si>
  <si>
    <t>Unwanted thrash near contractor yard</t>
  </si>
  <si>
    <t>Dust in the Evaporator area</t>
  </si>
  <si>
    <t>Use of safety harness without inspection.</t>
  </si>
  <si>
    <t>Barrication of the area is not adequate</t>
  </si>
  <si>
    <t>Persons observed crossing over round pipes by stepping on them</t>
  </si>
  <si>
    <t>Inadequate illumination in the work area (chiller building)</t>
  </si>
  <si>
    <t>Worker found using a damaged tool at the site.</t>
  </si>
  <si>
    <t>Scrap and loose material kept on top of refrigeration building</t>
  </si>
  <si>
    <t>Worker idle, no work being done</t>
  </si>
  <si>
    <t>People standing below crane and casually talking without noting down the movement of crane which can be risky</t>
  </si>
  <si>
    <t>Pipe kept at pipe structire support without tying &amp; use of grinder wheel instead of stopper to stop it from rolling</t>
  </si>
  <si>
    <t>Workers climbed down the from outside of the scaffold platform (1.5m) by stepping on the round bars. This creates a slip and fall hazard</t>
  </si>
  <si>
    <t>Access step provided using blocks having gaps &amp; uneven creating slip &amp; trip hazard</t>
  </si>
  <si>
    <t>Devasnsh</t>
  </si>
  <si>
    <t>Pathway is uneven &amp; slipry due to gravel &amp; pipe kept in the way</t>
  </si>
  <si>
    <t>Loose material kept on scaffolding without toe guard &amp; recomended to use tool lanyard</t>
  </si>
  <si>
    <t>Railing of then stairs &amp; platform needs to be provided recomended to provide barrication till the railing is provided</t>
  </si>
  <si>
    <t>Barrication of the excavated pit missing</t>
  </si>
  <si>
    <t>Supervisor observed crossing excavated pit without having proper access</t>
  </si>
  <si>
    <t>Supervisor observed using phone while crossing excavated pit without baving proper access</t>
  </si>
  <si>
    <t xml:space="preserve">Nails on the shuttering material observed while manual handling the material </t>
  </si>
  <si>
    <t>In adequate lights</t>
  </si>
  <si>
    <t xml:space="preserve">Worker was doing material shifting work without hand gloves </t>
  </si>
  <si>
    <t xml:space="preserve">Access restricted </t>
  </si>
  <si>
    <t xml:space="preserve">employees were counselled to practice the right behaviour while walking  </t>
  </si>
  <si>
    <t>Excavated pits barricaded close to the edge to pit</t>
  </si>
  <si>
    <t>Cutting work in progress near flammable material. Use a fire blanket to cover the material</t>
  </si>
  <si>
    <t>Handling platform with one hand and using mobile with other hand at same time</t>
  </si>
  <si>
    <t>Worker doing block work without hand gloves</t>
  </si>
  <si>
    <t>Worker observed sitting on a scaffolding pipe while performing drilling work at height.</t>
  </si>
  <si>
    <t>Access restricted</t>
  </si>
  <si>
    <t>Person doing pipe fabrication work on scaffold and harness anchored at leg level</t>
  </si>
  <si>
    <t>Work permit not available for the ongoing work with the supervisor in contractor yard.</t>
  </si>
  <si>
    <t xml:space="preserve">Pit near new scaffolding in front of canteen gate is not having any barricading . pls check and barricade </t>
  </si>
  <si>
    <t>4</t>
  </si>
  <si>
    <t>Power cable on floor, taken through door bottom to container</t>
  </si>
  <si>
    <t>Use of improper bench for welding</t>
  </si>
  <si>
    <t>A portion of barrication missing at the entrance of evaporator building</t>
  </si>
  <si>
    <t>12</t>
  </si>
  <si>
    <t>0</t>
  </si>
  <si>
    <t>Overloaded table</t>
  </si>
  <si>
    <t>Unorganized scrap in scrap yard and contractor area</t>
  </si>
  <si>
    <t>Support fabrication work being done at height in a safe way, scaffold inspected, fullbody harness used and anchored properly, barrication done to prevent parallel activities</t>
  </si>
  <si>
    <t>Access blocked &amp; helmet not used by personnel</t>
  </si>
  <si>
    <t>Poor house keeping in Evaporator building</t>
  </si>
  <si>
    <t>Railings missing from the stair installed at platform</t>
  </si>
  <si>
    <t xml:space="preserve">Lights still on, repeat observation </t>
  </si>
  <si>
    <t>Power cables found to be taken on ground</t>
  </si>
  <si>
    <t>Existing live power cables above 2 meter platform level and has the potential to get damaged during lifting of platform</t>
  </si>
  <si>
    <t>Barrication damaged</t>
  </si>
  <si>
    <t>Material stored near distribution panel</t>
  </si>
  <si>
    <t>Scrap at worksite</t>
  </si>
  <si>
    <t>Person operating boom lift without any guide. Risk of dashing somewhere without any guide.</t>
  </si>
  <si>
    <t>While working at height using boom lift, the tyre stoppers were missing</t>
  </si>
  <si>
    <t>The rain water pipe is laid over cable tray. Repeat point</t>
  </si>
  <si>
    <t>Ladder is on temp support and risk of falling. Repeat point</t>
  </si>
  <si>
    <t xml:space="preserve">Exposed nail in from wooden shuttering material </t>
  </si>
  <si>
    <t>Water tapping taken from eye wash station</t>
  </si>
  <si>
    <t>Electrical panel blocked</t>
  </si>
  <si>
    <t>Unwanted Materials, Poor house keeping</t>
  </si>
  <si>
    <t>Person observed working without hand gloves</t>
  </si>
  <si>
    <t>Fire extinguisher not available at site of hot work</t>
  </si>
  <si>
    <t>Glove was worn out for person doing welding near evaporator area. fire sparkles nearby while 2 other people casually talking nearby it</t>
  </si>
  <si>
    <t>Material not stored properly</t>
  </si>
  <si>
    <t>Cable tray kept in walkway creating slip, trip and fall hazard</t>
  </si>
  <si>
    <t>Small excavated pit is not barricaded properly</t>
  </si>
  <si>
    <t>Scrap/unwanted material at site</t>
  </si>
  <si>
    <t>Cable tray stacking not done properly</t>
  </si>
  <si>
    <t>Area not barricaded from one side</t>
  </si>
  <si>
    <t>Super height work being done for cable tray fixing, boom lift used in good condition, stable surface, worker medically fit and PPEs used</t>
  </si>
  <si>
    <t>Esswin</t>
  </si>
  <si>
    <t>Shuttering material with long sharp nails projected outward found at worksite</t>
  </si>
  <si>
    <t>Excavated area not barricaded fully</t>
  </si>
  <si>
    <t>Workers doing scaffolding modification and metal plank for platform not secured</t>
  </si>
  <si>
    <t>Workers shifting motor of approx 300kg weight manually</t>
  </si>
  <si>
    <t>Work bench used for cutting wooden material is on uneven surface</t>
  </si>
  <si>
    <t>Slurry Tank staircase needs lock &amp; key</t>
  </si>
  <si>
    <t>Thrash near Avneesh contractor yard</t>
  </si>
  <si>
    <t>No Barricade in Evap Project Entrance</t>
  </si>
  <si>
    <t>No clear exit path available, people climbing on platforms to move out of the area. In case of emergency no clear way to exit.</t>
  </si>
  <si>
    <t>Risk of fall due to inadequate railing. Repeat point.</t>
  </si>
  <si>
    <t>The earthing pits are damaged. Risk to operations and also person walking over it might fall.</t>
  </si>
  <si>
    <t xml:space="preserve">Person observed crossing throught elevated platform having gaps &amp; opening .  Need access to the area </t>
  </si>
  <si>
    <t xml:space="preserve">Person observed standing near the edge of elevated walkway without having railing </t>
  </si>
  <si>
    <t>Wire &amp; electrode holder of welding machine observed damaged</t>
  </si>
  <si>
    <t xml:space="preserve">Person observed crossing through elevated platform by jumping without having access </t>
  </si>
  <si>
    <t xml:space="preserve">Person observed crossing through elevated platform by jumping with material without having access </t>
  </si>
  <si>
    <t>Pls check again the work done in front of canteen where dug out operations is being done. Barricading gap plus contractor working very near to depth area with one wrong step and slip into it will happen.</t>
  </si>
  <si>
    <t>. Safety passage not available to go on the site.unapproved scrap fold used by the team . 3 people are standing on the low duty scrapfold, scrapfold not erected not as per standard</t>
  </si>
  <si>
    <t>Worker standing on the edge of platform</t>
  </si>
  <si>
    <t>While shifting platform structure, worker was found to be working from the edge</t>
  </si>
  <si>
    <t>Debris stored inside worksite</t>
  </si>
  <si>
    <t>Cover of small pits getting damaged with possibility of slip, trip and fall hazard</t>
  </si>
  <si>
    <t>Loose material found on the Chiller Building terrace.</t>
  </si>
  <si>
    <t>Worker standing on scaffolding pipe during dismantling work.</t>
  </si>
  <si>
    <t>Digging work using JCB going on at walkway - No barigation, No supervisor available at site, only driver doing the job</t>
  </si>
  <si>
    <t>Gap between two working platforms (Picture attached)</t>
  </si>
  <si>
    <t>Poor housekeeping on platform 1st floor (Welding machines &amp; other tools) kept on landing platform of stairs</t>
  </si>
  <si>
    <t>Few hazards (Bump hazard) not covered in JSA</t>
  </si>
  <si>
    <t>Life line missing at one end of platform (Workers need to unhook from end cross over the platform &amp; again attach hook at other end)</t>
  </si>
  <si>
    <t>Damaged cut resistant hand gloves worn by workers</t>
  </si>
  <si>
    <t>Loose material (bottle &amp; grinding wheel) kept at staircase</t>
  </si>
  <si>
    <t>Person observed working on non-authorised authodised scaffolding having red tag on it</t>
  </si>
  <si>
    <t>Persons observed using drill m/c without inspection &amp; checklist</t>
  </si>
  <si>
    <t>Low Lux Level</t>
  </si>
  <si>
    <t>Platform Without railing / Barricade</t>
  </si>
  <si>
    <t>Debris stored inside</t>
  </si>
  <si>
    <t>Standing on Boomlift tyre and correcting boomlift hooter</t>
  </si>
  <si>
    <t>One sariya rod pointy towards up direction is present before the cooling tower area and in night it will not be visible and can be dangerous</t>
  </si>
  <si>
    <t>No safe access to platform in evaporator area</t>
  </si>
  <si>
    <t>Lighting to be improved</t>
  </si>
  <si>
    <t>Loose sheet kept near ETP area</t>
  </si>
  <si>
    <t>sharp edges</t>
  </si>
  <si>
    <t>Sharp edge of temporary barricade made using GI sheet</t>
  </si>
  <si>
    <t>Electrical DB kept unattended</t>
  </si>
  <si>
    <t>Electrical cable routed through boundary wall</t>
  </si>
  <si>
    <t>Need right helmet for overhead manual carry work- pics attached</t>
  </si>
  <si>
    <t>Inadequate fire blanket</t>
  </si>
  <si>
    <t>Not wearing safety goggle while air blowing to remove dust in compressor building</t>
  </si>
  <si>
    <t>Channels blocking the pathway below new rack structure.</t>
  </si>
  <si>
    <t>No one was working here</t>
  </si>
  <si>
    <t>Usage of safety goggles missing</t>
  </si>
  <si>
    <t>PPE Gloves not put while lifting and moving material. Feedback given for same.</t>
  </si>
  <si>
    <t>Missing Barricade on platform of Nitrogen area</t>
  </si>
  <si>
    <t>Access allowed to unrelated people at site by having no control at entry.</t>
  </si>
  <si>
    <t>Lot many flexible cables passing around with no proper support.</t>
  </si>
  <si>
    <t>Usage of HOPT for heavy material with no proper pathway. Work stopped and allowed with farana</t>
  </si>
  <si>
    <t>Crane was going out while tractor was just behind it as exit area near project side. Pls share with security at gate to keep enough distance between two vehicles while exiting out of plant</t>
  </si>
  <si>
    <t>Exposed nail in planks</t>
  </si>
  <si>
    <t>MS angle kept outside the barricaded area may lead to an unsafe act.</t>
  </si>
  <si>
    <t xml:space="preserve">General </t>
  </si>
  <si>
    <t>There is no separate rest area for workers, and they are resting in the active work zone, which may create safety hazards. A designated rest area should be provided away from operational activities</t>
  </si>
  <si>
    <t>Too many temporary cables getting routed with no proper support.</t>
  </si>
  <si>
    <t>Access to service corridor and new evaporator is not available</t>
  </si>
  <si>
    <t>5s near canteen area adjacent to cylinder kept area needs attnetion. Overall no outage amongst contracotors today</t>
  </si>
  <si>
    <t>People not wearing safety goggles while working with nails and wires</t>
  </si>
  <si>
    <t>Exposed Nail in wooden pieces</t>
  </si>
  <si>
    <t>Use of wooden box as platform to stand</t>
  </si>
  <si>
    <t>Barrication sheet pole observed damaged</t>
  </si>
  <si>
    <t>Staircase dismantled and reinstalled in other section. SS railing is yet to be sealed off. Risk of direct fall</t>
  </si>
  <si>
    <t>Debris kept unorganized</t>
  </si>
  <si>
    <t>Person working on roof welding part sparks are dropping due to that work which can cause injury further due to sunlight sparks not visible clearly and persons nearby that area below it can be exposed. atleast barricade a circular area where it is dropping to prevent movement below it. Further 5s of oil injection area entry is bad again with trollyes and too many unwanted items lying</t>
  </si>
  <si>
    <t>Walking over temp ladder arrangement without safety belt and fall arrestor. Explained and corrected the behaviour</t>
  </si>
  <si>
    <t>Toe guard not provided in scaffold ladder arrangement</t>
  </si>
  <si>
    <t>Risk of injury. Sharp pointed jaali</t>
  </si>
  <si>
    <t>Seating on weak wooden box cover. Risk of breaking and getting injured. Explained people to not seat on it.</t>
  </si>
  <si>
    <t>Weak scaffold legs support</t>
  </si>
  <si>
    <t>Fire exitinguisher not kept near the welding work site.</t>
  </si>
  <si>
    <t>There is no clear emergency path for people working in chiller area. Welder is working and people are walking in same Path. On one side people are working and other side material is on floor blocking the path.</t>
  </si>
  <si>
    <t>The material stacking near the containers is not in proper manner</t>
  </si>
  <si>
    <t>Common area</t>
  </si>
  <si>
    <t>The Fluidline container is blocking access of The Borewell</t>
  </si>
  <si>
    <t>Person not. Ensuring 3 point contact while climbing the ladder of chiller building. Scaffold is not as per standard</t>
  </si>
  <si>
    <t>Person observed sitting &amp; using phone in work site</t>
  </si>
  <si>
    <t>Constraint space at the tanks stair access</t>
  </si>
  <si>
    <t>Compaction of the area near pillors of pipe rack.</t>
  </si>
  <si>
    <t>Cable observed tied with metal pipe</t>
  </si>
  <si>
    <t>Grinder Power tool observed with overdue inspection</t>
  </si>
  <si>
    <t>Person observed wothout anchoring safety harness while working at height</t>
  </si>
  <si>
    <t>Unsecured material kept on the scaffolding</t>
  </si>
  <si>
    <t>Barrication of the area missing &amp; Person observed in the line of fire of Excavator doing soil leveling.</t>
  </si>
  <si>
    <t>Evaporator Roof Exit blocked with debris, workers stepping on it to move to lower level floors</t>
  </si>
  <si>
    <t>Worker standing on platform support in evaporator area while working</t>
  </si>
  <si>
    <t>Basic housekeeping missing - Cable management &amp; material unorganised</t>
  </si>
  <si>
    <t>Material stored on platform at first &amp; second level - Poor Housekeeping</t>
  </si>
  <si>
    <t>Safety harness hook not tied to the lifeline</t>
  </si>
  <si>
    <t>Scaffolding found without a scaffolding tag.</t>
  </si>
  <si>
    <t>@⁨abhishek Engg. Aalanna⁩ @⁨KadiDebris bag left on the staircase, obstructing access in the evaporator area.</t>
  </si>
  <si>
    <t>Scaffolding ladder in unsecured condition.</t>
  </si>
  <si>
    <t>Digging work being done outside canteen and path blocked but no clarity on alternate path. Further, we started using faded alternate path. Conical barriers to be place to clearly mark the pathway</t>
  </si>
  <si>
    <t xml:space="preserve">Count of Observation Discription </t>
  </si>
  <si>
    <t>22-May</t>
  </si>
  <si>
    <t>23-May</t>
  </si>
  <si>
    <t>25-May</t>
  </si>
  <si>
    <t>26-May</t>
  </si>
  <si>
    <t>27-May</t>
  </si>
  <si>
    <t>28-May</t>
  </si>
  <si>
    <t>29-May</t>
  </si>
  <si>
    <t>30-May</t>
  </si>
  <si>
    <t>01-Jun</t>
  </si>
  <si>
    <t>02-Jun</t>
  </si>
  <si>
    <t>03-Jun</t>
  </si>
  <si>
    <t>04-Jun</t>
  </si>
  <si>
    <t>Fall of Material</t>
  </si>
  <si>
    <t>Sharp Edges</t>
  </si>
  <si>
    <t>Tools &amp; Tackles</t>
  </si>
  <si>
    <t>Barrication</t>
  </si>
  <si>
    <t>Electrical Safety</t>
  </si>
  <si>
    <t>Scaffold Safety</t>
  </si>
  <si>
    <t>Fall from Height</t>
  </si>
  <si>
    <t>Ergonomic Hazard</t>
  </si>
  <si>
    <t>Even Surface</t>
  </si>
  <si>
    <t>Fabrication</t>
  </si>
  <si>
    <t>Supervision</t>
  </si>
  <si>
    <t>Illumination</t>
  </si>
  <si>
    <t>Line of Fire</t>
  </si>
  <si>
    <t>Slip, Trip and Fall</t>
  </si>
  <si>
    <t>Count of Status</t>
  </si>
  <si>
    <t>5S</t>
  </si>
  <si>
    <t>Other</t>
  </si>
  <si>
    <t>Human Error</t>
  </si>
  <si>
    <t>Road Safety</t>
  </si>
  <si>
    <t>Safe Observation</t>
  </si>
  <si>
    <t>Hygiene</t>
  </si>
  <si>
    <t>Material Handling</t>
  </si>
  <si>
    <t>Wellbeing</t>
  </si>
  <si>
    <t>Lifting Operation</t>
  </si>
  <si>
    <t>Paralle Work</t>
  </si>
  <si>
    <t>Water Logging</t>
  </si>
  <si>
    <t>Access</t>
  </si>
  <si>
    <t>Emergency Exit</t>
  </si>
  <si>
    <t>Inspection</t>
  </si>
  <si>
    <t>Interlock</t>
  </si>
  <si>
    <t>No Access</t>
  </si>
  <si>
    <t>Pinch Point</t>
  </si>
  <si>
    <t>PTW</t>
  </si>
  <si>
    <t>Signages</t>
  </si>
  <si>
    <t>Stability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</si>
</sst>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 #,##0.00_ ;_ * \-#,##0.00_ ;_ * &quot;-&quot;??_ ;_ @_ "/>
    <numFmt numFmtId="164" formatCode="0.0"/>
    <numFmt numFmtId="165" formatCode="_-* #,##0.00_-;\-* #,##0.00_-;_-* &quot;-&quot;??_-;_-@_-"/>
    <numFmt numFmtId="166" formatCode="yyyy\-mm\-dd\ h:mm:ss"/>
  </numFmts>
  <fonts count="10" x14ac:knownFonts="1">
    <font>
      <sz val="11"/>
      <color theme="1"/>
      <name val="Calibri"/>
      <family val="2"/>
      <scheme val="minor"/>
    </font>
    <font>
      <sz val="10"/>
      <name val="Arial"/>
      <family val="2"/>
    </font>
    <font>
      <b/>
      <sz val="11"/>
      <name val="Arial"/>
      <family val="2"/>
    </font>
    <font>
      <b/>
      <sz val="10"/>
      <name val="Arial"/>
      <family val="2"/>
    </font>
    <font>
      <sz val="11"/>
      <name val="Calibri"/>
      <family val="2"/>
    </font>
    <font>
      <sz val="11"/>
      <color rgb="FF000000"/>
      <name val="Calibri"/>
      <family val="2"/>
    </font>
    <font>
      <sz val="11"/>
      <color theme="1"/>
      <name val="Calibri"/>
      <family val="2"/>
      <scheme val="minor"/>
    </font>
    <font>
      <sz val="10"/>
      <name val="Arial"/>
    </font>
    <font>
      <b/>
      <sz val="11"/>
      <color theme="0"/>
      <name val="Calibri"/>
      <family val="2"/>
      <scheme val="minor"/>
    </font>
    <font>
      <sz val="11"/>
      <color rgb="FF000000"/>
      <name val="Calibri"/>
    </font>
  </fonts>
  <fills count="19">
    <fill>
      <patternFill patternType="none"/>
    </fill>
    <fill>
      <patternFill patternType="gray125"/>
    </fill>
    <fill>
      <patternFill patternType="solid">
        <fgColor rgb="FFFFFF99"/>
        <bgColor rgb="FF000000"/>
      </patternFill>
    </fill>
    <fill>
      <patternFill patternType="solid">
        <fgColor rgb="FFCCFFCC"/>
        <bgColor rgb="FF000000"/>
      </patternFill>
    </fill>
    <fill>
      <patternFill patternType="solid">
        <fgColor rgb="FFFFFF00"/>
        <bgColor rgb="FF000000"/>
      </patternFill>
    </fill>
    <fill>
      <patternFill patternType="solid">
        <fgColor rgb="FFFF99CC"/>
        <bgColor rgb="FF000000"/>
      </patternFill>
    </fill>
    <fill>
      <patternFill patternType="solid">
        <fgColor rgb="FFCCFFFF"/>
        <bgColor rgb="FF000000"/>
      </patternFill>
    </fill>
    <fill>
      <patternFill patternType="solid">
        <fgColor rgb="FFFFCC99"/>
        <bgColor rgb="FF000000"/>
      </patternFill>
    </fill>
    <fill>
      <patternFill patternType="solid">
        <fgColor rgb="FF83E28E"/>
        <bgColor rgb="FF000000"/>
      </patternFill>
    </fill>
    <fill>
      <patternFill patternType="solid">
        <fgColor rgb="FFA6C9EC"/>
        <bgColor rgb="FF000000"/>
      </patternFill>
    </fill>
    <fill>
      <patternFill patternType="solid">
        <fgColor rgb="FFE49EDD"/>
        <bgColor rgb="FF000000"/>
      </patternFill>
    </fill>
    <fill>
      <patternFill patternType="solid">
        <fgColor rgb="FFDDEBF7"/>
        <bgColor rgb="FFDDEBF7"/>
      </patternFill>
    </fill>
    <fill>
      <patternFill patternType="solid">
        <fgColor rgb="FFFFFFFF"/>
        <bgColor rgb="FF000000"/>
      </patternFill>
    </fill>
    <fill>
      <patternFill patternType="solid">
        <fgColor rgb="FFC0E6F5"/>
        <bgColor rgb="FFC0E6F5"/>
      </patternFill>
    </fill>
    <fill>
      <patternFill patternType="solid">
        <fgColor theme="4" tint="0.79998168889431442"/>
        <bgColor theme="4" tint="0.79998168889431442"/>
      </patternFill>
    </fill>
    <fill>
      <patternFill patternType="solid">
        <fgColor rgb="FFFFFF00"/>
        <bgColor indexed="64"/>
      </patternFill>
    </fill>
    <fill>
      <patternFill patternType="solid">
        <fgColor rgb="FFD9E1F2"/>
        <bgColor rgb="FFD9E1F2"/>
      </patternFill>
    </fill>
    <fill>
      <patternFill patternType="solid">
        <fgColor theme="4"/>
        <bgColor theme="4"/>
      </patternFill>
    </fill>
    <fill>
      <patternFill patternType="solid">
        <fgColor rgb="FF92D050"/>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rgb="FF44B3E1"/>
      </top>
      <bottom style="thin">
        <color rgb="FF44B3E1"/>
      </bottom>
      <diagonal/>
    </border>
    <border>
      <left style="thin">
        <color indexed="64"/>
      </left>
      <right style="thin">
        <color indexed="64"/>
      </right>
      <top/>
      <bottom/>
      <diagonal/>
    </border>
    <border>
      <left/>
      <right style="thin">
        <color indexed="64"/>
      </right>
      <top/>
      <bottom/>
      <diagonal/>
    </border>
    <border>
      <left/>
      <right/>
      <top/>
      <bottom style="thin">
        <color rgb="FF44B3E1"/>
      </bottom>
      <diagonal/>
    </border>
    <border>
      <left/>
      <right/>
      <top style="thin">
        <color rgb="FF9BC2E6"/>
      </top>
      <bottom style="thin">
        <color rgb="FF9BC2E6"/>
      </bottom>
      <diagonal/>
    </border>
    <border>
      <left/>
      <right/>
      <top/>
      <bottom style="thin">
        <color rgb="FF9BC2E6"/>
      </bottom>
      <diagonal/>
    </border>
    <border>
      <left/>
      <right/>
      <top style="thin">
        <color theme="4" tint="0.39997558519241921"/>
      </top>
      <bottom style="thin">
        <color theme="4" tint="0.39997558519241921"/>
      </bottom>
      <diagonal/>
    </border>
    <border>
      <left/>
      <right style="thin">
        <color indexed="64"/>
      </right>
      <top/>
      <bottom style="thin">
        <color rgb="FF9BC2E6"/>
      </bottom>
      <diagonal/>
    </border>
    <border>
      <left/>
      <right/>
      <top style="thin">
        <color rgb="FF8EA9DB"/>
      </top>
      <bottom style="thin">
        <color rgb="FF8EA9DB"/>
      </bottom>
      <diagonal/>
    </border>
    <border>
      <left/>
      <right/>
      <top style="thin">
        <color indexed="64"/>
      </top>
      <bottom/>
      <diagonal/>
    </border>
    <border>
      <left/>
      <right style="thin">
        <color indexed="64"/>
      </right>
      <top style="thin">
        <color indexed="64"/>
      </top>
      <bottom/>
      <diagonal/>
    </border>
    <border>
      <left/>
      <right/>
      <top style="medium">
        <color theme="4" tint="-0.249977111117893"/>
      </top>
      <bottom/>
      <diagonal/>
    </border>
    <border>
      <left style="thin">
        <color rgb="FFABABAB"/>
      </left>
      <right/>
      <top style="thin">
        <color rgb="FFABABAB"/>
      </top>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style="thin">
        <color rgb="FFABABAB"/>
      </left>
      <right/>
      <top style="thin">
        <color indexed="65"/>
      </top>
      <bottom/>
      <diagonal/>
    </border>
    <border>
      <left style="thin">
        <color indexed="65"/>
      </left>
      <right/>
      <top style="thin">
        <color indexed="65"/>
      </top>
      <bottom/>
      <diagonal/>
    </border>
    <border>
      <left style="thin">
        <color indexed="65"/>
      </left>
      <right style="thin">
        <color rgb="FFABABAB"/>
      </right>
      <top style="thin">
        <color indexed="65"/>
      </top>
      <bottom/>
      <diagonal/>
    </border>
    <border>
      <left style="thin">
        <color rgb="FFABABAB"/>
      </left>
      <right/>
      <top style="thin">
        <color indexed="65"/>
      </top>
      <bottom style="thin">
        <color rgb="FFABABAB"/>
      </bottom>
      <diagonal/>
    </border>
    <border>
      <left style="thin">
        <color indexed="65"/>
      </left>
      <right/>
      <top style="thin">
        <color indexed="65"/>
      </top>
      <bottom style="thin">
        <color rgb="FFABABAB"/>
      </bottom>
      <diagonal/>
    </border>
    <border>
      <left style="thin">
        <color indexed="65"/>
      </left>
      <right style="thin">
        <color rgb="FFABABAB"/>
      </right>
      <top style="thin">
        <color indexed="65"/>
      </top>
      <bottom style="thin">
        <color rgb="FFABABAB"/>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indexed="64"/>
      </bottom>
      <diagonal/>
    </border>
    <border>
      <left style="thin">
        <color rgb="FF000000"/>
      </left>
      <right/>
      <top style="thin">
        <color rgb="FF000000"/>
      </top>
      <bottom style="medium">
        <color indexed="64"/>
      </bottom>
      <diagonal/>
    </border>
    <border>
      <left style="medium">
        <color indexed="64"/>
      </left>
      <right style="thin">
        <color rgb="FF000000"/>
      </right>
      <top/>
      <bottom/>
      <diagonal/>
    </border>
    <border>
      <left style="medium">
        <color indexed="64"/>
      </left>
      <right style="thin">
        <color rgb="FF000000"/>
      </right>
      <top/>
      <bottom style="thin">
        <color rgb="FF000000"/>
      </bottom>
      <diagonal/>
    </border>
    <border>
      <left style="medium">
        <color indexed="64"/>
      </left>
      <right style="medium">
        <color indexed="64"/>
      </right>
      <top style="medium">
        <color indexed="64"/>
      </top>
      <bottom/>
      <diagonal/>
    </border>
  </borders>
  <cellStyleXfs count="3">
    <xf numFmtId="0" fontId="0" fillId="0" borderId="0"/>
    <xf numFmtId="9" fontId="6" fillId="0" borderId="0"/>
    <xf numFmtId="43" fontId="6" fillId="0" borderId="0"/>
  </cellStyleXfs>
  <cellXfs count="173">
    <xf numFmtId="0" fontId="0" fillId="0" borderId="0" xfId="0"/>
    <xf numFmtId="0" fontId="1" fillId="0" borderId="1" xfId="0" applyFont="1" applyBorder="1" applyAlignment="1">
      <alignment wrapText="1"/>
    </xf>
    <xf numFmtId="0" fontId="1" fillId="8" borderId="4" xfId="0" applyFont="1" applyFill="1" applyBorder="1"/>
    <xf numFmtId="0" fontId="1" fillId="9" borderId="4" xfId="0" applyFont="1" applyFill="1" applyBorder="1"/>
    <xf numFmtId="0" fontId="4" fillId="0" borderId="4" xfId="0" applyFont="1" applyBorder="1" applyAlignment="1">
      <alignment wrapText="1"/>
    </xf>
    <xf numFmtId="0" fontId="4" fillId="4" borderId="4" xfId="0" applyFont="1" applyFill="1" applyBorder="1" applyAlignment="1">
      <alignment wrapText="1"/>
    </xf>
    <xf numFmtId="0" fontId="5" fillId="11" borderId="4" xfId="0" applyFont="1" applyFill="1" applyBorder="1" applyAlignment="1">
      <alignment wrapText="1"/>
    </xf>
    <xf numFmtId="0" fontId="5" fillId="0" borderId="4" xfId="0" applyFont="1" applyBorder="1" applyAlignment="1">
      <alignment wrapText="1"/>
    </xf>
    <xf numFmtId="0" fontId="1" fillId="0" borderId="0" xfId="0" applyFont="1"/>
    <xf numFmtId="0" fontId="1" fillId="0" borderId="5" xfId="0" applyFont="1" applyBorder="1" applyAlignment="1">
      <alignment wrapText="1"/>
    </xf>
    <xf numFmtId="0" fontId="1" fillId="13" borderId="8" xfId="0" applyFont="1" applyFill="1" applyBorder="1" applyAlignment="1">
      <alignment wrapText="1"/>
    </xf>
    <xf numFmtId="0" fontId="1" fillId="0" borderId="8" xfId="0" applyFont="1" applyBorder="1" applyAlignment="1">
      <alignment wrapText="1"/>
    </xf>
    <xf numFmtId="0" fontId="1" fillId="8" borderId="7" xfId="0" applyFont="1" applyFill="1" applyBorder="1"/>
    <xf numFmtId="0" fontId="5" fillId="0" borderId="0" xfId="0" applyFont="1" applyAlignment="1">
      <alignment wrapText="1"/>
    </xf>
    <xf numFmtId="0" fontId="5" fillId="11" borderId="0" xfId="0" applyFont="1" applyFill="1" applyAlignment="1">
      <alignment wrapText="1"/>
    </xf>
    <xf numFmtId="0" fontId="5" fillId="0" borderId="9" xfId="0" applyFont="1" applyBorder="1"/>
    <xf numFmtId="0" fontId="5" fillId="0" borderId="10" xfId="0" applyFont="1" applyBorder="1"/>
    <xf numFmtId="0" fontId="5" fillId="0" borderId="10" xfId="0" applyFont="1" applyBorder="1" applyAlignment="1">
      <alignment wrapText="1"/>
    </xf>
    <xf numFmtId="0" fontId="1" fillId="0" borderId="0" xfId="0" applyFont="1" applyAlignment="1">
      <alignment wrapText="1"/>
    </xf>
    <xf numFmtId="0" fontId="1" fillId="0" borderId="5" xfId="0" applyFont="1" applyBorder="1"/>
    <xf numFmtId="0" fontId="1" fillId="0" borderId="8" xfId="0" applyFont="1" applyBorder="1"/>
    <xf numFmtId="0" fontId="1" fillId="13" borderId="8" xfId="0" applyFont="1" applyFill="1" applyBorder="1"/>
    <xf numFmtId="0" fontId="1" fillId="13" borderId="5" xfId="0" applyFont="1" applyFill="1" applyBorder="1"/>
    <xf numFmtId="0" fontId="1" fillId="13" borderId="5" xfId="0" applyFont="1" applyFill="1" applyBorder="1" applyAlignment="1">
      <alignment wrapText="1"/>
    </xf>
    <xf numFmtId="0" fontId="1" fillId="2" borderId="6" xfId="0" applyFont="1" applyFill="1" applyBorder="1"/>
    <xf numFmtId="0" fontId="1" fillId="0" borderId="7" xfId="0" applyFont="1" applyBorder="1"/>
    <xf numFmtId="0" fontId="1" fillId="13" borderId="0" xfId="0" applyFont="1" applyFill="1"/>
    <xf numFmtId="14" fontId="1" fillId="0" borderId="0" xfId="0" applyNumberFormat="1" applyFont="1"/>
    <xf numFmtId="0" fontId="3" fillId="2" borderId="2" xfId="0" applyFont="1" applyFill="1" applyBorder="1" applyAlignment="1">
      <alignment vertical="center" textRotation="90" wrapText="1"/>
    </xf>
    <xf numFmtId="0" fontId="3" fillId="3" borderId="2" xfId="0" applyFont="1" applyFill="1" applyBorder="1" applyAlignment="1">
      <alignment vertical="center" textRotation="90" wrapText="1"/>
    </xf>
    <xf numFmtId="0" fontId="1" fillId="5" borderId="2" xfId="0" applyFont="1" applyFill="1" applyBorder="1" applyAlignment="1">
      <alignment vertical="center" textRotation="90" wrapText="1"/>
    </xf>
    <xf numFmtId="0" fontId="1" fillId="3" borderId="2" xfId="0" applyFont="1" applyFill="1" applyBorder="1" applyAlignment="1">
      <alignment vertical="center" textRotation="90" wrapText="1"/>
    </xf>
    <xf numFmtId="0" fontId="1" fillId="7" borderId="2" xfId="0" applyFont="1" applyFill="1" applyBorder="1" applyAlignment="1">
      <alignment vertical="center" textRotation="90"/>
    </xf>
    <xf numFmtId="0" fontId="1" fillId="8" borderId="2" xfId="0" applyFont="1" applyFill="1" applyBorder="1" applyAlignment="1">
      <alignment vertical="center"/>
    </xf>
    <xf numFmtId="0" fontId="1" fillId="9" borderId="2" xfId="0" applyFont="1" applyFill="1" applyBorder="1" applyAlignment="1">
      <alignment vertical="center"/>
    </xf>
    <xf numFmtId="0" fontId="0" fillId="0" borderId="0" xfId="0" applyAlignment="1">
      <alignment wrapText="1"/>
    </xf>
    <xf numFmtId="0" fontId="2" fillId="0" borderId="2" xfId="0" applyFont="1" applyBorder="1" applyAlignment="1">
      <alignment horizontal="center" wrapText="1"/>
    </xf>
    <xf numFmtId="0" fontId="0" fillId="0" borderId="0" xfId="0" pivotButton="1"/>
    <xf numFmtId="0" fontId="0" fillId="0" borderId="0" xfId="0" applyAlignment="1">
      <alignment horizontal="left"/>
    </xf>
    <xf numFmtId="0" fontId="1" fillId="5" borderId="1" xfId="0" applyFont="1" applyFill="1" applyBorder="1" applyAlignment="1">
      <alignment wrapText="1"/>
    </xf>
    <xf numFmtId="0" fontId="1" fillId="5" borderId="3" xfId="0" applyFont="1" applyFill="1" applyBorder="1" applyAlignment="1">
      <alignment wrapText="1"/>
    </xf>
    <xf numFmtId="0" fontId="1" fillId="3" borderId="2" xfId="0" applyFont="1" applyFill="1" applyBorder="1" applyAlignment="1">
      <alignment wrapText="1"/>
    </xf>
    <xf numFmtId="0" fontId="1" fillId="6" borderId="7" xfId="0" applyFont="1" applyFill="1" applyBorder="1"/>
    <xf numFmtId="0" fontId="1" fillId="7" borderId="2" xfId="0" applyFont="1" applyFill="1" applyBorder="1"/>
    <xf numFmtId="0" fontId="1" fillId="3" borderId="4" xfId="0" applyFont="1" applyFill="1" applyBorder="1" applyAlignment="1">
      <alignment wrapText="1"/>
    </xf>
    <xf numFmtId="0" fontId="1" fillId="7" borderId="4" xfId="0" applyFont="1" applyFill="1" applyBorder="1"/>
    <xf numFmtId="0" fontId="1" fillId="8" borderId="0" xfId="0" applyFont="1" applyFill="1"/>
    <xf numFmtId="14" fontId="0" fillId="0" borderId="0" xfId="0" applyNumberFormat="1"/>
    <xf numFmtId="0" fontId="0" fillId="0" borderId="0" xfId="0" applyAlignment="1">
      <alignment vertical="center" wrapText="1"/>
    </xf>
    <xf numFmtId="14" fontId="2" fillId="0" borderId="2" xfId="0" applyNumberFormat="1" applyFont="1" applyBorder="1" applyAlignment="1">
      <alignment vertical="center" wrapText="1"/>
    </xf>
    <xf numFmtId="0" fontId="0" fillId="14" borderId="11" xfId="0" applyFill="1" applyBorder="1"/>
    <xf numFmtId="0" fontId="5" fillId="0" borderId="9" xfId="0" applyFont="1" applyBorder="1" applyAlignment="1">
      <alignment wrapText="1"/>
    </xf>
    <xf numFmtId="0" fontId="5" fillId="11" borderId="10" xfId="0" applyFont="1" applyFill="1" applyBorder="1" applyAlignment="1">
      <alignment wrapText="1"/>
    </xf>
    <xf numFmtId="0" fontId="1" fillId="6" borderId="2" xfId="0" applyFont="1" applyFill="1" applyBorder="1" applyAlignment="1">
      <alignment vertical="center" textRotation="90"/>
    </xf>
    <xf numFmtId="0" fontId="1" fillId="10" borderId="3" xfId="0" applyFont="1" applyFill="1" applyBorder="1" applyAlignment="1">
      <alignment wrapText="1"/>
    </xf>
    <xf numFmtId="0" fontId="1" fillId="0" borderId="4" xfId="0" applyFont="1" applyBorder="1" applyAlignment="1">
      <alignment wrapText="1"/>
    </xf>
    <xf numFmtId="0" fontId="1" fillId="2" borderId="4" xfId="0" applyFont="1" applyFill="1" applyBorder="1" applyAlignment="1">
      <alignment wrapText="1"/>
    </xf>
    <xf numFmtId="0" fontId="1" fillId="5" borderId="4" xfId="0" applyFont="1" applyFill="1" applyBorder="1" applyAlignment="1">
      <alignment wrapText="1"/>
    </xf>
    <xf numFmtId="0" fontId="1" fillId="6" borderId="4" xfId="0" applyFont="1" applyFill="1" applyBorder="1"/>
    <xf numFmtId="0" fontId="1" fillId="3" borderId="4" xfId="0" applyFont="1" applyFill="1" applyBorder="1"/>
    <xf numFmtId="0" fontId="1" fillId="0" borderId="4" xfId="0" applyFont="1" applyBorder="1"/>
    <xf numFmtId="0" fontId="1" fillId="2" borderId="4" xfId="0" applyFont="1" applyFill="1" applyBorder="1"/>
    <xf numFmtId="0" fontId="1" fillId="5" borderId="4" xfId="0" applyFont="1" applyFill="1" applyBorder="1"/>
    <xf numFmtId="0" fontId="1" fillId="4" borderId="4" xfId="0" applyFont="1" applyFill="1" applyBorder="1" applyAlignment="1">
      <alignment wrapText="1"/>
    </xf>
    <xf numFmtId="0" fontId="1" fillId="12" borderId="4" xfId="0" applyFont="1" applyFill="1" applyBorder="1" applyAlignment="1">
      <alignment wrapText="1"/>
    </xf>
    <xf numFmtId="0" fontId="1" fillId="6" borderId="6" xfId="0" applyFont="1" applyFill="1" applyBorder="1"/>
    <xf numFmtId="0" fontId="1" fillId="7" borderId="6" xfId="0" applyFont="1" applyFill="1" applyBorder="1"/>
    <xf numFmtId="0" fontId="1" fillId="7" borderId="1" xfId="0" applyFont="1" applyFill="1" applyBorder="1"/>
    <xf numFmtId="0" fontId="1" fillId="6" borderId="0" xfId="0" applyFont="1" applyFill="1"/>
    <xf numFmtId="0" fontId="1" fillId="2" borderId="0" xfId="0" applyFont="1" applyFill="1"/>
    <xf numFmtId="16" fontId="0" fillId="0" borderId="0" xfId="0" applyNumberFormat="1"/>
    <xf numFmtId="14" fontId="0" fillId="0" borderId="0" xfId="0" quotePrefix="1" applyNumberFormat="1" applyAlignment="1">
      <alignment vertical="center" wrapText="1"/>
    </xf>
    <xf numFmtId="0" fontId="0" fillId="15" borderId="0" xfId="0" applyFill="1"/>
    <xf numFmtId="0" fontId="0" fillId="15" borderId="11" xfId="0" applyFill="1" applyBorder="1"/>
    <xf numFmtId="0" fontId="0" fillId="15" borderId="11" xfId="0" quotePrefix="1" applyFill="1" applyBorder="1"/>
    <xf numFmtId="0" fontId="0" fillId="15" borderId="11" xfId="0" applyFill="1" applyBorder="1" applyAlignment="1">
      <alignment wrapText="1"/>
    </xf>
    <xf numFmtId="0" fontId="1" fillId="0" borderId="2" xfId="0" applyFont="1" applyBorder="1" applyAlignment="1">
      <alignment wrapText="1"/>
    </xf>
    <xf numFmtId="0" fontId="1" fillId="10" borderId="4" xfId="0" applyFont="1" applyFill="1" applyBorder="1" applyAlignment="1">
      <alignment wrapText="1"/>
    </xf>
    <xf numFmtId="0" fontId="1" fillId="10" borderId="0" xfId="0" applyFont="1" applyFill="1" applyAlignment="1">
      <alignment wrapText="1"/>
    </xf>
    <xf numFmtId="0" fontId="1" fillId="4" borderId="0" xfId="0" applyFont="1" applyFill="1" applyAlignment="1">
      <alignment wrapText="1"/>
    </xf>
    <xf numFmtId="0" fontId="1" fillId="10" borderId="0" xfId="0" applyFont="1" applyFill="1" applyAlignment="1">
      <alignment vertical="center" wrapText="1"/>
    </xf>
    <xf numFmtId="0" fontId="0" fillId="0" borderId="7" xfId="0" applyBorder="1"/>
    <xf numFmtId="0" fontId="0" fillId="0" borderId="10" xfId="0" applyBorder="1"/>
    <xf numFmtId="0" fontId="0" fillId="0" borderId="12" xfId="0" applyBorder="1"/>
    <xf numFmtId="0" fontId="5" fillId="11" borderId="9" xfId="0" applyFont="1" applyFill="1" applyBorder="1" applyAlignment="1">
      <alignment wrapText="1"/>
    </xf>
    <xf numFmtId="0" fontId="5" fillId="11" borderId="9" xfId="0" applyFont="1" applyFill="1" applyBorder="1"/>
    <xf numFmtId="0" fontId="5" fillId="0" borderId="0" xfId="0" applyFont="1"/>
    <xf numFmtId="0" fontId="5" fillId="0" borderId="13" xfId="0" applyFont="1" applyBorder="1" applyAlignment="1">
      <alignment wrapText="1"/>
    </xf>
    <xf numFmtId="0" fontId="5" fillId="16" borderId="13" xfId="0" applyFont="1" applyFill="1" applyBorder="1" applyAlignment="1">
      <alignment wrapText="1"/>
    </xf>
    <xf numFmtId="0" fontId="5" fillId="4" borderId="9" xfId="0" applyFont="1" applyFill="1" applyBorder="1"/>
    <xf numFmtId="0" fontId="5" fillId="4" borderId="9" xfId="0" applyFont="1" applyFill="1" applyBorder="1" applyAlignment="1">
      <alignment wrapText="1"/>
    </xf>
    <xf numFmtId="0" fontId="1" fillId="0" borderId="14" xfId="0" applyFont="1" applyBorder="1"/>
    <xf numFmtId="0" fontId="1" fillId="0" borderId="15" xfId="0" applyFont="1" applyBorder="1"/>
    <xf numFmtId="0" fontId="0" fillId="8" borderId="4" xfId="0" applyFill="1" applyBorder="1"/>
    <xf numFmtId="0" fontId="5" fillId="0" borderId="7" xfId="0" applyFont="1" applyBorder="1"/>
    <xf numFmtId="0" fontId="5" fillId="16" borderId="13" xfId="0" applyFont="1" applyFill="1" applyBorder="1"/>
    <xf numFmtId="0" fontId="5" fillId="0" borderId="13" xfId="0" applyFont="1" applyBorder="1"/>
    <xf numFmtId="0" fontId="5" fillId="4" borderId="0" xfId="0" applyFont="1" applyFill="1"/>
    <xf numFmtId="0" fontId="0" fillId="7" borderId="6" xfId="0" applyFill="1" applyBorder="1"/>
    <xf numFmtId="0" fontId="5" fillId="0" borderId="9" xfId="0" applyFont="1" applyBorder="1" applyAlignment="1">
      <alignment horizontal="left"/>
    </xf>
    <xf numFmtId="0" fontId="5" fillId="4" borderId="13" xfId="0" applyFont="1" applyFill="1" applyBorder="1"/>
    <xf numFmtId="14" fontId="1" fillId="15" borderId="0" xfId="0" applyNumberFormat="1" applyFont="1" applyFill="1"/>
    <xf numFmtId="9" fontId="0" fillId="0" borderId="0" xfId="1" applyFont="1"/>
    <xf numFmtId="0" fontId="8" fillId="17" borderId="16" xfId="0" applyFont="1" applyFill="1" applyBorder="1"/>
    <xf numFmtId="0" fontId="0" fillId="0" borderId="17" xfId="0" applyBorder="1"/>
    <xf numFmtId="0" fontId="0" fillId="0" borderId="18" xfId="0" applyBorder="1"/>
    <xf numFmtId="0" fontId="0" fillId="0" borderId="19" xfId="0" applyBorder="1"/>
    <xf numFmtId="0" fontId="0" fillId="0" borderId="20" xfId="0" applyBorder="1"/>
    <xf numFmtId="0" fontId="0" fillId="0" borderId="21" xfId="0" applyBorder="1"/>
    <xf numFmtId="0" fontId="0" fillId="0" borderId="22" xfId="0" applyBorder="1"/>
    <xf numFmtId="0" fontId="0" fillId="0" borderId="23" xfId="0" applyBorder="1"/>
    <xf numFmtId="0" fontId="0" fillId="0" borderId="24" xfId="0" applyBorder="1"/>
    <xf numFmtId="0" fontId="0" fillId="0" borderId="25" xfId="0" applyBorder="1"/>
    <xf numFmtId="0" fontId="8" fillId="17" borderId="0" xfId="0" applyFont="1" applyFill="1"/>
    <xf numFmtId="14" fontId="0" fillId="0" borderId="0" xfId="0" quotePrefix="1" applyNumberFormat="1" applyAlignment="1">
      <alignment horizontal="left"/>
    </xf>
    <xf numFmtId="164" fontId="0" fillId="0" borderId="0" xfId="0" applyNumberFormat="1" applyAlignment="1">
      <alignment horizontal="center"/>
    </xf>
    <xf numFmtId="0" fontId="7" fillId="0" borderId="0" xfId="0" applyFont="1"/>
    <xf numFmtId="0" fontId="7" fillId="7" borderId="6" xfId="0" applyFont="1" applyFill="1" applyBorder="1"/>
    <xf numFmtId="0" fontId="7" fillId="7" borderId="1" xfId="0" applyFont="1" applyFill="1" applyBorder="1"/>
    <xf numFmtId="0" fontId="7" fillId="7" borderId="4" xfId="0" applyFont="1" applyFill="1" applyBorder="1"/>
    <xf numFmtId="0" fontId="7" fillId="0" borderId="0" xfId="0" applyFont="1" applyAlignment="1">
      <alignment wrapText="1"/>
    </xf>
    <xf numFmtId="0" fontId="7" fillId="0" borderId="4" xfId="0" applyFont="1" applyBorder="1"/>
    <xf numFmtId="0" fontId="7" fillId="0" borderId="6" xfId="0" applyFont="1" applyBorder="1"/>
    <xf numFmtId="0" fontId="9" fillId="0" borderId="9" xfId="0" applyFont="1" applyBorder="1" applyAlignment="1">
      <alignment wrapText="1"/>
    </xf>
    <xf numFmtId="0" fontId="1" fillId="15" borderId="4" xfId="0" applyFont="1" applyFill="1" applyBorder="1" applyAlignment="1">
      <alignment wrapText="1"/>
    </xf>
    <xf numFmtId="165" fontId="0" fillId="0" borderId="0" xfId="2" applyNumberFormat="1" applyFont="1"/>
    <xf numFmtId="0" fontId="0" fillId="0" borderId="11" xfId="0" applyBorder="1"/>
    <xf numFmtId="0" fontId="7" fillId="18" borderId="0" xfId="0" applyFont="1" applyFill="1"/>
    <xf numFmtId="0" fontId="7" fillId="18" borderId="6" xfId="0" applyFont="1" applyFill="1" applyBorder="1"/>
    <xf numFmtId="0" fontId="0" fillId="18" borderId="0" xfId="0" applyFill="1"/>
    <xf numFmtId="14" fontId="0" fillId="18" borderId="0" xfId="0" applyNumberFormat="1" applyFill="1"/>
    <xf numFmtId="0" fontId="7" fillId="18" borderId="4" xfId="0" applyFont="1" applyFill="1" applyBorder="1"/>
    <xf numFmtId="0" fontId="0" fillId="14" borderId="11" xfId="0" quotePrefix="1" applyFill="1" applyBorder="1"/>
    <xf numFmtId="0" fontId="0" fillId="0" borderId="11" xfId="0" quotePrefix="1" applyBorder="1"/>
    <xf numFmtId="0" fontId="0" fillId="14" borderId="0" xfId="0" applyFill="1"/>
    <xf numFmtId="0" fontId="0" fillId="14" borderId="11" xfId="0" applyFill="1" applyBorder="1" applyAlignment="1">
      <alignment wrapText="1"/>
    </xf>
    <xf numFmtId="0" fontId="0" fillId="0" borderId="26" xfId="0" applyBorder="1"/>
    <xf numFmtId="9" fontId="0" fillId="0" borderId="26" xfId="1" applyFont="1" applyBorder="1"/>
    <xf numFmtId="0" fontId="1" fillId="0" borderId="26" xfId="0" applyFont="1" applyBorder="1"/>
    <xf numFmtId="0" fontId="0" fillId="0" borderId="27" xfId="0" applyBorder="1"/>
    <xf numFmtId="0" fontId="1" fillId="0" borderId="11" xfId="0" applyFont="1" applyBorder="1"/>
    <xf numFmtId="0" fontId="1" fillId="0" borderId="7" xfId="0" applyFont="1" applyBorder="1" applyAlignment="1">
      <alignment wrapText="1"/>
    </xf>
    <xf numFmtId="0" fontId="0" fillId="0" borderId="28" xfId="0" applyBorder="1"/>
    <xf numFmtId="0" fontId="0" fillId="0" borderId="29" xfId="0" applyBorder="1"/>
    <xf numFmtId="0" fontId="0" fillId="0" borderId="30" xfId="0" applyBorder="1"/>
    <xf numFmtId="0" fontId="0" fillId="0" borderId="31" xfId="0" applyBorder="1"/>
    <xf numFmtId="0" fontId="0" fillId="0" borderId="32" xfId="0" applyBorder="1"/>
    <xf numFmtId="0" fontId="0" fillId="0" borderId="33" xfId="0" applyBorder="1"/>
    <xf numFmtId="9" fontId="0" fillId="0" borderId="29" xfId="1" applyFont="1" applyBorder="1"/>
    <xf numFmtId="9" fontId="0" fillId="0" borderId="30" xfId="1" applyFont="1" applyBorder="1"/>
    <xf numFmtId="0" fontId="1" fillId="0" borderId="29" xfId="0" applyFont="1" applyBorder="1"/>
    <xf numFmtId="0" fontId="1" fillId="0" borderId="30" xfId="0" applyFont="1" applyBorder="1"/>
    <xf numFmtId="0" fontId="7" fillId="0" borderId="0" xfId="0" quotePrefix="1" applyFont="1"/>
    <xf numFmtId="0" fontId="0" fillId="0" borderId="1" xfId="0" applyBorder="1"/>
    <xf numFmtId="0" fontId="0" fillId="0" borderId="38" xfId="0" applyBorder="1"/>
    <xf numFmtId="0" fontId="1" fillId="0" borderId="39" xfId="0" applyFont="1" applyBorder="1"/>
    <xf numFmtId="0" fontId="0" fillId="15" borderId="36" xfId="0" applyFill="1" applyBorder="1"/>
    <xf numFmtId="9" fontId="0" fillId="15" borderId="0" xfId="1" applyFont="1" applyFill="1"/>
    <xf numFmtId="0" fontId="0" fillId="15" borderId="37" xfId="0" applyFill="1" applyBorder="1"/>
    <xf numFmtId="0" fontId="0" fillId="0" borderId="0" xfId="0" applyAlignment="1">
      <alignment horizontal="center" wrapText="1"/>
    </xf>
    <xf numFmtId="0" fontId="0" fillId="0" borderId="26" xfId="0" applyBorder="1" applyAlignment="1">
      <alignment horizontal="center" wrapText="1"/>
    </xf>
    <xf numFmtId="0" fontId="0" fillId="0" borderId="40" xfId="0" applyBorder="1"/>
    <xf numFmtId="9" fontId="0" fillId="0" borderId="32" xfId="1" applyFont="1" applyBorder="1"/>
    <xf numFmtId="164" fontId="0" fillId="0" borderId="0" xfId="0" applyNumberFormat="1"/>
    <xf numFmtId="166" fontId="0" fillId="0" borderId="0" xfId="0" applyNumberFormat="1"/>
    <xf numFmtId="0" fontId="0" fillId="15" borderId="43" xfId="0" applyFill="1" applyBorder="1" applyAlignment="1">
      <alignment horizontal="center"/>
    </xf>
    <xf numFmtId="0" fontId="0" fillId="0" borderId="34" xfId="0" applyBorder="1"/>
    <xf numFmtId="0" fontId="0" fillId="0" borderId="35" xfId="0" applyBorder="1"/>
    <xf numFmtId="0" fontId="0" fillId="0" borderId="38" xfId="0" applyBorder="1" applyAlignment="1">
      <alignment horizontal="center" vertical="center"/>
    </xf>
    <xf numFmtId="0" fontId="0" fillId="0" borderId="41" xfId="0" applyBorder="1"/>
    <xf numFmtId="0" fontId="0" fillId="0" borderId="42" xfId="0" applyBorder="1"/>
    <xf numFmtId="0" fontId="0" fillId="0" borderId="0" xfId="0" applyAlignment="1">
      <alignment horizontal="center"/>
    </xf>
    <xf numFmtId="0" fontId="0" fillId="0" borderId="0" xfId="0"/>
  </cellXfs>
  <cellStyles count="3">
    <cellStyle name="Comma" xfId="2" builtinId="3"/>
    <cellStyle name="Normal" xfId="0" builtinId="0"/>
    <cellStyle name="Percent" xfId="1" builtinId="5"/>
  </cellStyles>
  <dxfs count="24">
    <dxf>
      <border>
        <left style="thin">
          <color rgb="FF000000"/>
        </left>
        <right/>
        <top style="thin">
          <color rgb="FF000000"/>
        </top>
        <bottom style="thin">
          <color rgb="FF000000"/>
        </bottom>
        <vertical style="thin">
          <color rgb="FF000000"/>
        </vertical>
        <horizontal style="thin">
          <color rgb="FF000000"/>
        </horizontal>
      </border>
    </dxf>
    <dxf>
      <border>
        <left/>
        <right style="thin">
          <color rgb="FF000000"/>
        </right>
        <top style="thin">
          <color rgb="FF000000"/>
        </top>
        <bottom style="thin">
          <color rgb="FF000000"/>
        </bottom>
        <vertical style="thin">
          <color rgb="FF000000"/>
        </vertical>
        <horizontal style="thin">
          <color rgb="FF000000"/>
        </horizontal>
      </border>
    </dxf>
    <dxf>
      <border>
        <top style="thin">
          <color rgb="FF000000"/>
        </top>
      </border>
    </dxf>
    <dxf>
      <border>
        <left style="thin">
          <color rgb="FF000000"/>
        </left>
        <right style="thin">
          <color rgb="FF000000"/>
        </right>
        <top style="thin">
          <color rgb="FF000000"/>
        </top>
        <bottom style="thin">
          <color rgb="FF000000"/>
        </bottom>
      </border>
    </dxf>
    <dxf>
      <border>
        <bottom style="thin">
          <color rgb="FF000000"/>
        </bottom>
      </border>
    </dxf>
    <dxf>
      <border>
        <left style="thin">
          <color rgb="FF000000"/>
        </left>
        <right style="thin">
          <color rgb="FF000000"/>
        </right>
        <top/>
        <bottom/>
        <vertical style="thin">
          <color rgb="FF000000"/>
        </vertical>
        <horizontal style="thin">
          <color rgb="FF000000"/>
        </horizontal>
      </border>
    </dxf>
    <dxf>
      <border>
        <left style="thin">
          <color rgb="FF000000"/>
        </left>
        <right/>
        <top style="thin">
          <color rgb="FF000000"/>
        </top>
        <bottom style="thin">
          <color rgb="FF000000"/>
        </bottom>
        <vertical style="thin">
          <color rgb="FF000000"/>
        </vertical>
        <horizontal style="thin">
          <color rgb="FF000000"/>
        </horizontal>
      </border>
    </dxf>
    <dxf>
      <font>
        <strike val="0"/>
        <condense val="0"/>
        <extend val="0"/>
        <outline val="0"/>
        <shadow val="0"/>
        <vertAlign val="baseline"/>
        <sz val="10"/>
        <color auto="1"/>
        <name val="Arial"/>
        <family val="2"/>
      </font>
      <border>
        <left/>
        <right style="thin">
          <color rgb="FF000000"/>
        </right>
        <top style="thin">
          <color rgb="FF000000"/>
        </top>
        <bottom style="thin">
          <color rgb="FF000000"/>
        </bottom>
        <vertical style="thin">
          <color rgb="FF000000"/>
        </vertical>
        <horizontal style="thin">
          <color rgb="FF000000"/>
        </horizontal>
      </border>
    </dxf>
    <dxf>
      <border>
        <top style="thin">
          <color rgb="FF000000"/>
        </top>
      </border>
    </dxf>
    <dxf>
      <border>
        <left style="thin">
          <color rgb="FF000000"/>
        </left>
        <right style="thin">
          <color rgb="FF000000"/>
        </right>
        <top style="thin">
          <color rgb="FF000000"/>
        </top>
        <bottom style="thin">
          <color rgb="FF000000"/>
        </bottom>
      </border>
    </dxf>
    <dxf>
      <border>
        <bottom style="thin">
          <color rgb="FF000000"/>
        </bottom>
      </border>
    </dxf>
    <dxf>
      <border>
        <left style="thin">
          <color rgb="FF000000"/>
        </left>
        <right style="thin">
          <color rgb="FF000000"/>
        </right>
        <top/>
        <bottom/>
        <vertical style="thin">
          <color rgb="FF000000"/>
        </vertical>
        <horizontal style="thin">
          <color rgb="FF000000"/>
        </horizontal>
      </border>
    </dxf>
    <dxf>
      <border>
        <left style="thin">
          <color rgb="FF000000"/>
        </left>
        <right/>
        <top style="thin">
          <color rgb="FF000000"/>
        </top>
        <bottom style="thin">
          <color rgb="FF000000"/>
        </bottom>
        <vertical style="thin">
          <color rgb="FF000000"/>
        </vertical>
        <horizontal style="thin">
          <color rgb="FF000000"/>
        </horizontal>
      </border>
    </dxf>
    <dxf>
      <font>
        <strike val="0"/>
        <condense val="0"/>
        <extend val="0"/>
        <outline val="0"/>
        <shadow val="0"/>
        <vertAlign val="baseline"/>
        <sz val="11"/>
        <color theme="1"/>
        <name val="Calibri"/>
        <family val="2"/>
        <scheme val="minor"/>
      </font>
      <border>
        <left/>
        <right style="thin">
          <color rgb="FF000000"/>
        </right>
        <top style="thin">
          <color rgb="FF000000"/>
        </top>
        <bottom style="thin">
          <color rgb="FF000000"/>
        </bottom>
        <vertical style="thin">
          <color rgb="FF000000"/>
        </vertical>
        <horizontal style="thin">
          <color rgb="FF000000"/>
        </horizontal>
      </border>
    </dxf>
    <dxf>
      <border>
        <top style="thin">
          <color rgb="FF000000"/>
        </top>
      </border>
    </dxf>
    <dxf>
      <border>
        <left style="thin">
          <color rgb="FF000000"/>
        </left>
        <right style="thin">
          <color rgb="FF000000"/>
        </right>
        <top style="thin">
          <color rgb="FF000000"/>
        </top>
        <bottom style="thin">
          <color rgb="FF000000"/>
        </bottom>
      </border>
    </dxf>
    <dxf>
      <border>
        <bottom style="thin">
          <color rgb="FF000000"/>
        </bottom>
      </border>
    </dxf>
    <dxf>
      <border>
        <left style="thin">
          <color rgb="FF000000"/>
        </left>
        <right style="thin">
          <color rgb="FF000000"/>
        </right>
        <top/>
        <bottom/>
        <vertical style="thin">
          <color rgb="FF000000"/>
        </vertical>
        <horizontal style="thin">
          <color rgb="FF000000"/>
        </horizontal>
      </border>
    </dxf>
    <dxf>
      <border>
        <left style="thin">
          <color rgb="FF000000"/>
        </left>
        <right/>
        <top style="thin">
          <color rgb="FF000000"/>
        </top>
        <bottom style="thin">
          <color rgb="FF000000"/>
        </bottom>
        <vertical style="thin">
          <color rgb="FF000000"/>
        </vertical>
        <horizontal style="thin">
          <color rgb="FF000000"/>
        </horizontal>
      </border>
    </dxf>
    <dxf>
      <border>
        <left/>
        <right style="thin">
          <color rgb="FF000000"/>
        </right>
        <top style="thin">
          <color rgb="FF000000"/>
        </top>
        <bottom style="thin">
          <color rgb="FF000000"/>
        </bottom>
        <vertical style="thin">
          <color rgb="FF000000"/>
        </vertical>
        <horizontal style="thin">
          <color rgb="FF000000"/>
        </horizontal>
      </border>
    </dxf>
    <dxf>
      <border>
        <top style="thin">
          <color rgb="FF000000"/>
        </top>
      </border>
    </dxf>
    <dxf>
      <border>
        <left style="thin">
          <color rgb="FF000000"/>
        </left>
        <right style="thin">
          <color rgb="FF000000"/>
        </right>
        <top style="thin">
          <color rgb="FF000000"/>
        </top>
        <bottom style="thin">
          <color rgb="FF000000"/>
        </bottom>
      </border>
    </dxf>
    <dxf>
      <border>
        <bottom style="thin">
          <color rgb="FF000000"/>
        </bottom>
      </border>
    </dxf>
    <dxf>
      <border>
        <left style="thin">
          <color rgb="FF000000"/>
        </left>
        <right style="thin">
          <color rgb="FF000000"/>
        </right>
        <top/>
        <bottom/>
        <vertical style="thin">
          <color rgb="FF000000"/>
        </vertical>
        <horizontal style="thin">
          <color rgb="FF000000"/>
        </horizontal>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endParaRPr/>
          </a:p>
        </c:rich>
      </c:tx>
      <c:overlay val="0"/>
      <c:spPr>
        <a:noFill/>
        <a:ln>
          <a:noFill/>
          <a:prstDash val="solid"/>
        </a:ln>
      </c:spPr>
    </c:title>
    <c:autoTitleDeleted val="0"/>
    <c:plotArea>
      <c:layout/>
      <c:barChart>
        <c:barDir val="bar"/>
        <c:grouping val="clustered"/>
        <c:varyColors val="0"/>
        <c:ser>
          <c:idx val="0"/>
          <c:order val="0"/>
          <c:spPr>
            <a:gradFill rotWithShape="1">
              <a:gsLst>
                <a:gs pos="0">
                  <a:schemeClr val="accent1">
                    <a:tint val="94000"/>
                    <a:satMod val="103000"/>
                    <a:lumMod val="102000"/>
                  </a:schemeClr>
                </a:gs>
                <a:gs pos="50000">
                  <a:schemeClr val="accent1">
                    <a:shade val="100000"/>
                    <a:satMod val="110000"/>
                    <a:lumMod val="100000"/>
                  </a:schemeClr>
                </a:gs>
                <a:gs pos="100000">
                  <a:schemeClr val="accent1">
                    <a:shade val="78000"/>
                    <a:satMod val="120000"/>
                    <a:lumMod val="99000"/>
                  </a:schemeClr>
                </a:gs>
              </a:gsLst>
              <a:lin ang="5400000" scaled="0"/>
            </a:gra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'CSFA Accumilative data'!$AH$387:$AH$394</c:f>
              <c:strCache>
                <c:ptCount val="8"/>
                <c:pt idx="0">
                  <c:v> Aalanna </c:v>
                </c:pt>
                <c:pt idx="1">
                  <c:v>CCEPL</c:v>
                </c:pt>
                <c:pt idx="2">
                  <c:v>Crescon </c:v>
                </c:pt>
                <c:pt idx="3">
                  <c:v>Devasnsh</c:v>
                </c:pt>
                <c:pt idx="4">
                  <c:v>Ess Pee</c:v>
                </c:pt>
                <c:pt idx="5">
                  <c:v>Fluidline</c:v>
                </c:pt>
                <c:pt idx="6">
                  <c:v>GEA</c:v>
                </c:pt>
                <c:pt idx="7">
                  <c:v>SPX</c:v>
                </c:pt>
              </c:strCache>
            </c:strRef>
          </c:cat>
          <c:val>
            <c:numRef>
              <c:f>'CSFA Accumilative data'!$AI$387:$AI$394</c:f>
              <c:numCache>
                <c:formatCode>General</c:formatCode>
                <c:ptCount val="8"/>
                <c:pt idx="0" formatCode="_-* #,##0.00_-;\-* #,##0.00_-;_-* &quot;-&quot;??_-;_-@_-">
                  <c:v>2.69</c:v>
                </c:pt>
                <c:pt idx="1">
                  <c:v>2.88</c:v>
                </c:pt>
                <c:pt idx="2">
                  <c:v>3.04</c:v>
                </c:pt>
                <c:pt idx="3">
                  <c:v>2.46</c:v>
                </c:pt>
                <c:pt idx="4">
                  <c:v>2.61</c:v>
                </c:pt>
                <c:pt idx="5">
                  <c:v>2.95</c:v>
                </c:pt>
                <c:pt idx="6">
                  <c:v>2.52</c:v>
                </c:pt>
                <c:pt idx="7">
                  <c:v>2.5299999999999998</c:v>
                </c:pt>
              </c:numCache>
            </c:numRef>
          </c:val>
          <c:extLst>
            <c:ext xmlns:c16="http://schemas.microsoft.com/office/drawing/2014/chart" uri="{C3380CC4-5D6E-409C-BE32-E72D297353CC}">
              <c16:uniqueId val="{00000000-20C8-4043-A764-82CFB3B0BAB0}"/>
            </c:ext>
          </c:extLst>
        </c:ser>
        <c:dLbls>
          <c:dLblPos val="outEnd"/>
          <c:showLegendKey val="0"/>
          <c:showVal val="1"/>
          <c:showCatName val="0"/>
          <c:showSerName val="0"/>
          <c:showPercent val="0"/>
          <c:showBubbleSize val="0"/>
        </c:dLbls>
        <c:gapWidth val="115"/>
        <c:overlap val="-20"/>
        <c:axId val="1565760992"/>
        <c:axId val="1565761472"/>
      </c:barChart>
      <c:catAx>
        <c:axId val="1565760992"/>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65761472"/>
        <c:crosses val="autoZero"/>
        <c:auto val="1"/>
        <c:lblAlgn val="ctr"/>
        <c:lblOffset val="100"/>
        <c:noMultiLvlLbl val="0"/>
      </c:catAx>
      <c:valAx>
        <c:axId val="1565761472"/>
        <c:scaling>
          <c:orientation val="minMax"/>
        </c:scaling>
        <c:delete val="1"/>
        <c:axPos val="b"/>
        <c:numFmt formatCode="_-* #,##0.00_-;\-* #,##0.00_-;_-* &quot;-&quot;??_-;_-@_-" sourceLinked="1"/>
        <c:majorTickMark val="none"/>
        <c:minorTickMark val="none"/>
        <c:tickLblPos val="nextTo"/>
        <c:crossAx val="1565760992"/>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endParaRPr/>
          </a:p>
        </c:rich>
      </c:tx>
      <c:overlay val="0"/>
      <c:spPr>
        <a:noFill/>
        <a:ln>
          <a:noFill/>
          <a:prstDash val="solid"/>
        </a:ln>
      </c:spPr>
    </c:title>
    <c:autoTitleDeleted val="0"/>
    <c:plotArea>
      <c:layout/>
      <c:barChart>
        <c:barDir val="bar"/>
        <c:grouping val="clustered"/>
        <c:varyColors val="0"/>
        <c:ser>
          <c:idx val="0"/>
          <c:order val="0"/>
          <c:tx>
            <c:strRef>
              <c:f>'Severity info'!$L$18</c:f>
              <c:strCache>
                <c:ptCount val="1"/>
                <c:pt idx="0">
                  <c:v>unsafe acts</c:v>
                </c:pt>
              </c:strCache>
            </c:strRef>
          </c:tx>
          <c:spPr>
            <a:gradFill rotWithShape="1">
              <a:gsLst>
                <a:gs pos="0">
                  <a:schemeClr val="accent1">
                    <a:tint val="94000"/>
                    <a:satMod val="103000"/>
                    <a:lumMod val="102000"/>
                  </a:schemeClr>
                </a:gs>
                <a:gs pos="50000">
                  <a:schemeClr val="accent1">
                    <a:shade val="100000"/>
                    <a:satMod val="110000"/>
                    <a:lumMod val="100000"/>
                  </a:schemeClr>
                </a:gs>
                <a:gs pos="100000">
                  <a:schemeClr val="accent1">
                    <a:shade val="78000"/>
                    <a:satMod val="120000"/>
                    <a:lumMod val="99000"/>
                  </a:schemeClr>
                </a:gs>
              </a:gsLst>
              <a:lin ang="5400000" scaled="0"/>
            </a:gradFill>
            <a:ln>
              <a:noFill/>
              <a:prstDash val="solid"/>
            </a:ln>
          </c:spPr>
          <c:invertIfNegative val="0"/>
          <c:dPt>
            <c:idx val="0"/>
            <c:invertIfNegative val="0"/>
            <c:bubble3D val="0"/>
            <c:spPr>
              <a:solidFill>
                <a:srgbClr val="FFFF00"/>
              </a:solidFill>
              <a:ln>
                <a:noFill/>
                <a:prstDash val="solid"/>
              </a:ln>
            </c:spPr>
            <c:extLst>
              <c:ext xmlns:c16="http://schemas.microsoft.com/office/drawing/2014/chart" uri="{C3380CC4-5D6E-409C-BE32-E72D297353CC}">
                <c16:uniqueId val="{00000001-8060-4DB9-9A37-00695403ADAD}"/>
              </c:ext>
            </c:extLst>
          </c:dPt>
          <c:dPt>
            <c:idx val="1"/>
            <c:invertIfNegative val="0"/>
            <c:bubble3D val="0"/>
            <c:spPr>
              <a:solidFill>
                <a:srgbClr val="FFC000"/>
              </a:solidFill>
              <a:ln>
                <a:noFill/>
                <a:prstDash val="solid"/>
              </a:ln>
            </c:spPr>
            <c:extLst>
              <c:ext xmlns:c16="http://schemas.microsoft.com/office/drawing/2014/chart" uri="{C3380CC4-5D6E-409C-BE32-E72D297353CC}">
                <c16:uniqueId val="{00000003-8060-4DB9-9A37-00695403ADAD}"/>
              </c:ext>
            </c:extLst>
          </c:dPt>
          <c:dPt>
            <c:idx val="2"/>
            <c:invertIfNegative val="0"/>
            <c:bubble3D val="0"/>
            <c:spPr>
              <a:solidFill>
                <a:srgbClr val="FFC000"/>
              </a:solidFill>
              <a:ln>
                <a:noFill/>
                <a:prstDash val="solid"/>
              </a:ln>
            </c:spPr>
            <c:extLst>
              <c:ext xmlns:c16="http://schemas.microsoft.com/office/drawing/2014/chart" uri="{C3380CC4-5D6E-409C-BE32-E72D297353CC}">
                <c16:uniqueId val="{00000005-8060-4DB9-9A37-00695403ADAD}"/>
              </c:ext>
            </c:extLst>
          </c:dPt>
          <c:dPt>
            <c:idx val="3"/>
            <c:invertIfNegative val="0"/>
            <c:bubble3D val="0"/>
            <c:spPr>
              <a:solidFill>
                <a:srgbClr val="FFC000"/>
              </a:solidFill>
              <a:ln>
                <a:noFill/>
                <a:prstDash val="solid"/>
              </a:ln>
            </c:spPr>
            <c:extLst>
              <c:ext xmlns:c16="http://schemas.microsoft.com/office/drawing/2014/chart" uri="{C3380CC4-5D6E-409C-BE32-E72D297353CC}">
                <c16:uniqueId val="{00000007-8060-4DB9-9A37-00695403ADAD}"/>
              </c:ext>
            </c:extLst>
          </c:dPt>
          <c:dPt>
            <c:idx val="4"/>
            <c:invertIfNegative val="0"/>
            <c:bubble3D val="0"/>
            <c:spPr>
              <a:solidFill>
                <a:srgbClr val="FFC000"/>
              </a:solidFill>
              <a:ln>
                <a:noFill/>
                <a:prstDash val="solid"/>
              </a:ln>
            </c:spPr>
            <c:extLst>
              <c:ext xmlns:c16="http://schemas.microsoft.com/office/drawing/2014/chart" uri="{C3380CC4-5D6E-409C-BE32-E72D297353CC}">
                <c16:uniqueId val="{00000009-8060-4DB9-9A37-00695403ADAD}"/>
              </c:ext>
            </c:extLst>
          </c:dPt>
          <c:dPt>
            <c:idx val="5"/>
            <c:invertIfNegative val="0"/>
            <c:bubble3D val="0"/>
            <c:spPr>
              <a:solidFill>
                <a:srgbClr val="FFC000"/>
              </a:solidFill>
              <a:ln>
                <a:noFill/>
                <a:prstDash val="solid"/>
              </a:ln>
            </c:spPr>
            <c:extLst>
              <c:ext xmlns:c16="http://schemas.microsoft.com/office/drawing/2014/chart" uri="{C3380CC4-5D6E-409C-BE32-E72D297353CC}">
                <c16:uniqueId val="{0000000B-8060-4DB9-9A37-00695403ADAD}"/>
              </c:ext>
            </c:extLst>
          </c:dPt>
          <c:dPt>
            <c:idx val="6"/>
            <c:invertIfNegative val="0"/>
            <c:bubble3D val="0"/>
            <c:spPr>
              <a:solidFill>
                <a:srgbClr val="FF0000"/>
              </a:solidFill>
              <a:ln>
                <a:noFill/>
                <a:prstDash val="solid"/>
              </a:ln>
            </c:spPr>
            <c:extLst>
              <c:ext xmlns:c16="http://schemas.microsoft.com/office/drawing/2014/chart" uri="{C3380CC4-5D6E-409C-BE32-E72D297353CC}">
                <c16:uniqueId val="{0000000D-8060-4DB9-9A37-00695403ADAD}"/>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'Severity info'!$K$19:$K$25</c:f>
              <c:numCache>
                <c:formatCode>General</c:formatCode>
                <c:ptCount val="7"/>
                <c:pt idx="0">
                  <c:v>2.5</c:v>
                </c:pt>
                <c:pt idx="1">
                  <c:v>3.0882352941176472</c:v>
                </c:pt>
                <c:pt idx="2">
                  <c:v>2.9791666666666665</c:v>
                </c:pt>
                <c:pt idx="3">
                  <c:v>3.4</c:v>
                </c:pt>
                <c:pt idx="4">
                  <c:v>2.0769230769230771</c:v>
                </c:pt>
                <c:pt idx="5">
                  <c:v>2.2000000000000002</c:v>
                </c:pt>
                <c:pt idx="6">
                  <c:v>2.9629629629629628</c:v>
                </c:pt>
              </c:numCache>
            </c:numRef>
          </c:cat>
          <c:val>
            <c:numRef>
              <c:f>'Severity info'!$L$19:$L$25</c:f>
              <c:numCache>
                <c:formatCode>General</c:formatCode>
                <c:ptCount val="7"/>
                <c:pt idx="0">
                  <c:v>2</c:v>
                </c:pt>
                <c:pt idx="1">
                  <c:v>16</c:v>
                </c:pt>
                <c:pt idx="2">
                  <c:v>20</c:v>
                </c:pt>
                <c:pt idx="3">
                  <c:v>3</c:v>
                </c:pt>
                <c:pt idx="4">
                  <c:v>2</c:v>
                </c:pt>
                <c:pt idx="5">
                  <c:v>3</c:v>
                </c:pt>
                <c:pt idx="6">
                  <c:v>9</c:v>
                </c:pt>
              </c:numCache>
            </c:numRef>
          </c:val>
          <c:extLst>
            <c:ext xmlns:c16="http://schemas.microsoft.com/office/drawing/2014/chart" uri="{C3380CC4-5D6E-409C-BE32-E72D297353CC}">
              <c16:uniqueId val="{0000000E-8060-4DB9-9A37-00695403ADAD}"/>
            </c:ext>
          </c:extLst>
        </c:ser>
        <c:dLbls>
          <c:dLblPos val="outEnd"/>
          <c:showLegendKey val="0"/>
          <c:showVal val="1"/>
          <c:showCatName val="0"/>
          <c:showSerName val="0"/>
          <c:showPercent val="0"/>
          <c:showBubbleSize val="0"/>
        </c:dLbls>
        <c:gapWidth val="115"/>
        <c:overlap val="-20"/>
        <c:axId val="1439240592"/>
        <c:axId val="1439237232"/>
      </c:barChart>
      <c:catAx>
        <c:axId val="1439240592"/>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439237232"/>
        <c:crosses val="autoZero"/>
        <c:auto val="1"/>
        <c:lblAlgn val="ctr"/>
        <c:lblOffset val="100"/>
        <c:noMultiLvlLbl val="0"/>
      </c:catAx>
      <c:valAx>
        <c:axId val="1439237232"/>
        <c:scaling>
          <c:orientation val="minMax"/>
        </c:scaling>
        <c:delete val="1"/>
        <c:axPos val="b"/>
        <c:numFmt formatCode="General" sourceLinked="1"/>
        <c:majorTickMark val="none"/>
        <c:minorTickMark val="none"/>
        <c:tickLblPos val="nextTo"/>
        <c:crossAx val="1439240592"/>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endParaRPr/>
          </a:p>
        </c:rich>
      </c:tx>
      <c:overlay val="0"/>
      <c:spPr>
        <a:noFill/>
        <a:ln>
          <a:noFill/>
          <a:prstDash val="solid"/>
        </a:ln>
      </c:spPr>
    </c:title>
    <c:autoTitleDeleted val="0"/>
    <c:plotArea>
      <c:layout/>
      <c:barChart>
        <c:barDir val="col"/>
        <c:grouping val="stacked"/>
        <c:varyColors val="0"/>
        <c:ser>
          <c:idx val="0"/>
          <c:order val="0"/>
          <c:tx>
            <c:strRef>
              <c:f>Sheet3!$C$28</c:f>
              <c:strCache>
                <c:ptCount val="1"/>
                <c:pt idx="0">
                  <c:v>Count of Observation Discription </c:v>
                </c:pt>
              </c:strCache>
            </c:strRef>
          </c:tx>
          <c:spPr>
            <a:gradFill rotWithShape="1">
              <a:gsLst>
                <a:gs pos="0">
                  <a:schemeClr val="accent1">
                    <a:tint val="94000"/>
                    <a:satMod val="103000"/>
                    <a:lumMod val="102000"/>
                  </a:schemeClr>
                </a:gs>
                <a:gs pos="50000">
                  <a:schemeClr val="accent1">
                    <a:shade val="100000"/>
                    <a:satMod val="110000"/>
                    <a:lumMod val="100000"/>
                  </a:schemeClr>
                </a:gs>
                <a:gs pos="100000">
                  <a:schemeClr val="accent1">
                    <a:shade val="78000"/>
                    <a:satMod val="120000"/>
                    <a:lumMod val="99000"/>
                  </a:schemeClr>
                </a:gs>
              </a:gsLst>
              <a:lin ang="5400000" scaled="0"/>
            </a:gra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Sheet3!$B$29:$B$42</c:f>
              <c:strCache>
                <c:ptCount val="14"/>
                <c:pt idx="0">
                  <c:v>22-May</c:v>
                </c:pt>
                <c:pt idx="1">
                  <c:v>23-May</c:v>
                </c:pt>
                <c:pt idx="2">
                  <c:v>25-May</c:v>
                </c:pt>
                <c:pt idx="3">
                  <c:v>26-May</c:v>
                </c:pt>
                <c:pt idx="4">
                  <c:v>27-May</c:v>
                </c:pt>
                <c:pt idx="5">
                  <c:v>28-May</c:v>
                </c:pt>
                <c:pt idx="6">
                  <c:v>29-May</c:v>
                </c:pt>
                <c:pt idx="7">
                  <c:v>30-May</c:v>
                </c:pt>
                <c:pt idx="8">
                  <c:v>01-Jun</c:v>
                </c:pt>
                <c:pt idx="9">
                  <c:v>02-Jun</c:v>
                </c:pt>
                <c:pt idx="10">
                  <c:v>03-Jun</c:v>
                </c:pt>
                <c:pt idx="11">
                  <c:v>04-Jun</c:v>
                </c:pt>
                <c:pt idx="12">
                  <c:v>05-Jun</c:v>
                </c:pt>
                <c:pt idx="13">
                  <c:v>06-Jun</c:v>
                </c:pt>
              </c:strCache>
            </c:strRef>
          </c:cat>
          <c:val>
            <c:numRef>
              <c:f>Sheet3!$C$29:$C$42</c:f>
              <c:numCache>
                <c:formatCode>General</c:formatCode>
                <c:ptCount val="14"/>
                <c:pt idx="0">
                  <c:v>33</c:v>
                </c:pt>
                <c:pt idx="1">
                  <c:v>12</c:v>
                </c:pt>
                <c:pt idx="2">
                  <c:v>25</c:v>
                </c:pt>
                <c:pt idx="3">
                  <c:v>18</c:v>
                </c:pt>
                <c:pt idx="4">
                  <c:v>16</c:v>
                </c:pt>
                <c:pt idx="5">
                  <c:v>13</c:v>
                </c:pt>
                <c:pt idx="6">
                  <c:v>18</c:v>
                </c:pt>
                <c:pt idx="7">
                  <c:v>21</c:v>
                </c:pt>
                <c:pt idx="8">
                  <c:v>23</c:v>
                </c:pt>
                <c:pt idx="9">
                  <c:v>28</c:v>
                </c:pt>
                <c:pt idx="10">
                  <c:v>27</c:v>
                </c:pt>
                <c:pt idx="11">
                  <c:v>10</c:v>
                </c:pt>
                <c:pt idx="12">
                  <c:v>5</c:v>
                </c:pt>
                <c:pt idx="13">
                  <c:v>20</c:v>
                </c:pt>
              </c:numCache>
            </c:numRef>
          </c:val>
          <c:extLst>
            <c:ext xmlns:c16="http://schemas.microsoft.com/office/drawing/2014/chart" uri="{C3380CC4-5D6E-409C-BE32-E72D297353CC}">
              <c16:uniqueId val="{00000000-4A86-42D7-BA62-421D1857DEC8}"/>
            </c:ext>
          </c:extLst>
        </c:ser>
        <c:dLbls>
          <c:dLblPos val="ctr"/>
          <c:showLegendKey val="0"/>
          <c:showVal val="1"/>
          <c:showCatName val="0"/>
          <c:showSerName val="0"/>
          <c:showPercent val="0"/>
          <c:showBubbleSize val="0"/>
        </c:dLbls>
        <c:gapWidth val="150"/>
        <c:overlap val="100"/>
        <c:axId val="1497243999"/>
        <c:axId val="1497249279"/>
      </c:barChart>
      <c:catAx>
        <c:axId val="1497243999"/>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497249279"/>
        <c:crosses val="autoZero"/>
        <c:auto val="1"/>
        <c:lblAlgn val="ctr"/>
        <c:lblOffset val="100"/>
        <c:noMultiLvlLbl val="0"/>
      </c:catAx>
      <c:valAx>
        <c:axId val="1497249279"/>
        <c:scaling>
          <c:orientation val="minMax"/>
        </c:scaling>
        <c:delete val="1"/>
        <c:axPos val="l"/>
        <c:numFmt formatCode="General" sourceLinked="1"/>
        <c:majorTickMark val="none"/>
        <c:minorTickMark val="none"/>
        <c:tickLblPos val="nextTo"/>
        <c:crossAx val="1497243999"/>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24</xdr:col>
      <xdr:colOff>448733</xdr:colOff>
      <xdr:row>385</xdr:row>
      <xdr:rowOff>156634</xdr:rowOff>
    </xdr:from>
    <xdr:to>
      <xdr:col>32</xdr:col>
      <xdr:colOff>143933</xdr:colOff>
      <xdr:row>441</xdr:row>
      <xdr:rowOff>105834</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209550</xdr:colOff>
      <xdr:row>31</xdr:row>
      <xdr:rowOff>19050</xdr:rowOff>
    </xdr:from>
    <xdr:to>
      <xdr:col>4</xdr:col>
      <xdr:colOff>609600</xdr:colOff>
      <xdr:row>46</xdr:row>
      <xdr:rowOff>19050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369570</xdr:colOff>
      <xdr:row>2</xdr:row>
      <xdr:rowOff>55245</xdr:rowOff>
    </xdr:from>
    <xdr:to>
      <xdr:col>13</xdr:col>
      <xdr:colOff>830433</xdr:colOff>
      <xdr:row>11</xdr:row>
      <xdr:rowOff>157255</xdr:rowOff>
    </xdr:to>
    <xdr:pic>
      <xdr:nvPicPr>
        <xdr:cNvPr id="5" name="Picture 1">
          <a:extLst>
            <a:ext uri="{FF2B5EF4-FFF2-40B4-BE49-F238E27FC236}">
              <a16:creationId xmlns:a16="http://schemas.microsoft.com/office/drawing/2014/main" id="{00000000-0008-0000-0200-000005000000}"/>
            </a:ext>
          </a:extLst>
        </xdr:cNvPr>
        <xdr:cNvPicPr>
          <a:picLocks noChangeAspect="1"/>
        </xdr:cNvPicPr>
      </xdr:nvPicPr>
      <xdr:blipFill>
        <a:blip xmlns:r="http://schemas.openxmlformats.org/officeDocument/2006/relationships" r:embed="rId2"/>
        <a:stretch>
          <a:fillRect/>
        </a:stretch>
      </xdr:blipFill>
      <xdr:spPr>
        <a:xfrm>
          <a:off x="4646295" y="436245"/>
          <a:ext cx="7090263" cy="1816510"/>
        </a:xfrm>
        <a:prstGeom prst="rect">
          <a:avLst/>
        </a:prstGeom>
        <a:ln>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xdr:from>
      <xdr:col>3</xdr:col>
      <xdr:colOff>1068705</xdr:colOff>
      <xdr:row>20</xdr:row>
      <xdr:rowOff>175260</xdr:rowOff>
    </xdr:from>
    <xdr:to>
      <xdr:col>6</xdr:col>
      <xdr:colOff>832485</xdr:colOff>
      <xdr:row>35</xdr:row>
      <xdr:rowOff>175260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ECH EHS" refreshedDate="46203.46306574074" createdVersion="8" refreshedVersion="8" minRefreshableVersion="3" recordCount="544" xr:uid="{00000000-000A-0000-FFFF-FFFF32000000}">
  <cacheSource type="worksheet">
    <worksheetSource ref="B1:B1048576" sheet="CSFA Accumilative data"/>
  </cacheSource>
  <cacheFields count="1">
    <cacheField name="Trend" numFmtId="0">
      <sharedItems containsBlank="1" count="51">
        <s v="Material Management"/>
        <s v="Barricading"/>
        <s v="Sharp edges"/>
        <s v="Housekeeping"/>
        <s v="Work at Height"/>
        <s v="Tools &amp; Equipment"/>
        <s v="Excavation"/>
        <s v="Environment"/>
        <s v="Electrical"/>
        <s v="PPE"/>
        <s v="Access &amp; Egress"/>
        <s v="PTW &amp; Supervision"/>
        <s v="Lifting Operations"/>
        <s v="Unsafe Behavior"/>
        <s v="Fire Safety"/>
        <s v="Workbench"/>
        <s v="Good Practice"/>
        <m/>
        <s v="5S" u="1"/>
        <s v="Fall of Material" u="1"/>
        <s v="Barrication" u="1"/>
        <s v="Tools &amp; Tackles" u="1"/>
        <s v="Scaffold Safety" u="1"/>
        <s v="Fall from Height" u="1"/>
        <s v="Slip, Trip and Fall" u="1"/>
        <s v="Other" u="1"/>
        <s v="Electrical Safety" u="1"/>
        <s v="PTW" u="1"/>
        <s v="Supervision" u="1"/>
        <s v="Illumination" u="1"/>
        <s v="Road Safety" u="1"/>
        <s v="Signages" u="1"/>
        <s v="Fabrication" u="1"/>
        <s v="Water Logging" u="1"/>
        <s v="Ergonomic Hazard" u="1"/>
        <s v="Hygiene" u="1"/>
        <s v="Material Handling" u="1"/>
        <s v="Even Surface" u="1"/>
        <s v="Human Error" u="1"/>
        <s v="Paralle Work" u="1"/>
        <s v="Wellbeing" u="1"/>
        <s v="Interlock" u="1"/>
        <s v="Safe Observation" u="1"/>
        <s v="Lifting Operation" u="1"/>
        <s v="Line of Fire" u="1"/>
        <s v="Emergency Exit" u="1"/>
        <s v="No Access" u="1"/>
        <s v="Stability" u="1"/>
        <s v="Inspection" u="1"/>
        <s v="Pinch Point" u="1"/>
        <s v="Access" u="1"/>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953211689812" createdVersion="8" refreshedVersion="8" minRefreshableVersion="3" recordCount="655" xr:uid="{00000000-000A-0000-FFFF-FFFF31000000}">
  <cacheSource type="worksheet">
    <worksheetSource ref="A1:S1048576" sheet="CSFA Accumilative data"/>
  </cacheSource>
  <cacheFields count="21">
    <cacheField name="ln" numFmtId="0">
      <sharedItems containsString="0" containsBlank="1" containsNumber="1" containsInteger="1" minValue="1" maxValue="654"/>
    </cacheField>
    <cacheField name="Trend" numFmtId="0">
      <sharedItems containsBlank="1"/>
    </cacheField>
    <cacheField name="Observation Discription " numFmtId="0">
      <sharedItems containsBlank="1" longText="1"/>
    </cacheField>
    <cacheField name="Engineer" numFmtId="0">
      <sharedItems containsString="0" containsBlank="1" containsNumber="1" containsInteger="1" minValue="1" maxValue="1"/>
    </cacheField>
    <cacheField name="Contractors" numFmtId="0">
      <sharedItems containsString="0" containsBlank="1" containsNumber="1" containsInteger="1" minValue="1" maxValue="1"/>
    </cacheField>
    <cacheField name="Good Citizens" numFmtId="0">
      <sharedItems containsBlank="1" containsMixedTypes="1" containsNumber="1" containsInteger="1" minValue="0" maxValue="39"/>
    </cacheField>
    <cacheField name="Violators" numFmtId="0">
      <sharedItems containsBlank="1" containsMixedTypes="1" containsNumber="1" containsInteger="1" minValue="0" maxValue="30"/>
    </cacheField>
    <cacheField name="Number of Violations" numFmtId="0">
      <sharedItems containsBlank="1" containsMixedTypes="1" containsNumber="1" containsInteger="1" minValue="1" maxValue="12"/>
    </cacheField>
    <cacheField name="Severity " numFmtId="0">
      <sharedItems containsString="0" containsBlank="1" containsNumber="1" containsInteger="1" minValue="0" maxValue="5" count="7">
        <n v="3"/>
        <n v="4"/>
        <n v="2"/>
        <n v="5"/>
        <n v="1"/>
        <m/>
        <n v="0"/>
      </sharedItems>
    </cacheField>
    <cacheField name="Violations x Severity" numFmtId="0">
      <sharedItems containsString="0" containsBlank="1" containsNumber="1" containsInteger="1" minValue="0" maxValue="36"/>
    </cacheField>
    <cacheField name="4 &amp; 5" numFmtId="0">
      <sharedItems containsString="0" containsBlank="1" containsNumber="1" containsInteger="1" minValue="1" maxValue="1" count="2">
        <m/>
        <n v="1"/>
      </sharedItems>
    </cacheField>
    <cacheField name="PPE Non-compliance " numFmtId="0">
      <sharedItems containsString="0" containsBlank="1" containsNumber="1" containsInteger="1" minValue="0" maxValue="1"/>
    </cacheField>
    <cacheField name="unsafe Condes" numFmtId="0">
      <sharedItems containsString="0" containsBlank="1" containsNumber="1" containsInteger="1" minValue="1" maxValue="2"/>
    </cacheField>
    <cacheField name="unsafe acts" numFmtId="0">
      <sharedItems containsString="0" containsBlank="1" containsNumber="1" containsInteger="1" minValue="0" maxValue="1"/>
    </cacheField>
    <cacheField name="Contractor name" numFmtId="0">
      <sharedItems containsBlank="1" containsMixedTypes="1" containsNumber="1" containsInteger="1" minValue="1" maxValue="1" count="24">
        <s v="Crescon"/>
        <s v="Fluidline"/>
        <s v="Devansh"/>
        <s v="Supertech"/>
        <s v="SPX"/>
        <s v="Sai Electro"/>
        <s v="Esspee"/>
        <s v="CCEPL"/>
        <s v="Aalanna"/>
        <s v="GEA"/>
        <s v="Maptrix"/>
        <s v="Danone"/>
        <m/>
        <s v="Crescon "/>
        <s v="Satnam"/>
        <s v="Ess Pee"/>
        <s v="SPX Flow"/>
        <s v="All"/>
        <s v="ESSWIN"/>
        <s v="Project Management &amp; Structure"/>
        <s v="No one working at roof area."/>
        <s v="No one working at the time of visit"/>
        <s v="No one outside"/>
        <n v="1" u="1"/>
      </sharedItems>
    </cacheField>
    <cacheField name="Status" numFmtId="0">
      <sharedItems containsBlank="1"/>
    </cacheField>
    <cacheField name="Danone FPR" numFmtId="0">
      <sharedItems containsBlank="1"/>
    </cacheField>
    <cacheField name="Zone" numFmtId="0">
      <sharedItems containsBlank="1"/>
    </cacheField>
    <cacheField name="Date" numFmtId="14">
      <sharedItems containsNonDate="0" containsDate="1" containsString="0" containsBlank="1" minDate="2026-05-06T00:00:00" maxDate="2026-06-23T00:00:00" count="30">
        <d v="2026-05-22T00:00:00"/>
        <d v="2026-05-23T00:00:00"/>
        <d v="2026-05-25T00:00:00"/>
        <d v="2026-05-26T00:00:00"/>
        <d v="2026-05-27T00:00:00"/>
        <d v="2026-05-28T00:00:00"/>
        <d v="2026-05-29T00:00:00"/>
        <d v="2026-05-30T00:00:00"/>
        <d v="2026-06-01T00:00:00"/>
        <d v="2026-06-02T00:00:00"/>
        <d v="2026-06-03T00:00:00"/>
        <d v="2026-06-04T00:00:00"/>
        <d v="2026-06-05T00:00:00"/>
        <d v="2026-06-06T00:00:00"/>
        <d v="2026-06-08T00:00:00"/>
        <d v="2026-06-09T00:00:00"/>
        <d v="2026-06-10T00:00:00"/>
        <d v="2026-06-11T00:00:00"/>
        <d v="2026-06-12T00:00:00"/>
        <d v="2026-06-13T00:00:00"/>
        <d v="2026-06-15T00:00:00"/>
        <d v="2026-06-16T00:00:00"/>
        <d v="2026-06-17T00:00:00"/>
        <d v="2026-06-18T00:00:00"/>
        <d v="2026-06-19T00:00:00"/>
        <d v="2026-06-20T00:00:00"/>
        <d v="2026-06-21T00:00:00"/>
        <d v="2026-06-22T00:00:00"/>
        <m/>
        <d v="2026-05-06T00:00:00" u="1"/>
      </sharedItems>
      <fieldGroup par="20"/>
    </cacheField>
    <cacheField name="Days (Date)" numFmtId="0" databaseField="0">
      <fieldGroup base="18">
        <rangePr groupBy="days" startDate="2026-05-22T00:00:00" endDate="2026-06-23T00:00:00"/>
        <groupItems count="368">
          <s v="&lt;5/22/2026"/>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6/23/2026"/>
        </groupItems>
      </fieldGroup>
    </cacheField>
    <cacheField name="Months (Date)" numFmtId="0" databaseField="0">
      <fieldGroup base="18">
        <rangePr groupBy="months" startDate="2026-05-22T00:00:00" endDate="2026-06-23T00:00:00"/>
        <groupItems count="14">
          <s v="&lt;5/22/2026"/>
          <s v="Jan"/>
          <s v="Feb"/>
          <s v="Mar"/>
          <s v="Apr"/>
          <s v="May"/>
          <s v="Jun"/>
          <s v="Jul"/>
          <s v="Aug"/>
          <s v="Sep"/>
          <s v="Oct"/>
          <s v="Nov"/>
          <s v="Dec"/>
          <s v="&gt;6/23/2026"/>
        </groupItems>
      </fieldGroup>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ECH EHS" refreshedDate="46189.850189351862" createdVersion="8" refreshedVersion="8" minRefreshableVersion="3" recordCount="54" xr:uid="{00000000-000A-0000-FFFF-FFFF2F000000}">
  <cacheSource type="worksheet">
    <worksheetSource ref="A2:A56" sheet="Sheet4"/>
  </cacheSource>
  <cacheFields count="1">
    <cacheField name="Fall of Material" numFmtId="0">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ECH EHS" refreshedDate="46189.852081712961" createdVersion="8" refreshedVersion="8" minRefreshableVersion="3" recordCount="57" xr:uid="{00000000-000A-0000-FFFF-FFFF30000000}">
  <cacheSource type="worksheet">
    <worksheetSource ref="I3:I60" sheet="Sheet4"/>
  </cacheSource>
  <cacheFields count="1">
    <cacheField name="Trend" numFmtId="0">
      <sharedItems count="16">
        <s v="Fall of Material"/>
        <s v="Sharp Edges"/>
        <s v="Tools &amp; Tackles"/>
        <s v="Barrication"/>
        <s v="Scaffold Safety"/>
        <s v="Fall from Height"/>
        <s v="Electrical Safety"/>
        <s v="Fabrication"/>
        <s v="Supervision"/>
        <s v="Slip, Trip and Fall"/>
        <s v="Fire Safety"/>
        <s v="Ergonomic Hazard"/>
        <s v="Illumination"/>
        <s v="Even Surface"/>
        <s v="PPE"/>
        <s v="Line of Fire"/>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count="544">
  <r>
    <x v="0"/>
  </r>
  <r>
    <x v="0"/>
  </r>
  <r>
    <x v="1"/>
  </r>
  <r>
    <x v="2"/>
  </r>
  <r>
    <x v="0"/>
  </r>
  <r>
    <x v="1"/>
  </r>
  <r>
    <x v="1"/>
  </r>
  <r>
    <x v="3"/>
  </r>
  <r>
    <x v="4"/>
  </r>
  <r>
    <x v="2"/>
  </r>
  <r>
    <x v="4"/>
  </r>
  <r>
    <x v="5"/>
  </r>
  <r>
    <x v="4"/>
  </r>
  <r>
    <x v="6"/>
  </r>
  <r>
    <x v="2"/>
  </r>
  <r>
    <x v="3"/>
  </r>
  <r>
    <x v="7"/>
  </r>
  <r>
    <x v="8"/>
  </r>
  <r>
    <x v="8"/>
  </r>
  <r>
    <x v="4"/>
  </r>
  <r>
    <x v="0"/>
  </r>
  <r>
    <x v="9"/>
  </r>
  <r>
    <x v="10"/>
  </r>
  <r>
    <x v="11"/>
  </r>
  <r>
    <x v="9"/>
  </r>
  <r>
    <x v="1"/>
  </r>
  <r>
    <x v="7"/>
  </r>
  <r>
    <x v="2"/>
  </r>
  <r>
    <x v="8"/>
  </r>
  <r>
    <x v="0"/>
  </r>
  <r>
    <x v="10"/>
  </r>
  <r>
    <x v="0"/>
  </r>
  <r>
    <x v="0"/>
  </r>
  <r>
    <x v="3"/>
  </r>
  <r>
    <x v="5"/>
  </r>
  <r>
    <x v="2"/>
  </r>
  <r>
    <x v="7"/>
  </r>
  <r>
    <x v="3"/>
  </r>
  <r>
    <x v="3"/>
  </r>
  <r>
    <x v="8"/>
  </r>
  <r>
    <x v="8"/>
  </r>
  <r>
    <x v="8"/>
  </r>
  <r>
    <x v="4"/>
  </r>
  <r>
    <x v="10"/>
  </r>
  <r>
    <x v="1"/>
  </r>
  <r>
    <x v="12"/>
  </r>
  <r>
    <x v="4"/>
  </r>
  <r>
    <x v="10"/>
  </r>
  <r>
    <x v="4"/>
  </r>
  <r>
    <x v="3"/>
  </r>
  <r>
    <x v="4"/>
  </r>
  <r>
    <x v="4"/>
  </r>
  <r>
    <x v="8"/>
  </r>
  <r>
    <x v="9"/>
  </r>
  <r>
    <x v="3"/>
  </r>
  <r>
    <x v="9"/>
  </r>
  <r>
    <x v="8"/>
  </r>
  <r>
    <x v="0"/>
  </r>
  <r>
    <x v="1"/>
  </r>
  <r>
    <x v="4"/>
  </r>
  <r>
    <x v="10"/>
  </r>
  <r>
    <x v="8"/>
  </r>
  <r>
    <x v="8"/>
  </r>
  <r>
    <x v="0"/>
  </r>
  <r>
    <x v="3"/>
  </r>
  <r>
    <x v="3"/>
  </r>
  <r>
    <x v="3"/>
  </r>
  <r>
    <x v="9"/>
  </r>
  <r>
    <x v="10"/>
  </r>
  <r>
    <x v="2"/>
  </r>
  <r>
    <x v="12"/>
  </r>
  <r>
    <x v="10"/>
  </r>
  <r>
    <x v="12"/>
  </r>
  <r>
    <x v="2"/>
  </r>
  <r>
    <x v="0"/>
  </r>
  <r>
    <x v="3"/>
  </r>
  <r>
    <x v="8"/>
  </r>
  <r>
    <x v="9"/>
  </r>
  <r>
    <x v="1"/>
  </r>
  <r>
    <x v="8"/>
  </r>
  <r>
    <x v="4"/>
  </r>
  <r>
    <x v="1"/>
  </r>
  <r>
    <x v="0"/>
  </r>
  <r>
    <x v="5"/>
  </r>
  <r>
    <x v="10"/>
  </r>
  <r>
    <x v="10"/>
  </r>
  <r>
    <x v="10"/>
  </r>
  <r>
    <x v="0"/>
  </r>
  <r>
    <x v="9"/>
  </r>
  <r>
    <x v="9"/>
  </r>
  <r>
    <x v="12"/>
  </r>
  <r>
    <x v="0"/>
  </r>
  <r>
    <x v="0"/>
  </r>
  <r>
    <x v="13"/>
  </r>
  <r>
    <x v="9"/>
  </r>
  <r>
    <x v="1"/>
  </r>
  <r>
    <x v="8"/>
  </r>
  <r>
    <x v="3"/>
  </r>
  <r>
    <x v="10"/>
  </r>
  <r>
    <x v="8"/>
  </r>
  <r>
    <x v="0"/>
  </r>
  <r>
    <x v="12"/>
  </r>
  <r>
    <x v="9"/>
  </r>
  <r>
    <x v="8"/>
  </r>
  <r>
    <x v="1"/>
  </r>
  <r>
    <x v="4"/>
  </r>
  <r>
    <x v="1"/>
  </r>
  <r>
    <x v="0"/>
  </r>
  <r>
    <x v="9"/>
  </r>
  <r>
    <x v="3"/>
  </r>
  <r>
    <x v="7"/>
  </r>
  <r>
    <x v="9"/>
  </r>
  <r>
    <x v="7"/>
  </r>
  <r>
    <x v="0"/>
  </r>
  <r>
    <x v="9"/>
  </r>
  <r>
    <x v="2"/>
  </r>
  <r>
    <x v="8"/>
  </r>
  <r>
    <x v="4"/>
  </r>
  <r>
    <x v="10"/>
  </r>
  <r>
    <x v="0"/>
  </r>
  <r>
    <x v="0"/>
  </r>
  <r>
    <x v="0"/>
  </r>
  <r>
    <x v="9"/>
  </r>
  <r>
    <x v="3"/>
  </r>
  <r>
    <x v="3"/>
  </r>
  <r>
    <x v="8"/>
  </r>
  <r>
    <x v="10"/>
  </r>
  <r>
    <x v="3"/>
  </r>
  <r>
    <x v="9"/>
  </r>
  <r>
    <x v="4"/>
  </r>
  <r>
    <x v="0"/>
  </r>
  <r>
    <x v="4"/>
  </r>
  <r>
    <x v="8"/>
  </r>
  <r>
    <x v="9"/>
  </r>
  <r>
    <x v="0"/>
  </r>
  <r>
    <x v="3"/>
  </r>
  <r>
    <x v="1"/>
  </r>
  <r>
    <x v="4"/>
  </r>
  <r>
    <x v="8"/>
  </r>
  <r>
    <x v="0"/>
  </r>
  <r>
    <x v="4"/>
  </r>
  <r>
    <x v="5"/>
  </r>
  <r>
    <x v="11"/>
  </r>
  <r>
    <x v="14"/>
  </r>
  <r>
    <x v="8"/>
  </r>
  <r>
    <x v="4"/>
  </r>
  <r>
    <x v="9"/>
  </r>
  <r>
    <x v="3"/>
  </r>
  <r>
    <x v="2"/>
  </r>
  <r>
    <x v="8"/>
  </r>
  <r>
    <x v="4"/>
  </r>
  <r>
    <x v="9"/>
  </r>
  <r>
    <x v="2"/>
  </r>
  <r>
    <x v="2"/>
  </r>
  <r>
    <x v="2"/>
  </r>
  <r>
    <x v="1"/>
  </r>
  <r>
    <x v="3"/>
  </r>
  <r>
    <x v="0"/>
  </r>
  <r>
    <x v="9"/>
  </r>
  <r>
    <x v="0"/>
  </r>
  <r>
    <x v="9"/>
  </r>
  <r>
    <x v="1"/>
  </r>
  <r>
    <x v="9"/>
  </r>
  <r>
    <x v="3"/>
  </r>
  <r>
    <x v="13"/>
  </r>
  <r>
    <x v="0"/>
  </r>
  <r>
    <x v="8"/>
  </r>
  <r>
    <x v="0"/>
  </r>
  <r>
    <x v="1"/>
  </r>
  <r>
    <x v="2"/>
  </r>
  <r>
    <x v="10"/>
  </r>
  <r>
    <x v="10"/>
  </r>
  <r>
    <x v="8"/>
  </r>
  <r>
    <x v="2"/>
  </r>
  <r>
    <x v="4"/>
  </r>
  <r>
    <x v="3"/>
  </r>
  <r>
    <x v="8"/>
  </r>
  <r>
    <x v="1"/>
  </r>
  <r>
    <x v="9"/>
  </r>
  <r>
    <x v="14"/>
  </r>
  <r>
    <x v="8"/>
  </r>
  <r>
    <x v="8"/>
  </r>
  <r>
    <x v="9"/>
  </r>
  <r>
    <x v="8"/>
  </r>
  <r>
    <x v="13"/>
  </r>
  <r>
    <x v="15"/>
  </r>
  <r>
    <x v="3"/>
  </r>
  <r>
    <x v="3"/>
  </r>
  <r>
    <x v="0"/>
  </r>
  <r>
    <x v="8"/>
  </r>
  <r>
    <x v="3"/>
  </r>
  <r>
    <x v="3"/>
  </r>
  <r>
    <x v="1"/>
  </r>
  <r>
    <x v="3"/>
  </r>
  <r>
    <x v="0"/>
  </r>
  <r>
    <x v="0"/>
  </r>
  <r>
    <x v="9"/>
  </r>
  <r>
    <x v="1"/>
  </r>
  <r>
    <x v="0"/>
  </r>
  <r>
    <x v="3"/>
  </r>
  <r>
    <x v="9"/>
  </r>
  <r>
    <x v="4"/>
  </r>
  <r>
    <x v="0"/>
  </r>
  <r>
    <x v="10"/>
  </r>
  <r>
    <x v="0"/>
  </r>
  <r>
    <x v="0"/>
  </r>
  <r>
    <x v="6"/>
  </r>
  <r>
    <x v="12"/>
  </r>
  <r>
    <x v="9"/>
  </r>
  <r>
    <x v="4"/>
  </r>
  <r>
    <x v="12"/>
  </r>
  <r>
    <x v="0"/>
  </r>
  <r>
    <x v="1"/>
  </r>
  <r>
    <x v="4"/>
  </r>
  <r>
    <x v="2"/>
  </r>
  <r>
    <x v="10"/>
  </r>
  <r>
    <x v="0"/>
  </r>
  <r>
    <x v="9"/>
  </r>
  <r>
    <x v="9"/>
  </r>
  <r>
    <x v="9"/>
  </r>
  <r>
    <x v="12"/>
  </r>
  <r>
    <x v="0"/>
  </r>
  <r>
    <x v="3"/>
  </r>
  <r>
    <x v="12"/>
  </r>
  <r>
    <x v="1"/>
  </r>
  <r>
    <x v="6"/>
  </r>
  <r>
    <x v="0"/>
  </r>
  <r>
    <x v="0"/>
  </r>
  <r>
    <x v="9"/>
  </r>
  <r>
    <x v="4"/>
  </r>
  <r>
    <x v="5"/>
  </r>
  <r>
    <x v="0"/>
  </r>
  <r>
    <x v="1"/>
  </r>
  <r>
    <x v="1"/>
  </r>
  <r>
    <x v="1"/>
  </r>
  <r>
    <x v="9"/>
  </r>
  <r>
    <x v="9"/>
  </r>
  <r>
    <x v="8"/>
  </r>
  <r>
    <x v="3"/>
  </r>
  <r>
    <x v="5"/>
  </r>
  <r>
    <x v="3"/>
  </r>
  <r>
    <x v="9"/>
  </r>
  <r>
    <x v="12"/>
  </r>
  <r>
    <x v="1"/>
  </r>
  <r>
    <x v="1"/>
  </r>
  <r>
    <x v="10"/>
  </r>
  <r>
    <x v="10"/>
  </r>
  <r>
    <x v="12"/>
  </r>
  <r>
    <x v="1"/>
  </r>
  <r>
    <x v="9"/>
  </r>
  <r>
    <x v="1"/>
  </r>
  <r>
    <x v="8"/>
  </r>
  <r>
    <x v="0"/>
  </r>
  <r>
    <x v="1"/>
  </r>
  <r>
    <x v="0"/>
  </r>
  <r>
    <x v="0"/>
  </r>
  <r>
    <x v="8"/>
  </r>
  <r>
    <x v="1"/>
  </r>
  <r>
    <x v="4"/>
  </r>
  <r>
    <x v="8"/>
  </r>
  <r>
    <x v="1"/>
  </r>
  <r>
    <x v="12"/>
  </r>
  <r>
    <x v="8"/>
  </r>
  <r>
    <x v="12"/>
  </r>
  <r>
    <x v="10"/>
  </r>
  <r>
    <x v="8"/>
  </r>
  <r>
    <x v="4"/>
  </r>
  <r>
    <x v="0"/>
  </r>
  <r>
    <x v="8"/>
  </r>
  <r>
    <x v="1"/>
  </r>
  <r>
    <x v="1"/>
  </r>
  <r>
    <x v="0"/>
  </r>
  <r>
    <x v="8"/>
  </r>
  <r>
    <x v="0"/>
  </r>
  <r>
    <x v="3"/>
  </r>
  <r>
    <x v="4"/>
  </r>
  <r>
    <x v="9"/>
  </r>
  <r>
    <x v="0"/>
  </r>
  <r>
    <x v="1"/>
  </r>
  <r>
    <x v="9"/>
  </r>
  <r>
    <x v="6"/>
  </r>
  <r>
    <x v="4"/>
  </r>
  <r>
    <x v="9"/>
  </r>
  <r>
    <x v="8"/>
  </r>
  <r>
    <x v="4"/>
  </r>
  <r>
    <x v="0"/>
  </r>
  <r>
    <x v="3"/>
  </r>
  <r>
    <x v="8"/>
  </r>
  <r>
    <x v="8"/>
  </r>
  <r>
    <x v="9"/>
  </r>
  <r>
    <x v="8"/>
  </r>
  <r>
    <x v="8"/>
  </r>
  <r>
    <x v="9"/>
  </r>
  <r>
    <x v="14"/>
  </r>
  <r>
    <x v="9"/>
  </r>
  <r>
    <x v="9"/>
  </r>
  <r>
    <x v="9"/>
  </r>
  <r>
    <x v="8"/>
  </r>
  <r>
    <x v="8"/>
  </r>
  <r>
    <x v="10"/>
  </r>
  <r>
    <x v="0"/>
  </r>
  <r>
    <x v="9"/>
  </r>
  <r>
    <x v="8"/>
  </r>
  <r>
    <x v="7"/>
  </r>
  <r>
    <x v="10"/>
  </r>
  <r>
    <x v="3"/>
  </r>
  <r>
    <x v="7"/>
  </r>
  <r>
    <x v="10"/>
  </r>
  <r>
    <x v="3"/>
  </r>
  <r>
    <x v="4"/>
  </r>
  <r>
    <x v="1"/>
  </r>
  <r>
    <x v="8"/>
  </r>
  <r>
    <x v="12"/>
  </r>
  <r>
    <x v="0"/>
  </r>
  <r>
    <x v="8"/>
  </r>
  <r>
    <x v="4"/>
  </r>
  <r>
    <x v="8"/>
  </r>
  <r>
    <x v="4"/>
  </r>
  <r>
    <x v="9"/>
  </r>
  <r>
    <x v="1"/>
  </r>
  <r>
    <x v="5"/>
  </r>
  <r>
    <x v="8"/>
  </r>
  <r>
    <x v="9"/>
  </r>
  <r>
    <x v="3"/>
  </r>
  <r>
    <x v="9"/>
  </r>
  <r>
    <x v="4"/>
  </r>
  <r>
    <x v="1"/>
  </r>
  <r>
    <x v="8"/>
  </r>
  <r>
    <x v="1"/>
  </r>
  <r>
    <x v="0"/>
  </r>
  <r>
    <x v="16"/>
  </r>
  <r>
    <x v="0"/>
  </r>
  <r>
    <x v="0"/>
  </r>
  <r>
    <x v="9"/>
  </r>
  <r>
    <x v="8"/>
  </r>
  <r>
    <x v="8"/>
  </r>
  <r>
    <x v="14"/>
  </r>
  <r>
    <x v="0"/>
  </r>
  <r>
    <x v="13"/>
  </r>
  <r>
    <x v="10"/>
  </r>
  <r>
    <x v="0"/>
  </r>
  <r>
    <x v="0"/>
  </r>
  <r>
    <x v="8"/>
  </r>
  <r>
    <x v="0"/>
  </r>
  <r>
    <x v="9"/>
  </r>
  <r>
    <x v="1"/>
  </r>
  <r>
    <x v="0"/>
  </r>
  <r>
    <x v="0"/>
  </r>
  <r>
    <x v="5"/>
  </r>
  <r>
    <x v="0"/>
  </r>
  <r>
    <x v="10"/>
  </r>
  <r>
    <x v="9"/>
  </r>
  <r>
    <x v="3"/>
  </r>
  <r>
    <x v="9"/>
  </r>
  <r>
    <x v="4"/>
  </r>
  <r>
    <x v="4"/>
  </r>
  <r>
    <x v="0"/>
  </r>
  <r>
    <x v="14"/>
  </r>
  <r>
    <x v="0"/>
  </r>
  <r>
    <x v="14"/>
  </r>
  <r>
    <x v="1"/>
  </r>
  <r>
    <x v="1"/>
  </r>
  <r>
    <x v="3"/>
  </r>
  <r>
    <x v="9"/>
  </r>
  <r>
    <x v="0"/>
  </r>
  <r>
    <x v="0"/>
  </r>
  <r>
    <x v="0"/>
  </r>
  <r>
    <x v="0"/>
  </r>
  <r>
    <x v="3"/>
  </r>
  <r>
    <x v="3"/>
  </r>
  <r>
    <x v="3"/>
  </r>
  <r>
    <x v="9"/>
  </r>
  <r>
    <x v="11"/>
  </r>
  <r>
    <x v="12"/>
  </r>
  <r>
    <x v="3"/>
  </r>
  <r>
    <x v="10"/>
  </r>
  <r>
    <x v="0"/>
  </r>
  <r>
    <x v="7"/>
  </r>
  <r>
    <x v="9"/>
  </r>
  <r>
    <x v="1"/>
  </r>
  <r>
    <x v="13"/>
  </r>
  <r>
    <x v="7"/>
  </r>
  <r>
    <x v="5"/>
  </r>
  <r>
    <x v="3"/>
  </r>
  <r>
    <x v="0"/>
  </r>
  <r>
    <x v="12"/>
  </r>
  <r>
    <x v="9"/>
  </r>
  <r>
    <x v="4"/>
  </r>
  <r>
    <x v="10"/>
  </r>
  <r>
    <x v="10"/>
  </r>
  <r>
    <x v="4"/>
  </r>
  <r>
    <x v="1"/>
  </r>
  <r>
    <x v="1"/>
  </r>
  <r>
    <x v="6"/>
  </r>
  <r>
    <x v="6"/>
  </r>
  <r>
    <x v="0"/>
  </r>
  <r>
    <x v="0"/>
  </r>
  <r>
    <x v="9"/>
  </r>
  <r>
    <x v="10"/>
  </r>
  <r>
    <x v="0"/>
  </r>
  <r>
    <x v="1"/>
  </r>
  <r>
    <x v="0"/>
  </r>
  <r>
    <x v="4"/>
  </r>
  <r>
    <x v="9"/>
  </r>
  <r>
    <x v="4"/>
  </r>
  <r>
    <x v="10"/>
  </r>
  <r>
    <x v="9"/>
  </r>
  <r>
    <x v="11"/>
  </r>
  <r>
    <x v="1"/>
  </r>
  <r>
    <x v="8"/>
  </r>
  <r>
    <x v="14"/>
  </r>
  <r>
    <x v="1"/>
  </r>
  <r>
    <x v="0"/>
  </r>
  <r>
    <x v="3"/>
  </r>
  <r>
    <x v="9"/>
  </r>
  <r>
    <x v="9"/>
  </r>
  <r>
    <x v="3"/>
  </r>
  <r>
    <x v="4"/>
  </r>
  <r>
    <x v="0"/>
  </r>
  <r>
    <x v="8"/>
  </r>
  <r>
    <x v="8"/>
  </r>
  <r>
    <x v="1"/>
  </r>
  <r>
    <x v="8"/>
  </r>
  <r>
    <x v="3"/>
  </r>
  <r>
    <x v="12"/>
  </r>
  <r>
    <x v="9"/>
  </r>
  <r>
    <x v="8"/>
  </r>
  <r>
    <x v="4"/>
  </r>
  <r>
    <x v="0"/>
  </r>
  <r>
    <x v="0"/>
  </r>
  <r>
    <x v="8"/>
  </r>
  <r>
    <x v="3"/>
  </r>
  <r>
    <x v="9"/>
  </r>
  <r>
    <x v="14"/>
  </r>
  <r>
    <x v="9"/>
  </r>
  <r>
    <x v="0"/>
  </r>
  <r>
    <x v="8"/>
  </r>
  <r>
    <x v="1"/>
  </r>
  <r>
    <x v="3"/>
  </r>
  <r>
    <x v="8"/>
  </r>
  <r>
    <x v="1"/>
  </r>
  <r>
    <x v="9"/>
  </r>
  <r>
    <x v="0"/>
  </r>
  <r>
    <x v="1"/>
  </r>
  <r>
    <x v="4"/>
  </r>
  <r>
    <x v="0"/>
  </r>
  <r>
    <x v="0"/>
  </r>
  <r>
    <x v="10"/>
  </r>
  <r>
    <x v="0"/>
  </r>
  <r>
    <x v="1"/>
  </r>
  <r>
    <x v="4"/>
  </r>
  <r>
    <x v="4"/>
  </r>
  <r>
    <x v="8"/>
  </r>
  <r>
    <x v="4"/>
  </r>
  <r>
    <x v="4"/>
  </r>
  <r>
    <x v="14"/>
  </r>
  <r>
    <x v="4"/>
  </r>
  <r>
    <x v="4"/>
  </r>
  <r>
    <x v="9"/>
  </r>
  <r>
    <x v="3"/>
  </r>
  <r>
    <x v="4"/>
  </r>
  <r>
    <x v="4"/>
  </r>
  <r>
    <x v="3"/>
  </r>
  <r>
    <x v="6"/>
  </r>
  <r>
    <x v="0"/>
  </r>
  <r>
    <x v="4"/>
  </r>
  <r>
    <x v="10"/>
  </r>
  <r>
    <x v="4"/>
  </r>
  <r>
    <x v="3"/>
  </r>
  <r>
    <x v="11"/>
  </r>
  <r>
    <x v="4"/>
  </r>
  <r>
    <x v="9"/>
  </r>
  <r>
    <x v="0"/>
  </r>
  <r>
    <x v="4"/>
  </r>
  <r>
    <x v="5"/>
  </r>
  <r>
    <x v="0"/>
  </r>
  <r>
    <x v="1"/>
  </r>
  <r>
    <x v="3"/>
  </r>
  <r>
    <x v="12"/>
  </r>
  <r>
    <x v="0"/>
  </r>
  <r>
    <x v="4"/>
  </r>
  <r>
    <x v="7"/>
  </r>
  <r>
    <x v="0"/>
  </r>
  <r>
    <x v="2"/>
  </r>
  <r>
    <x v="8"/>
  </r>
  <r>
    <x v="8"/>
  </r>
  <r>
    <x v="9"/>
  </r>
  <r>
    <x v="14"/>
  </r>
  <r>
    <x v="9"/>
  </r>
  <r>
    <x v="10"/>
  </r>
  <r>
    <x v="9"/>
  </r>
  <r>
    <x v="9"/>
  </r>
  <r>
    <x v="1"/>
  </r>
  <r>
    <x v="10"/>
  </r>
  <r>
    <x v="8"/>
  </r>
  <r>
    <x v="9"/>
  </r>
  <r>
    <x v="12"/>
  </r>
  <r>
    <x v="0"/>
  </r>
  <r>
    <x v="1"/>
  </r>
  <r>
    <x v="0"/>
  </r>
  <r>
    <x v="8"/>
  </r>
  <r>
    <x v="10"/>
  </r>
  <r>
    <x v="3"/>
  </r>
  <r>
    <x v="9"/>
  </r>
  <r>
    <x v="0"/>
  </r>
  <r>
    <x v="4"/>
  </r>
  <r>
    <x v="1"/>
  </r>
  <r>
    <x v="4"/>
  </r>
  <r>
    <x v="3"/>
  </r>
  <r>
    <x v="3"/>
  </r>
  <r>
    <x v="4"/>
  </r>
  <r>
    <x v="4"/>
  </r>
  <r>
    <x v="2"/>
  </r>
  <r>
    <x v="0"/>
  </r>
  <r>
    <x v="4"/>
  </r>
  <r>
    <x v="14"/>
  </r>
  <r>
    <x v="0"/>
  </r>
  <r>
    <x v="0"/>
  </r>
  <r>
    <x v="10"/>
  </r>
  <r>
    <x v="4"/>
  </r>
  <r>
    <x v="0"/>
  </r>
  <r>
    <x v="10"/>
  </r>
  <r>
    <x v="0"/>
  </r>
  <r>
    <x v="9"/>
  </r>
  <r>
    <x v="8"/>
  </r>
  <r>
    <x v="5"/>
  </r>
  <r>
    <x v="9"/>
  </r>
  <r>
    <x v="4"/>
  </r>
  <r>
    <x v="1"/>
  </r>
  <r>
    <x v="3"/>
  </r>
  <r>
    <x v="4"/>
  </r>
  <r>
    <x v="3"/>
  </r>
  <r>
    <x v="3"/>
  </r>
  <r>
    <x v="9"/>
  </r>
  <r>
    <x v="4"/>
  </r>
  <r>
    <x v="3"/>
  </r>
  <r>
    <x v="4"/>
  </r>
  <r>
    <x v="17"/>
  </r>
  <r>
    <x v="17"/>
  </r>
  <r>
    <x v="17"/>
  </r>
  <r>
    <x v="17"/>
  </r>
  <r>
    <x v="17"/>
  </r>
  <r>
    <x v="17"/>
  </r>
  <r>
    <x v="17"/>
  </r>
</pivotCacheRecords>
</file>

<file path=xl/pivotCache/pivotCacheRecords2.xml><?xml version="1.0" encoding="utf-8"?>
<pivotCacheRecords xmlns="http://schemas.openxmlformats.org/spreadsheetml/2006/main" count="544">
  <r>
    <x v="0"/>
  </r>
  <r>
    <x v="0"/>
  </r>
  <r>
    <x v="1"/>
  </r>
  <r>
    <x v="2"/>
  </r>
  <r>
    <x v="0"/>
  </r>
  <r>
    <x v="1"/>
  </r>
  <r>
    <x v="1"/>
  </r>
  <r>
    <x v="3"/>
  </r>
  <r>
    <x v="4"/>
  </r>
  <r>
    <x v="2"/>
  </r>
  <r>
    <x v="4"/>
  </r>
  <r>
    <x v="5"/>
  </r>
  <r>
    <x v="4"/>
  </r>
  <r>
    <x v="6"/>
  </r>
  <r>
    <x v="2"/>
  </r>
  <r>
    <x v="3"/>
  </r>
  <r>
    <x v="7"/>
  </r>
  <r>
    <x v="8"/>
  </r>
  <r>
    <x v="8"/>
  </r>
  <r>
    <x v="4"/>
  </r>
  <r>
    <x v="0"/>
  </r>
  <r>
    <x v="9"/>
  </r>
  <r>
    <x v="10"/>
  </r>
  <r>
    <x v="11"/>
  </r>
  <r>
    <x v="9"/>
  </r>
  <r>
    <x v="1"/>
  </r>
  <r>
    <x v="7"/>
  </r>
  <r>
    <x v="2"/>
  </r>
  <r>
    <x v="8"/>
  </r>
  <r>
    <x v="0"/>
  </r>
  <r>
    <x v="10"/>
  </r>
  <r>
    <x v="0"/>
  </r>
  <r>
    <x v="0"/>
  </r>
  <r>
    <x v="3"/>
  </r>
  <r>
    <x v="5"/>
  </r>
  <r>
    <x v="2"/>
  </r>
  <r>
    <x v="7"/>
  </r>
  <r>
    <x v="3"/>
  </r>
  <r>
    <x v="3"/>
  </r>
  <r>
    <x v="8"/>
  </r>
  <r>
    <x v="8"/>
  </r>
  <r>
    <x v="8"/>
  </r>
  <r>
    <x v="4"/>
  </r>
  <r>
    <x v="10"/>
  </r>
  <r>
    <x v="1"/>
  </r>
  <r>
    <x v="12"/>
  </r>
  <r>
    <x v="4"/>
  </r>
  <r>
    <x v="10"/>
  </r>
  <r>
    <x v="4"/>
  </r>
  <r>
    <x v="3"/>
  </r>
  <r>
    <x v="4"/>
  </r>
  <r>
    <x v="4"/>
  </r>
  <r>
    <x v="8"/>
  </r>
  <r>
    <x v="9"/>
  </r>
  <r>
    <x v="3"/>
  </r>
  <r>
    <x v="9"/>
  </r>
  <r>
    <x v="8"/>
  </r>
  <r>
    <x v="0"/>
  </r>
  <r>
    <x v="1"/>
  </r>
  <r>
    <x v="4"/>
  </r>
  <r>
    <x v="10"/>
  </r>
  <r>
    <x v="8"/>
  </r>
  <r>
    <x v="8"/>
  </r>
  <r>
    <x v="0"/>
  </r>
  <r>
    <x v="3"/>
  </r>
  <r>
    <x v="3"/>
  </r>
  <r>
    <x v="3"/>
  </r>
  <r>
    <x v="9"/>
  </r>
  <r>
    <x v="10"/>
  </r>
  <r>
    <x v="2"/>
  </r>
  <r>
    <x v="12"/>
  </r>
  <r>
    <x v="10"/>
  </r>
  <r>
    <x v="12"/>
  </r>
  <r>
    <x v="2"/>
  </r>
  <r>
    <x v="0"/>
  </r>
  <r>
    <x v="3"/>
  </r>
  <r>
    <x v="8"/>
  </r>
  <r>
    <x v="9"/>
  </r>
  <r>
    <x v="1"/>
  </r>
  <r>
    <x v="8"/>
  </r>
  <r>
    <x v="4"/>
  </r>
  <r>
    <x v="1"/>
  </r>
  <r>
    <x v="0"/>
  </r>
  <r>
    <x v="5"/>
  </r>
  <r>
    <x v="10"/>
  </r>
  <r>
    <x v="10"/>
  </r>
  <r>
    <x v="10"/>
  </r>
  <r>
    <x v="0"/>
  </r>
  <r>
    <x v="9"/>
  </r>
  <r>
    <x v="9"/>
  </r>
  <r>
    <x v="12"/>
  </r>
  <r>
    <x v="0"/>
  </r>
  <r>
    <x v="0"/>
  </r>
  <r>
    <x v="13"/>
  </r>
  <r>
    <x v="9"/>
  </r>
  <r>
    <x v="1"/>
  </r>
  <r>
    <x v="8"/>
  </r>
  <r>
    <x v="3"/>
  </r>
  <r>
    <x v="10"/>
  </r>
  <r>
    <x v="8"/>
  </r>
  <r>
    <x v="0"/>
  </r>
  <r>
    <x v="12"/>
  </r>
  <r>
    <x v="9"/>
  </r>
  <r>
    <x v="8"/>
  </r>
  <r>
    <x v="1"/>
  </r>
  <r>
    <x v="4"/>
  </r>
  <r>
    <x v="1"/>
  </r>
  <r>
    <x v="0"/>
  </r>
  <r>
    <x v="9"/>
  </r>
  <r>
    <x v="3"/>
  </r>
  <r>
    <x v="7"/>
  </r>
  <r>
    <x v="9"/>
  </r>
  <r>
    <x v="7"/>
  </r>
  <r>
    <x v="0"/>
  </r>
  <r>
    <x v="9"/>
  </r>
  <r>
    <x v="2"/>
  </r>
  <r>
    <x v="8"/>
  </r>
  <r>
    <x v="4"/>
  </r>
  <r>
    <x v="10"/>
  </r>
  <r>
    <x v="0"/>
  </r>
  <r>
    <x v="0"/>
  </r>
  <r>
    <x v="0"/>
  </r>
  <r>
    <x v="9"/>
  </r>
  <r>
    <x v="3"/>
  </r>
  <r>
    <x v="3"/>
  </r>
  <r>
    <x v="8"/>
  </r>
  <r>
    <x v="10"/>
  </r>
  <r>
    <x v="3"/>
  </r>
  <r>
    <x v="9"/>
  </r>
  <r>
    <x v="4"/>
  </r>
  <r>
    <x v="0"/>
  </r>
  <r>
    <x v="4"/>
  </r>
  <r>
    <x v="8"/>
  </r>
  <r>
    <x v="9"/>
  </r>
  <r>
    <x v="0"/>
  </r>
  <r>
    <x v="3"/>
  </r>
  <r>
    <x v="1"/>
  </r>
  <r>
    <x v="4"/>
  </r>
  <r>
    <x v="8"/>
  </r>
  <r>
    <x v="0"/>
  </r>
  <r>
    <x v="4"/>
  </r>
  <r>
    <x v="5"/>
  </r>
  <r>
    <x v="11"/>
  </r>
  <r>
    <x v="14"/>
  </r>
  <r>
    <x v="8"/>
  </r>
  <r>
    <x v="4"/>
  </r>
  <r>
    <x v="9"/>
  </r>
  <r>
    <x v="3"/>
  </r>
  <r>
    <x v="2"/>
  </r>
  <r>
    <x v="8"/>
  </r>
  <r>
    <x v="4"/>
  </r>
  <r>
    <x v="9"/>
  </r>
  <r>
    <x v="2"/>
  </r>
  <r>
    <x v="2"/>
  </r>
  <r>
    <x v="2"/>
  </r>
  <r>
    <x v="1"/>
  </r>
  <r>
    <x v="3"/>
  </r>
  <r>
    <x v="0"/>
  </r>
  <r>
    <x v="9"/>
  </r>
  <r>
    <x v="0"/>
  </r>
  <r>
    <x v="9"/>
  </r>
  <r>
    <x v="1"/>
  </r>
  <r>
    <x v="9"/>
  </r>
  <r>
    <x v="3"/>
  </r>
  <r>
    <x v="13"/>
  </r>
  <r>
    <x v="0"/>
  </r>
  <r>
    <x v="8"/>
  </r>
  <r>
    <x v="0"/>
  </r>
  <r>
    <x v="1"/>
  </r>
  <r>
    <x v="2"/>
  </r>
  <r>
    <x v="10"/>
  </r>
  <r>
    <x v="10"/>
  </r>
  <r>
    <x v="8"/>
  </r>
  <r>
    <x v="2"/>
  </r>
  <r>
    <x v="4"/>
  </r>
  <r>
    <x v="3"/>
  </r>
  <r>
    <x v="8"/>
  </r>
  <r>
    <x v="1"/>
  </r>
  <r>
    <x v="9"/>
  </r>
  <r>
    <x v="14"/>
  </r>
  <r>
    <x v="8"/>
  </r>
  <r>
    <x v="8"/>
  </r>
  <r>
    <x v="9"/>
  </r>
  <r>
    <x v="8"/>
  </r>
  <r>
    <x v="13"/>
  </r>
  <r>
    <x v="15"/>
  </r>
  <r>
    <x v="3"/>
  </r>
  <r>
    <x v="3"/>
  </r>
  <r>
    <x v="0"/>
  </r>
  <r>
    <x v="8"/>
  </r>
  <r>
    <x v="3"/>
  </r>
  <r>
    <x v="3"/>
  </r>
  <r>
    <x v="1"/>
  </r>
  <r>
    <x v="3"/>
  </r>
  <r>
    <x v="0"/>
  </r>
  <r>
    <x v="0"/>
  </r>
  <r>
    <x v="9"/>
  </r>
  <r>
    <x v="1"/>
  </r>
  <r>
    <x v="0"/>
  </r>
  <r>
    <x v="3"/>
  </r>
  <r>
    <x v="9"/>
  </r>
  <r>
    <x v="4"/>
  </r>
  <r>
    <x v="0"/>
  </r>
  <r>
    <x v="10"/>
  </r>
  <r>
    <x v="0"/>
  </r>
  <r>
    <x v="0"/>
  </r>
  <r>
    <x v="6"/>
  </r>
  <r>
    <x v="12"/>
  </r>
  <r>
    <x v="9"/>
  </r>
  <r>
    <x v="4"/>
  </r>
  <r>
    <x v="12"/>
  </r>
  <r>
    <x v="0"/>
  </r>
  <r>
    <x v="1"/>
  </r>
  <r>
    <x v="4"/>
  </r>
  <r>
    <x v="2"/>
  </r>
  <r>
    <x v="10"/>
  </r>
  <r>
    <x v="0"/>
  </r>
  <r>
    <x v="9"/>
  </r>
  <r>
    <x v="9"/>
  </r>
  <r>
    <x v="9"/>
  </r>
  <r>
    <x v="12"/>
  </r>
  <r>
    <x v="0"/>
  </r>
  <r>
    <x v="3"/>
  </r>
  <r>
    <x v="12"/>
  </r>
  <r>
    <x v="1"/>
  </r>
  <r>
    <x v="6"/>
  </r>
  <r>
    <x v="0"/>
  </r>
  <r>
    <x v="0"/>
  </r>
  <r>
    <x v="9"/>
  </r>
  <r>
    <x v="4"/>
  </r>
  <r>
    <x v="5"/>
  </r>
  <r>
    <x v="0"/>
  </r>
  <r>
    <x v="1"/>
  </r>
  <r>
    <x v="1"/>
  </r>
  <r>
    <x v="1"/>
  </r>
  <r>
    <x v="9"/>
  </r>
  <r>
    <x v="9"/>
  </r>
  <r>
    <x v="8"/>
  </r>
  <r>
    <x v="3"/>
  </r>
  <r>
    <x v="5"/>
  </r>
  <r>
    <x v="3"/>
  </r>
  <r>
    <x v="9"/>
  </r>
  <r>
    <x v="12"/>
  </r>
  <r>
    <x v="1"/>
  </r>
  <r>
    <x v="1"/>
  </r>
  <r>
    <x v="10"/>
  </r>
  <r>
    <x v="10"/>
  </r>
  <r>
    <x v="12"/>
  </r>
  <r>
    <x v="1"/>
  </r>
  <r>
    <x v="9"/>
  </r>
  <r>
    <x v="1"/>
  </r>
  <r>
    <x v="8"/>
  </r>
  <r>
    <x v="0"/>
  </r>
  <r>
    <x v="1"/>
  </r>
  <r>
    <x v="0"/>
  </r>
  <r>
    <x v="0"/>
  </r>
  <r>
    <x v="8"/>
  </r>
  <r>
    <x v="1"/>
  </r>
  <r>
    <x v="4"/>
  </r>
  <r>
    <x v="8"/>
  </r>
  <r>
    <x v="1"/>
  </r>
  <r>
    <x v="12"/>
  </r>
  <r>
    <x v="8"/>
  </r>
  <r>
    <x v="12"/>
  </r>
  <r>
    <x v="10"/>
  </r>
  <r>
    <x v="8"/>
  </r>
  <r>
    <x v="4"/>
  </r>
  <r>
    <x v="0"/>
  </r>
  <r>
    <x v="8"/>
  </r>
  <r>
    <x v="1"/>
  </r>
  <r>
    <x v="1"/>
  </r>
  <r>
    <x v="0"/>
  </r>
  <r>
    <x v="8"/>
  </r>
  <r>
    <x v="0"/>
  </r>
  <r>
    <x v="3"/>
  </r>
  <r>
    <x v="4"/>
  </r>
  <r>
    <x v="9"/>
  </r>
  <r>
    <x v="0"/>
  </r>
  <r>
    <x v="1"/>
  </r>
  <r>
    <x v="9"/>
  </r>
  <r>
    <x v="6"/>
  </r>
  <r>
    <x v="4"/>
  </r>
  <r>
    <x v="9"/>
  </r>
  <r>
    <x v="8"/>
  </r>
  <r>
    <x v="4"/>
  </r>
  <r>
    <x v="0"/>
  </r>
  <r>
    <x v="3"/>
  </r>
  <r>
    <x v="8"/>
  </r>
  <r>
    <x v="8"/>
  </r>
  <r>
    <x v="9"/>
  </r>
  <r>
    <x v="8"/>
  </r>
  <r>
    <x v="8"/>
  </r>
  <r>
    <x v="9"/>
  </r>
  <r>
    <x v="14"/>
  </r>
  <r>
    <x v="9"/>
  </r>
  <r>
    <x v="9"/>
  </r>
  <r>
    <x v="9"/>
  </r>
  <r>
    <x v="8"/>
  </r>
  <r>
    <x v="8"/>
  </r>
  <r>
    <x v="10"/>
  </r>
  <r>
    <x v="0"/>
  </r>
  <r>
    <x v="9"/>
  </r>
  <r>
    <x v="8"/>
  </r>
  <r>
    <x v="7"/>
  </r>
  <r>
    <x v="10"/>
  </r>
  <r>
    <x v="3"/>
  </r>
  <r>
    <x v="7"/>
  </r>
  <r>
    <x v="10"/>
  </r>
  <r>
    <x v="3"/>
  </r>
  <r>
    <x v="4"/>
  </r>
  <r>
    <x v="1"/>
  </r>
  <r>
    <x v="8"/>
  </r>
  <r>
    <x v="12"/>
  </r>
  <r>
    <x v="0"/>
  </r>
  <r>
    <x v="8"/>
  </r>
  <r>
    <x v="4"/>
  </r>
  <r>
    <x v="8"/>
  </r>
  <r>
    <x v="4"/>
  </r>
  <r>
    <x v="9"/>
  </r>
  <r>
    <x v="1"/>
  </r>
  <r>
    <x v="5"/>
  </r>
  <r>
    <x v="8"/>
  </r>
  <r>
    <x v="9"/>
  </r>
  <r>
    <x v="3"/>
  </r>
  <r>
    <x v="9"/>
  </r>
  <r>
    <x v="4"/>
  </r>
  <r>
    <x v="1"/>
  </r>
  <r>
    <x v="8"/>
  </r>
  <r>
    <x v="1"/>
  </r>
  <r>
    <x v="0"/>
  </r>
  <r>
    <x v="16"/>
  </r>
  <r>
    <x v="0"/>
  </r>
  <r>
    <x v="0"/>
  </r>
  <r>
    <x v="9"/>
  </r>
  <r>
    <x v="8"/>
  </r>
  <r>
    <x v="8"/>
  </r>
  <r>
    <x v="14"/>
  </r>
  <r>
    <x v="0"/>
  </r>
  <r>
    <x v="13"/>
  </r>
  <r>
    <x v="10"/>
  </r>
  <r>
    <x v="0"/>
  </r>
  <r>
    <x v="0"/>
  </r>
  <r>
    <x v="8"/>
  </r>
  <r>
    <x v="0"/>
  </r>
  <r>
    <x v="9"/>
  </r>
  <r>
    <x v="1"/>
  </r>
  <r>
    <x v="0"/>
  </r>
  <r>
    <x v="0"/>
  </r>
  <r>
    <x v="5"/>
  </r>
  <r>
    <x v="0"/>
  </r>
  <r>
    <x v="10"/>
  </r>
  <r>
    <x v="9"/>
  </r>
  <r>
    <x v="3"/>
  </r>
  <r>
    <x v="9"/>
  </r>
  <r>
    <x v="4"/>
  </r>
  <r>
    <x v="4"/>
  </r>
  <r>
    <x v="0"/>
  </r>
  <r>
    <x v="14"/>
  </r>
  <r>
    <x v="0"/>
  </r>
  <r>
    <x v="14"/>
  </r>
  <r>
    <x v="1"/>
  </r>
  <r>
    <x v="1"/>
  </r>
  <r>
    <x v="3"/>
  </r>
  <r>
    <x v="9"/>
  </r>
  <r>
    <x v="0"/>
  </r>
  <r>
    <x v="0"/>
  </r>
  <r>
    <x v="0"/>
  </r>
  <r>
    <x v="0"/>
  </r>
  <r>
    <x v="3"/>
  </r>
  <r>
    <x v="3"/>
  </r>
  <r>
    <x v="3"/>
  </r>
  <r>
    <x v="9"/>
  </r>
  <r>
    <x v="11"/>
  </r>
  <r>
    <x v="12"/>
  </r>
  <r>
    <x v="3"/>
  </r>
  <r>
    <x v="10"/>
  </r>
  <r>
    <x v="0"/>
  </r>
  <r>
    <x v="7"/>
  </r>
  <r>
    <x v="9"/>
  </r>
  <r>
    <x v="1"/>
  </r>
  <r>
    <x v="13"/>
  </r>
  <r>
    <x v="7"/>
  </r>
  <r>
    <x v="5"/>
  </r>
  <r>
    <x v="3"/>
  </r>
  <r>
    <x v="0"/>
  </r>
  <r>
    <x v="12"/>
  </r>
  <r>
    <x v="9"/>
  </r>
  <r>
    <x v="4"/>
  </r>
  <r>
    <x v="10"/>
  </r>
  <r>
    <x v="10"/>
  </r>
  <r>
    <x v="4"/>
  </r>
  <r>
    <x v="1"/>
  </r>
  <r>
    <x v="1"/>
  </r>
  <r>
    <x v="6"/>
  </r>
  <r>
    <x v="6"/>
  </r>
  <r>
    <x v="0"/>
  </r>
  <r>
    <x v="0"/>
  </r>
  <r>
    <x v="9"/>
  </r>
  <r>
    <x v="10"/>
  </r>
  <r>
    <x v="0"/>
  </r>
  <r>
    <x v="1"/>
  </r>
  <r>
    <x v="0"/>
  </r>
  <r>
    <x v="4"/>
  </r>
  <r>
    <x v="9"/>
  </r>
  <r>
    <x v="4"/>
  </r>
  <r>
    <x v="10"/>
  </r>
  <r>
    <x v="9"/>
  </r>
  <r>
    <x v="11"/>
  </r>
  <r>
    <x v="1"/>
  </r>
  <r>
    <x v="8"/>
  </r>
  <r>
    <x v="14"/>
  </r>
  <r>
    <x v="1"/>
  </r>
  <r>
    <x v="0"/>
  </r>
  <r>
    <x v="3"/>
  </r>
  <r>
    <x v="9"/>
  </r>
  <r>
    <x v="9"/>
  </r>
  <r>
    <x v="3"/>
  </r>
  <r>
    <x v="4"/>
  </r>
  <r>
    <x v="0"/>
  </r>
  <r>
    <x v="8"/>
  </r>
  <r>
    <x v="8"/>
  </r>
  <r>
    <x v="1"/>
  </r>
  <r>
    <x v="8"/>
  </r>
  <r>
    <x v="3"/>
  </r>
  <r>
    <x v="12"/>
  </r>
  <r>
    <x v="9"/>
  </r>
  <r>
    <x v="8"/>
  </r>
  <r>
    <x v="4"/>
  </r>
  <r>
    <x v="0"/>
  </r>
  <r>
    <x v="0"/>
  </r>
  <r>
    <x v="8"/>
  </r>
  <r>
    <x v="3"/>
  </r>
  <r>
    <x v="9"/>
  </r>
  <r>
    <x v="14"/>
  </r>
  <r>
    <x v="9"/>
  </r>
  <r>
    <x v="0"/>
  </r>
  <r>
    <x v="8"/>
  </r>
  <r>
    <x v="1"/>
  </r>
  <r>
    <x v="3"/>
  </r>
  <r>
    <x v="8"/>
  </r>
  <r>
    <x v="1"/>
  </r>
  <r>
    <x v="9"/>
  </r>
  <r>
    <x v="0"/>
  </r>
  <r>
    <x v="1"/>
  </r>
  <r>
    <x v="4"/>
  </r>
  <r>
    <x v="0"/>
  </r>
  <r>
    <x v="0"/>
  </r>
  <r>
    <x v="10"/>
  </r>
  <r>
    <x v="0"/>
  </r>
  <r>
    <x v="1"/>
  </r>
  <r>
    <x v="4"/>
  </r>
  <r>
    <x v="4"/>
  </r>
  <r>
    <x v="8"/>
  </r>
  <r>
    <x v="4"/>
  </r>
  <r>
    <x v="4"/>
  </r>
  <r>
    <x v="14"/>
  </r>
  <r>
    <x v="4"/>
  </r>
  <r>
    <x v="4"/>
  </r>
  <r>
    <x v="9"/>
  </r>
  <r>
    <x v="3"/>
  </r>
  <r>
    <x v="4"/>
  </r>
  <r>
    <x v="4"/>
  </r>
  <r>
    <x v="3"/>
  </r>
  <r>
    <x v="6"/>
  </r>
  <r>
    <x v="0"/>
  </r>
  <r>
    <x v="4"/>
  </r>
  <r>
    <x v="10"/>
  </r>
  <r>
    <x v="4"/>
  </r>
  <r>
    <x v="3"/>
  </r>
  <r>
    <x v="11"/>
  </r>
  <r>
    <x v="4"/>
  </r>
  <r>
    <x v="9"/>
  </r>
  <r>
    <x v="0"/>
  </r>
  <r>
    <x v="4"/>
  </r>
  <r>
    <x v="5"/>
  </r>
  <r>
    <x v="0"/>
  </r>
  <r>
    <x v="1"/>
  </r>
  <r>
    <x v="3"/>
  </r>
  <r>
    <x v="12"/>
  </r>
  <r>
    <x v="0"/>
  </r>
  <r>
    <x v="4"/>
  </r>
  <r>
    <x v="7"/>
  </r>
  <r>
    <x v="0"/>
  </r>
  <r>
    <x v="2"/>
  </r>
  <r>
    <x v="8"/>
  </r>
  <r>
    <x v="8"/>
  </r>
  <r>
    <x v="9"/>
  </r>
  <r>
    <x v="14"/>
  </r>
  <r>
    <x v="9"/>
  </r>
  <r>
    <x v="10"/>
  </r>
  <r>
    <x v="9"/>
  </r>
  <r>
    <x v="9"/>
  </r>
  <r>
    <x v="1"/>
  </r>
  <r>
    <x v="10"/>
  </r>
  <r>
    <x v="8"/>
  </r>
  <r>
    <x v="9"/>
  </r>
  <r>
    <x v="12"/>
  </r>
  <r>
    <x v="0"/>
  </r>
  <r>
    <x v="1"/>
  </r>
  <r>
    <x v="0"/>
  </r>
  <r>
    <x v="8"/>
  </r>
  <r>
    <x v="10"/>
  </r>
  <r>
    <x v="3"/>
  </r>
  <r>
    <x v="9"/>
  </r>
  <r>
    <x v="0"/>
  </r>
  <r>
    <x v="4"/>
  </r>
  <r>
    <x v="1"/>
  </r>
  <r>
    <x v="4"/>
  </r>
  <r>
    <x v="3"/>
  </r>
  <r>
    <x v="3"/>
  </r>
  <r>
    <x v="4"/>
  </r>
  <r>
    <x v="4"/>
  </r>
  <r>
    <x v="2"/>
  </r>
  <r>
    <x v="0"/>
  </r>
  <r>
    <x v="4"/>
  </r>
  <r>
    <x v="14"/>
  </r>
  <r>
    <x v="0"/>
  </r>
  <r>
    <x v="0"/>
  </r>
  <r>
    <x v="10"/>
  </r>
  <r>
    <x v="4"/>
  </r>
  <r>
    <x v="0"/>
  </r>
  <r>
    <x v="10"/>
  </r>
  <r>
    <x v="0"/>
  </r>
  <r>
    <x v="9"/>
  </r>
  <r>
    <x v="8"/>
  </r>
  <r>
    <x v="5"/>
  </r>
  <r>
    <x v="9"/>
  </r>
  <r>
    <x v="4"/>
  </r>
  <r>
    <x v="1"/>
  </r>
  <r>
    <x v="3"/>
  </r>
  <r>
    <x v="4"/>
  </r>
  <r>
    <x v="3"/>
  </r>
  <r>
    <x v="3"/>
  </r>
  <r>
    <x v="9"/>
  </r>
  <r>
    <x v="4"/>
  </r>
  <r>
    <x v="3"/>
  </r>
  <r>
    <x v="4"/>
  </r>
  <r>
    <x v="17"/>
  </r>
  <r>
    <x v="17"/>
  </r>
  <r>
    <x v="17"/>
  </r>
  <r>
    <x v="17"/>
  </r>
  <r>
    <x v="17"/>
  </r>
  <r>
    <x v="17"/>
  </r>
  <r>
    <x v="17"/>
  </r>
</pivotCacheRecords>
</file>

<file path=xl/pivotCache/pivotCacheRecords3.xml><?xml version="1.0" encoding="utf-8"?>
<pivotCacheRecords xmlns="http://schemas.openxmlformats.org/spreadsheetml/2006/main" count="544">
  <r>
    <x v="0"/>
  </r>
  <r>
    <x v="0"/>
  </r>
  <r>
    <x v="1"/>
  </r>
  <r>
    <x v="2"/>
  </r>
  <r>
    <x v="0"/>
  </r>
  <r>
    <x v="1"/>
  </r>
  <r>
    <x v="1"/>
  </r>
  <r>
    <x v="3"/>
  </r>
  <r>
    <x v="4"/>
  </r>
  <r>
    <x v="2"/>
  </r>
  <r>
    <x v="4"/>
  </r>
  <r>
    <x v="5"/>
  </r>
  <r>
    <x v="4"/>
  </r>
  <r>
    <x v="6"/>
  </r>
  <r>
    <x v="2"/>
  </r>
  <r>
    <x v="3"/>
  </r>
  <r>
    <x v="7"/>
  </r>
  <r>
    <x v="8"/>
  </r>
  <r>
    <x v="8"/>
  </r>
  <r>
    <x v="4"/>
  </r>
  <r>
    <x v="0"/>
  </r>
  <r>
    <x v="9"/>
  </r>
  <r>
    <x v="10"/>
  </r>
  <r>
    <x v="11"/>
  </r>
  <r>
    <x v="9"/>
  </r>
  <r>
    <x v="1"/>
  </r>
  <r>
    <x v="7"/>
  </r>
  <r>
    <x v="2"/>
  </r>
  <r>
    <x v="8"/>
  </r>
  <r>
    <x v="0"/>
  </r>
  <r>
    <x v="10"/>
  </r>
  <r>
    <x v="0"/>
  </r>
  <r>
    <x v="0"/>
  </r>
  <r>
    <x v="3"/>
  </r>
  <r>
    <x v="5"/>
  </r>
  <r>
    <x v="2"/>
  </r>
  <r>
    <x v="7"/>
  </r>
  <r>
    <x v="3"/>
  </r>
  <r>
    <x v="3"/>
  </r>
  <r>
    <x v="8"/>
  </r>
  <r>
    <x v="8"/>
  </r>
  <r>
    <x v="8"/>
  </r>
  <r>
    <x v="4"/>
  </r>
  <r>
    <x v="10"/>
  </r>
  <r>
    <x v="1"/>
  </r>
  <r>
    <x v="12"/>
  </r>
  <r>
    <x v="4"/>
  </r>
  <r>
    <x v="10"/>
  </r>
  <r>
    <x v="4"/>
  </r>
  <r>
    <x v="3"/>
  </r>
  <r>
    <x v="4"/>
  </r>
  <r>
    <x v="4"/>
  </r>
  <r>
    <x v="8"/>
  </r>
  <r>
    <x v="9"/>
  </r>
  <r>
    <x v="3"/>
  </r>
  <r>
    <x v="9"/>
  </r>
  <r>
    <x v="8"/>
  </r>
  <r>
    <x v="0"/>
  </r>
  <r>
    <x v="1"/>
  </r>
  <r>
    <x v="4"/>
  </r>
  <r>
    <x v="10"/>
  </r>
  <r>
    <x v="8"/>
  </r>
  <r>
    <x v="8"/>
  </r>
  <r>
    <x v="0"/>
  </r>
  <r>
    <x v="3"/>
  </r>
  <r>
    <x v="3"/>
  </r>
  <r>
    <x v="3"/>
  </r>
  <r>
    <x v="9"/>
  </r>
  <r>
    <x v="10"/>
  </r>
  <r>
    <x v="2"/>
  </r>
  <r>
    <x v="12"/>
  </r>
  <r>
    <x v="10"/>
  </r>
  <r>
    <x v="12"/>
  </r>
  <r>
    <x v="2"/>
  </r>
  <r>
    <x v="0"/>
  </r>
  <r>
    <x v="3"/>
  </r>
  <r>
    <x v="8"/>
  </r>
  <r>
    <x v="9"/>
  </r>
  <r>
    <x v="1"/>
  </r>
  <r>
    <x v="8"/>
  </r>
  <r>
    <x v="4"/>
  </r>
  <r>
    <x v="1"/>
  </r>
  <r>
    <x v="0"/>
  </r>
  <r>
    <x v="5"/>
  </r>
  <r>
    <x v="10"/>
  </r>
  <r>
    <x v="10"/>
  </r>
  <r>
    <x v="10"/>
  </r>
  <r>
    <x v="0"/>
  </r>
  <r>
    <x v="9"/>
  </r>
  <r>
    <x v="9"/>
  </r>
  <r>
    <x v="12"/>
  </r>
  <r>
    <x v="0"/>
  </r>
  <r>
    <x v="0"/>
  </r>
  <r>
    <x v="13"/>
  </r>
  <r>
    <x v="9"/>
  </r>
  <r>
    <x v="1"/>
  </r>
  <r>
    <x v="8"/>
  </r>
  <r>
    <x v="3"/>
  </r>
  <r>
    <x v="10"/>
  </r>
  <r>
    <x v="8"/>
  </r>
  <r>
    <x v="0"/>
  </r>
  <r>
    <x v="12"/>
  </r>
  <r>
    <x v="9"/>
  </r>
  <r>
    <x v="8"/>
  </r>
  <r>
    <x v="1"/>
  </r>
  <r>
    <x v="4"/>
  </r>
  <r>
    <x v="1"/>
  </r>
  <r>
    <x v="0"/>
  </r>
  <r>
    <x v="9"/>
  </r>
  <r>
    <x v="3"/>
  </r>
  <r>
    <x v="7"/>
  </r>
  <r>
    <x v="9"/>
  </r>
  <r>
    <x v="7"/>
  </r>
  <r>
    <x v="0"/>
  </r>
  <r>
    <x v="9"/>
  </r>
  <r>
    <x v="2"/>
  </r>
  <r>
    <x v="8"/>
  </r>
  <r>
    <x v="4"/>
  </r>
  <r>
    <x v="10"/>
  </r>
  <r>
    <x v="0"/>
  </r>
  <r>
    <x v="0"/>
  </r>
  <r>
    <x v="0"/>
  </r>
  <r>
    <x v="9"/>
  </r>
  <r>
    <x v="3"/>
  </r>
  <r>
    <x v="3"/>
  </r>
  <r>
    <x v="8"/>
  </r>
  <r>
    <x v="10"/>
  </r>
  <r>
    <x v="3"/>
  </r>
  <r>
    <x v="9"/>
  </r>
  <r>
    <x v="4"/>
  </r>
  <r>
    <x v="0"/>
  </r>
  <r>
    <x v="4"/>
  </r>
  <r>
    <x v="8"/>
  </r>
  <r>
    <x v="9"/>
  </r>
  <r>
    <x v="0"/>
  </r>
  <r>
    <x v="3"/>
  </r>
  <r>
    <x v="1"/>
  </r>
  <r>
    <x v="4"/>
  </r>
  <r>
    <x v="8"/>
  </r>
  <r>
    <x v="0"/>
  </r>
  <r>
    <x v="4"/>
  </r>
  <r>
    <x v="5"/>
  </r>
  <r>
    <x v="11"/>
  </r>
  <r>
    <x v="14"/>
  </r>
  <r>
    <x v="8"/>
  </r>
  <r>
    <x v="4"/>
  </r>
  <r>
    <x v="9"/>
  </r>
  <r>
    <x v="3"/>
  </r>
  <r>
    <x v="2"/>
  </r>
  <r>
    <x v="8"/>
  </r>
  <r>
    <x v="4"/>
  </r>
  <r>
    <x v="9"/>
  </r>
  <r>
    <x v="2"/>
  </r>
  <r>
    <x v="2"/>
  </r>
  <r>
    <x v="2"/>
  </r>
  <r>
    <x v="1"/>
  </r>
  <r>
    <x v="3"/>
  </r>
  <r>
    <x v="0"/>
  </r>
  <r>
    <x v="9"/>
  </r>
  <r>
    <x v="0"/>
  </r>
  <r>
    <x v="9"/>
  </r>
  <r>
    <x v="1"/>
  </r>
  <r>
    <x v="9"/>
  </r>
  <r>
    <x v="3"/>
  </r>
  <r>
    <x v="13"/>
  </r>
  <r>
    <x v="0"/>
  </r>
  <r>
    <x v="8"/>
  </r>
  <r>
    <x v="0"/>
  </r>
  <r>
    <x v="1"/>
  </r>
  <r>
    <x v="2"/>
  </r>
  <r>
    <x v="10"/>
  </r>
  <r>
    <x v="10"/>
  </r>
  <r>
    <x v="8"/>
  </r>
  <r>
    <x v="2"/>
  </r>
  <r>
    <x v="4"/>
  </r>
  <r>
    <x v="3"/>
  </r>
  <r>
    <x v="8"/>
  </r>
  <r>
    <x v="1"/>
  </r>
  <r>
    <x v="9"/>
  </r>
  <r>
    <x v="14"/>
  </r>
  <r>
    <x v="8"/>
  </r>
  <r>
    <x v="8"/>
  </r>
  <r>
    <x v="9"/>
  </r>
  <r>
    <x v="8"/>
  </r>
  <r>
    <x v="13"/>
  </r>
  <r>
    <x v="15"/>
  </r>
  <r>
    <x v="3"/>
  </r>
  <r>
    <x v="3"/>
  </r>
  <r>
    <x v="0"/>
  </r>
  <r>
    <x v="8"/>
  </r>
  <r>
    <x v="3"/>
  </r>
  <r>
    <x v="3"/>
  </r>
  <r>
    <x v="1"/>
  </r>
  <r>
    <x v="3"/>
  </r>
  <r>
    <x v="0"/>
  </r>
  <r>
    <x v="0"/>
  </r>
  <r>
    <x v="9"/>
  </r>
  <r>
    <x v="1"/>
  </r>
  <r>
    <x v="0"/>
  </r>
  <r>
    <x v="3"/>
  </r>
  <r>
    <x v="9"/>
  </r>
  <r>
    <x v="4"/>
  </r>
  <r>
    <x v="0"/>
  </r>
  <r>
    <x v="10"/>
  </r>
  <r>
    <x v="0"/>
  </r>
  <r>
    <x v="0"/>
  </r>
  <r>
    <x v="6"/>
  </r>
  <r>
    <x v="12"/>
  </r>
  <r>
    <x v="9"/>
  </r>
  <r>
    <x v="4"/>
  </r>
  <r>
    <x v="12"/>
  </r>
  <r>
    <x v="0"/>
  </r>
  <r>
    <x v="1"/>
  </r>
  <r>
    <x v="4"/>
  </r>
  <r>
    <x v="2"/>
  </r>
  <r>
    <x v="10"/>
  </r>
  <r>
    <x v="0"/>
  </r>
  <r>
    <x v="9"/>
  </r>
  <r>
    <x v="9"/>
  </r>
  <r>
    <x v="9"/>
  </r>
  <r>
    <x v="12"/>
  </r>
  <r>
    <x v="0"/>
  </r>
  <r>
    <x v="3"/>
  </r>
  <r>
    <x v="12"/>
  </r>
  <r>
    <x v="1"/>
  </r>
  <r>
    <x v="6"/>
  </r>
  <r>
    <x v="0"/>
  </r>
  <r>
    <x v="0"/>
  </r>
  <r>
    <x v="9"/>
  </r>
  <r>
    <x v="4"/>
  </r>
  <r>
    <x v="5"/>
  </r>
  <r>
    <x v="0"/>
  </r>
  <r>
    <x v="1"/>
  </r>
  <r>
    <x v="1"/>
  </r>
  <r>
    <x v="1"/>
  </r>
  <r>
    <x v="9"/>
  </r>
  <r>
    <x v="9"/>
  </r>
  <r>
    <x v="8"/>
  </r>
  <r>
    <x v="3"/>
  </r>
  <r>
    <x v="5"/>
  </r>
  <r>
    <x v="3"/>
  </r>
  <r>
    <x v="9"/>
  </r>
  <r>
    <x v="12"/>
  </r>
  <r>
    <x v="1"/>
  </r>
  <r>
    <x v="1"/>
  </r>
  <r>
    <x v="10"/>
  </r>
  <r>
    <x v="10"/>
  </r>
  <r>
    <x v="12"/>
  </r>
  <r>
    <x v="1"/>
  </r>
  <r>
    <x v="9"/>
  </r>
  <r>
    <x v="1"/>
  </r>
  <r>
    <x v="8"/>
  </r>
  <r>
    <x v="0"/>
  </r>
  <r>
    <x v="1"/>
  </r>
  <r>
    <x v="0"/>
  </r>
  <r>
    <x v="0"/>
  </r>
  <r>
    <x v="8"/>
  </r>
  <r>
    <x v="1"/>
  </r>
  <r>
    <x v="4"/>
  </r>
  <r>
    <x v="8"/>
  </r>
  <r>
    <x v="1"/>
  </r>
  <r>
    <x v="12"/>
  </r>
  <r>
    <x v="8"/>
  </r>
  <r>
    <x v="12"/>
  </r>
  <r>
    <x v="10"/>
  </r>
  <r>
    <x v="8"/>
  </r>
  <r>
    <x v="4"/>
  </r>
  <r>
    <x v="0"/>
  </r>
  <r>
    <x v="8"/>
  </r>
  <r>
    <x v="1"/>
  </r>
  <r>
    <x v="1"/>
  </r>
  <r>
    <x v="0"/>
  </r>
  <r>
    <x v="8"/>
  </r>
  <r>
    <x v="0"/>
  </r>
  <r>
    <x v="3"/>
  </r>
  <r>
    <x v="4"/>
  </r>
  <r>
    <x v="9"/>
  </r>
  <r>
    <x v="0"/>
  </r>
  <r>
    <x v="1"/>
  </r>
  <r>
    <x v="9"/>
  </r>
  <r>
    <x v="6"/>
  </r>
  <r>
    <x v="4"/>
  </r>
  <r>
    <x v="9"/>
  </r>
  <r>
    <x v="8"/>
  </r>
  <r>
    <x v="4"/>
  </r>
  <r>
    <x v="0"/>
  </r>
  <r>
    <x v="3"/>
  </r>
  <r>
    <x v="8"/>
  </r>
  <r>
    <x v="8"/>
  </r>
  <r>
    <x v="9"/>
  </r>
  <r>
    <x v="8"/>
  </r>
  <r>
    <x v="8"/>
  </r>
  <r>
    <x v="9"/>
  </r>
  <r>
    <x v="14"/>
  </r>
  <r>
    <x v="9"/>
  </r>
  <r>
    <x v="9"/>
  </r>
  <r>
    <x v="9"/>
  </r>
  <r>
    <x v="8"/>
  </r>
  <r>
    <x v="8"/>
  </r>
  <r>
    <x v="10"/>
  </r>
  <r>
    <x v="0"/>
  </r>
  <r>
    <x v="9"/>
  </r>
  <r>
    <x v="8"/>
  </r>
  <r>
    <x v="7"/>
  </r>
  <r>
    <x v="10"/>
  </r>
  <r>
    <x v="3"/>
  </r>
  <r>
    <x v="7"/>
  </r>
  <r>
    <x v="10"/>
  </r>
  <r>
    <x v="3"/>
  </r>
  <r>
    <x v="4"/>
  </r>
  <r>
    <x v="1"/>
  </r>
  <r>
    <x v="8"/>
  </r>
  <r>
    <x v="12"/>
  </r>
  <r>
    <x v="0"/>
  </r>
  <r>
    <x v="8"/>
  </r>
  <r>
    <x v="4"/>
  </r>
  <r>
    <x v="8"/>
  </r>
  <r>
    <x v="4"/>
  </r>
  <r>
    <x v="9"/>
  </r>
  <r>
    <x v="1"/>
  </r>
  <r>
    <x v="5"/>
  </r>
  <r>
    <x v="8"/>
  </r>
  <r>
    <x v="9"/>
  </r>
  <r>
    <x v="3"/>
  </r>
  <r>
    <x v="9"/>
  </r>
  <r>
    <x v="4"/>
  </r>
  <r>
    <x v="1"/>
  </r>
  <r>
    <x v="8"/>
  </r>
  <r>
    <x v="1"/>
  </r>
  <r>
    <x v="0"/>
  </r>
  <r>
    <x v="16"/>
  </r>
  <r>
    <x v="0"/>
  </r>
  <r>
    <x v="0"/>
  </r>
  <r>
    <x v="9"/>
  </r>
  <r>
    <x v="8"/>
  </r>
  <r>
    <x v="8"/>
  </r>
  <r>
    <x v="14"/>
  </r>
  <r>
    <x v="0"/>
  </r>
  <r>
    <x v="13"/>
  </r>
  <r>
    <x v="10"/>
  </r>
  <r>
    <x v="0"/>
  </r>
  <r>
    <x v="0"/>
  </r>
  <r>
    <x v="8"/>
  </r>
  <r>
    <x v="0"/>
  </r>
  <r>
    <x v="9"/>
  </r>
  <r>
    <x v="1"/>
  </r>
  <r>
    <x v="0"/>
  </r>
  <r>
    <x v="0"/>
  </r>
  <r>
    <x v="5"/>
  </r>
  <r>
    <x v="0"/>
  </r>
  <r>
    <x v="10"/>
  </r>
  <r>
    <x v="9"/>
  </r>
  <r>
    <x v="3"/>
  </r>
  <r>
    <x v="9"/>
  </r>
  <r>
    <x v="4"/>
  </r>
  <r>
    <x v="4"/>
  </r>
  <r>
    <x v="0"/>
  </r>
  <r>
    <x v="14"/>
  </r>
  <r>
    <x v="0"/>
  </r>
  <r>
    <x v="14"/>
  </r>
  <r>
    <x v="1"/>
  </r>
  <r>
    <x v="1"/>
  </r>
  <r>
    <x v="3"/>
  </r>
  <r>
    <x v="9"/>
  </r>
  <r>
    <x v="0"/>
  </r>
  <r>
    <x v="0"/>
  </r>
  <r>
    <x v="0"/>
  </r>
  <r>
    <x v="0"/>
  </r>
  <r>
    <x v="3"/>
  </r>
  <r>
    <x v="3"/>
  </r>
  <r>
    <x v="3"/>
  </r>
  <r>
    <x v="9"/>
  </r>
  <r>
    <x v="11"/>
  </r>
  <r>
    <x v="12"/>
  </r>
  <r>
    <x v="3"/>
  </r>
  <r>
    <x v="10"/>
  </r>
  <r>
    <x v="0"/>
  </r>
  <r>
    <x v="7"/>
  </r>
  <r>
    <x v="9"/>
  </r>
  <r>
    <x v="1"/>
  </r>
  <r>
    <x v="13"/>
  </r>
  <r>
    <x v="7"/>
  </r>
  <r>
    <x v="5"/>
  </r>
  <r>
    <x v="3"/>
  </r>
  <r>
    <x v="0"/>
  </r>
  <r>
    <x v="12"/>
  </r>
  <r>
    <x v="9"/>
  </r>
  <r>
    <x v="4"/>
  </r>
  <r>
    <x v="10"/>
  </r>
  <r>
    <x v="10"/>
  </r>
  <r>
    <x v="4"/>
  </r>
  <r>
    <x v="1"/>
  </r>
  <r>
    <x v="1"/>
  </r>
  <r>
    <x v="6"/>
  </r>
  <r>
    <x v="6"/>
  </r>
  <r>
    <x v="0"/>
  </r>
  <r>
    <x v="0"/>
  </r>
  <r>
    <x v="9"/>
  </r>
  <r>
    <x v="10"/>
  </r>
  <r>
    <x v="0"/>
  </r>
  <r>
    <x v="1"/>
  </r>
  <r>
    <x v="0"/>
  </r>
  <r>
    <x v="4"/>
  </r>
  <r>
    <x v="9"/>
  </r>
  <r>
    <x v="4"/>
  </r>
  <r>
    <x v="10"/>
  </r>
  <r>
    <x v="9"/>
  </r>
  <r>
    <x v="11"/>
  </r>
  <r>
    <x v="1"/>
  </r>
  <r>
    <x v="8"/>
  </r>
  <r>
    <x v="14"/>
  </r>
  <r>
    <x v="1"/>
  </r>
  <r>
    <x v="0"/>
  </r>
  <r>
    <x v="3"/>
  </r>
  <r>
    <x v="9"/>
  </r>
  <r>
    <x v="9"/>
  </r>
  <r>
    <x v="3"/>
  </r>
  <r>
    <x v="4"/>
  </r>
  <r>
    <x v="0"/>
  </r>
  <r>
    <x v="8"/>
  </r>
  <r>
    <x v="8"/>
  </r>
  <r>
    <x v="1"/>
  </r>
  <r>
    <x v="8"/>
  </r>
  <r>
    <x v="3"/>
  </r>
  <r>
    <x v="12"/>
  </r>
  <r>
    <x v="9"/>
  </r>
  <r>
    <x v="8"/>
  </r>
  <r>
    <x v="4"/>
  </r>
  <r>
    <x v="0"/>
  </r>
  <r>
    <x v="0"/>
  </r>
  <r>
    <x v="8"/>
  </r>
  <r>
    <x v="3"/>
  </r>
  <r>
    <x v="9"/>
  </r>
  <r>
    <x v="14"/>
  </r>
  <r>
    <x v="9"/>
  </r>
  <r>
    <x v="0"/>
  </r>
  <r>
    <x v="8"/>
  </r>
  <r>
    <x v="1"/>
  </r>
  <r>
    <x v="3"/>
  </r>
  <r>
    <x v="8"/>
  </r>
  <r>
    <x v="1"/>
  </r>
  <r>
    <x v="9"/>
  </r>
  <r>
    <x v="0"/>
  </r>
  <r>
    <x v="1"/>
  </r>
  <r>
    <x v="4"/>
  </r>
  <r>
    <x v="0"/>
  </r>
  <r>
    <x v="0"/>
  </r>
  <r>
    <x v="10"/>
  </r>
  <r>
    <x v="0"/>
  </r>
  <r>
    <x v="1"/>
  </r>
  <r>
    <x v="4"/>
  </r>
  <r>
    <x v="4"/>
  </r>
  <r>
    <x v="8"/>
  </r>
  <r>
    <x v="4"/>
  </r>
  <r>
    <x v="4"/>
  </r>
  <r>
    <x v="14"/>
  </r>
  <r>
    <x v="4"/>
  </r>
  <r>
    <x v="4"/>
  </r>
  <r>
    <x v="9"/>
  </r>
  <r>
    <x v="3"/>
  </r>
  <r>
    <x v="4"/>
  </r>
  <r>
    <x v="4"/>
  </r>
  <r>
    <x v="3"/>
  </r>
  <r>
    <x v="6"/>
  </r>
  <r>
    <x v="0"/>
  </r>
  <r>
    <x v="4"/>
  </r>
  <r>
    <x v="10"/>
  </r>
  <r>
    <x v="4"/>
  </r>
  <r>
    <x v="3"/>
  </r>
  <r>
    <x v="11"/>
  </r>
  <r>
    <x v="4"/>
  </r>
  <r>
    <x v="9"/>
  </r>
  <r>
    <x v="0"/>
  </r>
  <r>
    <x v="4"/>
  </r>
  <r>
    <x v="5"/>
  </r>
  <r>
    <x v="0"/>
  </r>
  <r>
    <x v="1"/>
  </r>
  <r>
    <x v="3"/>
  </r>
  <r>
    <x v="12"/>
  </r>
  <r>
    <x v="0"/>
  </r>
  <r>
    <x v="4"/>
  </r>
  <r>
    <x v="7"/>
  </r>
  <r>
    <x v="0"/>
  </r>
  <r>
    <x v="2"/>
  </r>
  <r>
    <x v="8"/>
  </r>
  <r>
    <x v="8"/>
  </r>
  <r>
    <x v="9"/>
  </r>
  <r>
    <x v="14"/>
  </r>
  <r>
    <x v="9"/>
  </r>
  <r>
    <x v="10"/>
  </r>
  <r>
    <x v="9"/>
  </r>
  <r>
    <x v="9"/>
  </r>
  <r>
    <x v="1"/>
  </r>
  <r>
    <x v="10"/>
  </r>
  <r>
    <x v="8"/>
  </r>
  <r>
    <x v="9"/>
  </r>
  <r>
    <x v="12"/>
  </r>
  <r>
    <x v="0"/>
  </r>
  <r>
    <x v="1"/>
  </r>
  <r>
    <x v="0"/>
  </r>
  <r>
    <x v="8"/>
  </r>
  <r>
    <x v="10"/>
  </r>
  <r>
    <x v="3"/>
  </r>
  <r>
    <x v="9"/>
  </r>
  <r>
    <x v="0"/>
  </r>
  <r>
    <x v="4"/>
  </r>
  <r>
    <x v="1"/>
  </r>
  <r>
    <x v="4"/>
  </r>
  <r>
    <x v="3"/>
  </r>
  <r>
    <x v="3"/>
  </r>
  <r>
    <x v="4"/>
  </r>
  <r>
    <x v="4"/>
  </r>
  <r>
    <x v="2"/>
  </r>
  <r>
    <x v="0"/>
  </r>
  <r>
    <x v="4"/>
  </r>
  <r>
    <x v="14"/>
  </r>
  <r>
    <x v="0"/>
  </r>
  <r>
    <x v="0"/>
  </r>
  <r>
    <x v="10"/>
  </r>
  <r>
    <x v="4"/>
  </r>
  <r>
    <x v="0"/>
  </r>
  <r>
    <x v="10"/>
  </r>
  <r>
    <x v="0"/>
  </r>
  <r>
    <x v="9"/>
  </r>
  <r>
    <x v="8"/>
  </r>
  <r>
    <x v="5"/>
  </r>
  <r>
    <x v="9"/>
  </r>
  <r>
    <x v="4"/>
  </r>
  <r>
    <x v="1"/>
  </r>
  <r>
    <x v="3"/>
  </r>
  <r>
    <x v="4"/>
  </r>
  <r>
    <x v="3"/>
  </r>
  <r>
    <x v="3"/>
  </r>
  <r>
    <x v="9"/>
  </r>
  <r>
    <x v="4"/>
  </r>
  <r>
    <x v="3"/>
  </r>
  <r>
    <x v="4"/>
  </r>
  <r>
    <x v="17"/>
  </r>
  <r>
    <x v="17"/>
  </r>
  <r>
    <x v="17"/>
  </r>
  <r>
    <x v="17"/>
  </r>
  <r>
    <x v="17"/>
  </r>
  <r>
    <x v="17"/>
  </r>
  <r>
    <x v="17"/>
  </r>
</pivotCacheRecords>
</file>

<file path=xl/pivotCache/pivotCacheRecords4.xml><?xml version="1.0" encoding="utf-8"?>
<pivotCacheRecords xmlns="http://schemas.openxmlformats.org/spreadsheetml/2006/main" count="544">
  <r>
    <x v="0"/>
  </r>
  <r>
    <x v="0"/>
  </r>
  <r>
    <x v="1"/>
  </r>
  <r>
    <x v="2"/>
  </r>
  <r>
    <x v="0"/>
  </r>
  <r>
    <x v="1"/>
  </r>
  <r>
    <x v="1"/>
  </r>
  <r>
    <x v="3"/>
  </r>
  <r>
    <x v="4"/>
  </r>
  <r>
    <x v="2"/>
  </r>
  <r>
    <x v="4"/>
  </r>
  <r>
    <x v="5"/>
  </r>
  <r>
    <x v="4"/>
  </r>
  <r>
    <x v="6"/>
  </r>
  <r>
    <x v="2"/>
  </r>
  <r>
    <x v="3"/>
  </r>
  <r>
    <x v="7"/>
  </r>
  <r>
    <x v="8"/>
  </r>
  <r>
    <x v="8"/>
  </r>
  <r>
    <x v="4"/>
  </r>
  <r>
    <x v="0"/>
  </r>
  <r>
    <x v="9"/>
  </r>
  <r>
    <x v="10"/>
  </r>
  <r>
    <x v="11"/>
  </r>
  <r>
    <x v="9"/>
  </r>
  <r>
    <x v="1"/>
  </r>
  <r>
    <x v="7"/>
  </r>
  <r>
    <x v="2"/>
  </r>
  <r>
    <x v="8"/>
  </r>
  <r>
    <x v="0"/>
  </r>
  <r>
    <x v="10"/>
  </r>
  <r>
    <x v="0"/>
  </r>
  <r>
    <x v="0"/>
  </r>
  <r>
    <x v="3"/>
  </r>
  <r>
    <x v="5"/>
  </r>
  <r>
    <x v="2"/>
  </r>
  <r>
    <x v="7"/>
  </r>
  <r>
    <x v="3"/>
  </r>
  <r>
    <x v="3"/>
  </r>
  <r>
    <x v="8"/>
  </r>
  <r>
    <x v="8"/>
  </r>
  <r>
    <x v="8"/>
  </r>
  <r>
    <x v="4"/>
  </r>
  <r>
    <x v="10"/>
  </r>
  <r>
    <x v="1"/>
  </r>
  <r>
    <x v="12"/>
  </r>
  <r>
    <x v="4"/>
  </r>
  <r>
    <x v="10"/>
  </r>
  <r>
    <x v="4"/>
  </r>
  <r>
    <x v="3"/>
  </r>
  <r>
    <x v="4"/>
  </r>
  <r>
    <x v="4"/>
  </r>
  <r>
    <x v="8"/>
  </r>
  <r>
    <x v="9"/>
  </r>
  <r>
    <x v="3"/>
  </r>
  <r>
    <x v="9"/>
  </r>
  <r>
    <x v="8"/>
  </r>
  <r>
    <x v="0"/>
  </r>
  <r>
    <x v="1"/>
  </r>
  <r>
    <x v="4"/>
  </r>
  <r>
    <x v="10"/>
  </r>
  <r>
    <x v="8"/>
  </r>
  <r>
    <x v="8"/>
  </r>
  <r>
    <x v="0"/>
  </r>
  <r>
    <x v="3"/>
  </r>
  <r>
    <x v="3"/>
  </r>
  <r>
    <x v="3"/>
  </r>
  <r>
    <x v="9"/>
  </r>
  <r>
    <x v="10"/>
  </r>
  <r>
    <x v="2"/>
  </r>
  <r>
    <x v="12"/>
  </r>
  <r>
    <x v="10"/>
  </r>
  <r>
    <x v="12"/>
  </r>
  <r>
    <x v="2"/>
  </r>
  <r>
    <x v="0"/>
  </r>
  <r>
    <x v="3"/>
  </r>
  <r>
    <x v="8"/>
  </r>
  <r>
    <x v="9"/>
  </r>
  <r>
    <x v="1"/>
  </r>
  <r>
    <x v="8"/>
  </r>
  <r>
    <x v="4"/>
  </r>
  <r>
    <x v="1"/>
  </r>
  <r>
    <x v="0"/>
  </r>
  <r>
    <x v="5"/>
  </r>
  <r>
    <x v="10"/>
  </r>
  <r>
    <x v="10"/>
  </r>
  <r>
    <x v="10"/>
  </r>
  <r>
    <x v="0"/>
  </r>
  <r>
    <x v="9"/>
  </r>
  <r>
    <x v="9"/>
  </r>
  <r>
    <x v="12"/>
  </r>
  <r>
    <x v="0"/>
  </r>
  <r>
    <x v="0"/>
  </r>
  <r>
    <x v="13"/>
  </r>
  <r>
    <x v="9"/>
  </r>
  <r>
    <x v="1"/>
  </r>
  <r>
    <x v="8"/>
  </r>
  <r>
    <x v="3"/>
  </r>
  <r>
    <x v="10"/>
  </r>
  <r>
    <x v="8"/>
  </r>
  <r>
    <x v="0"/>
  </r>
  <r>
    <x v="12"/>
  </r>
  <r>
    <x v="9"/>
  </r>
  <r>
    <x v="8"/>
  </r>
  <r>
    <x v="1"/>
  </r>
  <r>
    <x v="4"/>
  </r>
  <r>
    <x v="1"/>
  </r>
  <r>
    <x v="0"/>
  </r>
  <r>
    <x v="9"/>
  </r>
  <r>
    <x v="3"/>
  </r>
  <r>
    <x v="7"/>
  </r>
  <r>
    <x v="9"/>
  </r>
  <r>
    <x v="7"/>
  </r>
  <r>
    <x v="0"/>
  </r>
  <r>
    <x v="9"/>
  </r>
  <r>
    <x v="2"/>
  </r>
  <r>
    <x v="8"/>
  </r>
  <r>
    <x v="4"/>
  </r>
  <r>
    <x v="10"/>
  </r>
  <r>
    <x v="0"/>
  </r>
  <r>
    <x v="0"/>
  </r>
  <r>
    <x v="0"/>
  </r>
  <r>
    <x v="9"/>
  </r>
  <r>
    <x v="3"/>
  </r>
  <r>
    <x v="3"/>
  </r>
  <r>
    <x v="8"/>
  </r>
  <r>
    <x v="10"/>
  </r>
  <r>
    <x v="3"/>
  </r>
  <r>
    <x v="9"/>
  </r>
  <r>
    <x v="4"/>
  </r>
  <r>
    <x v="0"/>
  </r>
  <r>
    <x v="4"/>
  </r>
  <r>
    <x v="8"/>
  </r>
  <r>
    <x v="9"/>
  </r>
  <r>
    <x v="0"/>
  </r>
  <r>
    <x v="3"/>
  </r>
  <r>
    <x v="1"/>
  </r>
  <r>
    <x v="4"/>
  </r>
  <r>
    <x v="8"/>
  </r>
  <r>
    <x v="0"/>
  </r>
  <r>
    <x v="4"/>
  </r>
  <r>
    <x v="5"/>
  </r>
  <r>
    <x v="11"/>
  </r>
  <r>
    <x v="14"/>
  </r>
  <r>
    <x v="8"/>
  </r>
  <r>
    <x v="4"/>
  </r>
  <r>
    <x v="9"/>
  </r>
  <r>
    <x v="3"/>
  </r>
  <r>
    <x v="2"/>
  </r>
  <r>
    <x v="8"/>
  </r>
  <r>
    <x v="4"/>
  </r>
  <r>
    <x v="9"/>
  </r>
  <r>
    <x v="2"/>
  </r>
  <r>
    <x v="2"/>
  </r>
  <r>
    <x v="2"/>
  </r>
  <r>
    <x v="1"/>
  </r>
  <r>
    <x v="3"/>
  </r>
  <r>
    <x v="0"/>
  </r>
  <r>
    <x v="9"/>
  </r>
  <r>
    <x v="0"/>
  </r>
  <r>
    <x v="9"/>
  </r>
  <r>
    <x v="1"/>
  </r>
  <r>
    <x v="9"/>
  </r>
  <r>
    <x v="3"/>
  </r>
  <r>
    <x v="13"/>
  </r>
  <r>
    <x v="0"/>
  </r>
  <r>
    <x v="8"/>
  </r>
  <r>
    <x v="0"/>
  </r>
  <r>
    <x v="1"/>
  </r>
  <r>
    <x v="2"/>
  </r>
  <r>
    <x v="10"/>
  </r>
  <r>
    <x v="10"/>
  </r>
  <r>
    <x v="8"/>
  </r>
  <r>
    <x v="2"/>
  </r>
  <r>
    <x v="4"/>
  </r>
  <r>
    <x v="3"/>
  </r>
  <r>
    <x v="8"/>
  </r>
  <r>
    <x v="1"/>
  </r>
  <r>
    <x v="9"/>
  </r>
  <r>
    <x v="14"/>
  </r>
  <r>
    <x v="8"/>
  </r>
  <r>
    <x v="8"/>
  </r>
  <r>
    <x v="9"/>
  </r>
  <r>
    <x v="8"/>
  </r>
  <r>
    <x v="13"/>
  </r>
  <r>
    <x v="15"/>
  </r>
  <r>
    <x v="3"/>
  </r>
  <r>
    <x v="3"/>
  </r>
  <r>
    <x v="0"/>
  </r>
  <r>
    <x v="8"/>
  </r>
  <r>
    <x v="3"/>
  </r>
  <r>
    <x v="3"/>
  </r>
  <r>
    <x v="1"/>
  </r>
  <r>
    <x v="3"/>
  </r>
  <r>
    <x v="0"/>
  </r>
  <r>
    <x v="0"/>
  </r>
  <r>
    <x v="9"/>
  </r>
  <r>
    <x v="1"/>
  </r>
  <r>
    <x v="0"/>
  </r>
  <r>
    <x v="3"/>
  </r>
  <r>
    <x v="9"/>
  </r>
  <r>
    <x v="4"/>
  </r>
  <r>
    <x v="0"/>
  </r>
  <r>
    <x v="10"/>
  </r>
  <r>
    <x v="0"/>
  </r>
  <r>
    <x v="0"/>
  </r>
  <r>
    <x v="6"/>
  </r>
  <r>
    <x v="12"/>
  </r>
  <r>
    <x v="9"/>
  </r>
  <r>
    <x v="4"/>
  </r>
  <r>
    <x v="12"/>
  </r>
  <r>
    <x v="0"/>
  </r>
  <r>
    <x v="1"/>
  </r>
  <r>
    <x v="4"/>
  </r>
  <r>
    <x v="2"/>
  </r>
  <r>
    <x v="10"/>
  </r>
  <r>
    <x v="0"/>
  </r>
  <r>
    <x v="9"/>
  </r>
  <r>
    <x v="9"/>
  </r>
  <r>
    <x v="9"/>
  </r>
  <r>
    <x v="12"/>
  </r>
  <r>
    <x v="0"/>
  </r>
  <r>
    <x v="3"/>
  </r>
  <r>
    <x v="12"/>
  </r>
  <r>
    <x v="1"/>
  </r>
  <r>
    <x v="6"/>
  </r>
  <r>
    <x v="0"/>
  </r>
  <r>
    <x v="0"/>
  </r>
  <r>
    <x v="9"/>
  </r>
  <r>
    <x v="4"/>
  </r>
  <r>
    <x v="5"/>
  </r>
  <r>
    <x v="0"/>
  </r>
  <r>
    <x v="1"/>
  </r>
  <r>
    <x v="1"/>
  </r>
  <r>
    <x v="1"/>
  </r>
  <r>
    <x v="9"/>
  </r>
  <r>
    <x v="9"/>
  </r>
  <r>
    <x v="8"/>
  </r>
  <r>
    <x v="3"/>
  </r>
  <r>
    <x v="5"/>
  </r>
  <r>
    <x v="3"/>
  </r>
  <r>
    <x v="9"/>
  </r>
  <r>
    <x v="12"/>
  </r>
  <r>
    <x v="1"/>
  </r>
  <r>
    <x v="1"/>
  </r>
  <r>
    <x v="10"/>
  </r>
  <r>
    <x v="10"/>
  </r>
  <r>
    <x v="12"/>
  </r>
  <r>
    <x v="1"/>
  </r>
  <r>
    <x v="9"/>
  </r>
  <r>
    <x v="1"/>
  </r>
  <r>
    <x v="8"/>
  </r>
  <r>
    <x v="0"/>
  </r>
  <r>
    <x v="1"/>
  </r>
  <r>
    <x v="0"/>
  </r>
  <r>
    <x v="0"/>
  </r>
  <r>
    <x v="8"/>
  </r>
  <r>
    <x v="1"/>
  </r>
  <r>
    <x v="4"/>
  </r>
  <r>
    <x v="8"/>
  </r>
  <r>
    <x v="1"/>
  </r>
  <r>
    <x v="12"/>
  </r>
  <r>
    <x v="8"/>
  </r>
  <r>
    <x v="12"/>
  </r>
  <r>
    <x v="10"/>
  </r>
  <r>
    <x v="8"/>
  </r>
  <r>
    <x v="4"/>
  </r>
  <r>
    <x v="0"/>
  </r>
  <r>
    <x v="8"/>
  </r>
  <r>
    <x v="1"/>
  </r>
  <r>
    <x v="1"/>
  </r>
  <r>
    <x v="0"/>
  </r>
  <r>
    <x v="8"/>
  </r>
  <r>
    <x v="0"/>
  </r>
  <r>
    <x v="3"/>
  </r>
  <r>
    <x v="4"/>
  </r>
  <r>
    <x v="9"/>
  </r>
  <r>
    <x v="0"/>
  </r>
  <r>
    <x v="1"/>
  </r>
  <r>
    <x v="9"/>
  </r>
  <r>
    <x v="6"/>
  </r>
  <r>
    <x v="4"/>
  </r>
  <r>
    <x v="9"/>
  </r>
  <r>
    <x v="8"/>
  </r>
  <r>
    <x v="4"/>
  </r>
  <r>
    <x v="0"/>
  </r>
  <r>
    <x v="3"/>
  </r>
  <r>
    <x v="8"/>
  </r>
  <r>
    <x v="8"/>
  </r>
  <r>
    <x v="9"/>
  </r>
  <r>
    <x v="8"/>
  </r>
  <r>
    <x v="8"/>
  </r>
  <r>
    <x v="9"/>
  </r>
  <r>
    <x v="14"/>
  </r>
  <r>
    <x v="9"/>
  </r>
  <r>
    <x v="9"/>
  </r>
  <r>
    <x v="9"/>
  </r>
  <r>
    <x v="8"/>
  </r>
  <r>
    <x v="8"/>
  </r>
  <r>
    <x v="10"/>
  </r>
  <r>
    <x v="0"/>
  </r>
  <r>
    <x v="9"/>
  </r>
  <r>
    <x v="8"/>
  </r>
  <r>
    <x v="7"/>
  </r>
  <r>
    <x v="10"/>
  </r>
  <r>
    <x v="3"/>
  </r>
  <r>
    <x v="7"/>
  </r>
  <r>
    <x v="10"/>
  </r>
  <r>
    <x v="3"/>
  </r>
  <r>
    <x v="4"/>
  </r>
  <r>
    <x v="1"/>
  </r>
  <r>
    <x v="8"/>
  </r>
  <r>
    <x v="12"/>
  </r>
  <r>
    <x v="0"/>
  </r>
  <r>
    <x v="8"/>
  </r>
  <r>
    <x v="4"/>
  </r>
  <r>
    <x v="8"/>
  </r>
  <r>
    <x v="4"/>
  </r>
  <r>
    <x v="9"/>
  </r>
  <r>
    <x v="1"/>
  </r>
  <r>
    <x v="5"/>
  </r>
  <r>
    <x v="8"/>
  </r>
  <r>
    <x v="9"/>
  </r>
  <r>
    <x v="3"/>
  </r>
  <r>
    <x v="9"/>
  </r>
  <r>
    <x v="4"/>
  </r>
  <r>
    <x v="1"/>
  </r>
  <r>
    <x v="8"/>
  </r>
  <r>
    <x v="1"/>
  </r>
  <r>
    <x v="0"/>
  </r>
  <r>
    <x v="16"/>
  </r>
  <r>
    <x v="0"/>
  </r>
  <r>
    <x v="0"/>
  </r>
  <r>
    <x v="9"/>
  </r>
  <r>
    <x v="8"/>
  </r>
  <r>
    <x v="8"/>
  </r>
  <r>
    <x v="14"/>
  </r>
  <r>
    <x v="0"/>
  </r>
  <r>
    <x v="13"/>
  </r>
  <r>
    <x v="10"/>
  </r>
  <r>
    <x v="0"/>
  </r>
  <r>
    <x v="0"/>
  </r>
  <r>
    <x v="8"/>
  </r>
  <r>
    <x v="0"/>
  </r>
  <r>
    <x v="9"/>
  </r>
  <r>
    <x v="1"/>
  </r>
  <r>
    <x v="0"/>
  </r>
  <r>
    <x v="0"/>
  </r>
  <r>
    <x v="5"/>
  </r>
  <r>
    <x v="0"/>
  </r>
  <r>
    <x v="10"/>
  </r>
  <r>
    <x v="9"/>
  </r>
  <r>
    <x v="3"/>
  </r>
  <r>
    <x v="9"/>
  </r>
  <r>
    <x v="4"/>
  </r>
  <r>
    <x v="4"/>
  </r>
  <r>
    <x v="0"/>
  </r>
  <r>
    <x v="14"/>
  </r>
  <r>
    <x v="0"/>
  </r>
  <r>
    <x v="14"/>
  </r>
  <r>
    <x v="1"/>
  </r>
  <r>
    <x v="1"/>
  </r>
  <r>
    <x v="3"/>
  </r>
  <r>
    <x v="9"/>
  </r>
  <r>
    <x v="0"/>
  </r>
  <r>
    <x v="0"/>
  </r>
  <r>
    <x v="0"/>
  </r>
  <r>
    <x v="0"/>
  </r>
  <r>
    <x v="3"/>
  </r>
  <r>
    <x v="3"/>
  </r>
  <r>
    <x v="3"/>
  </r>
  <r>
    <x v="9"/>
  </r>
  <r>
    <x v="11"/>
  </r>
  <r>
    <x v="12"/>
  </r>
  <r>
    <x v="3"/>
  </r>
  <r>
    <x v="10"/>
  </r>
  <r>
    <x v="0"/>
  </r>
  <r>
    <x v="7"/>
  </r>
  <r>
    <x v="9"/>
  </r>
  <r>
    <x v="1"/>
  </r>
  <r>
    <x v="13"/>
  </r>
  <r>
    <x v="7"/>
  </r>
  <r>
    <x v="5"/>
  </r>
  <r>
    <x v="3"/>
  </r>
  <r>
    <x v="0"/>
  </r>
  <r>
    <x v="12"/>
  </r>
  <r>
    <x v="9"/>
  </r>
  <r>
    <x v="4"/>
  </r>
  <r>
    <x v="10"/>
  </r>
  <r>
    <x v="10"/>
  </r>
  <r>
    <x v="4"/>
  </r>
  <r>
    <x v="1"/>
  </r>
  <r>
    <x v="1"/>
  </r>
  <r>
    <x v="6"/>
  </r>
  <r>
    <x v="6"/>
  </r>
  <r>
    <x v="0"/>
  </r>
  <r>
    <x v="0"/>
  </r>
  <r>
    <x v="9"/>
  </r>
  <r>
    <x v="10"/>
  </r>
  <r>
    <x v="0"/>
  </r>
  <r>
    <x v="1"/>
  </r>
  <r>
    <x v="0"/>
  </r>
  <r>
    <x v="4"/>
  </r>
  <r>
    <x v="9"/>
  </r>
  <r>
    <x v="4"/>
  </r>
  <r>
    <x v="10"/>
  </r>
  <r>
    <x v="9"/>
  </r>
  <r>
    <x v="11"/>
  </r>
  <r>
    <x v="1"/>
  </r>
  <r>
    <x v="8"/>
  </r>
  <r>
    <x v="14"/>
  </r>
  <r>
    <x v="1"/>
  </r>
  <r>
    <x v="0"/>
  </r>
  <r>
    <x v="3"/>
  </r>
  <r>
    <x v="9"/>
  </r>
  <r>
    <x v="9"/>
  </r>
  <r>
    <x v="3"/>
  </r>
  <r>
    <x v="4"/>
  </r>
  <r>
    <x v="0"/>
  </r>
  <r>
    <x v="8"/>
  </r>
  <r>
    <x v="8"/>
  </r>
  <r>
    <x v="1"/>
  </r>
  <r>
    <x v="8"/>
  </r>
  <r>
    <x v="3"/>
  </r>
  <r>
    <x v="12"/>
  </r>
  <r>
    <x v="9"/>
  </r>
  <r>
    <x v="8"/>
  </r>
  <r>
    <x v="4"/>
  </r>
  <r>
    <x v="0"/>
  </r>
  <r>
    <x v="0"/>
  </r>
  <r>
    <x v="8"/>
  </r>
  <r>
    <x v="3"/>
  </r>
  <r>
    <x v="9"/>
  </r>
  <r>
    <x v="14"/>
  </r>
  <r>
    <x v="9"/>
  </r>
  <r>
    <x v="0"/>
  </r>
  <r>
    <x v="8"/>
  </r>
  <r>
    <x v="1"/>
  </r>
  <r>
    <x v="3"/>
  </r>
  <r>
    <x v="8"/>
  </r>
  <r>
    <x v="1"/>
  </r>
  <r>
    <x v="9"/>
  </r>
  <r>
    <x v="0"/>
  </r>
  <r>
    <x v="1"/>
  </r>
  <r>
    <x v="4"/>
  </r>
  <r>
    <x v="0"/>
  </r>
  <r>
    <x v="0"/>
  </r>
  <r>
    <x v="10"/>
  </r>
  <r>
    <x v="0"/>
  </r>
  <r>
    <x v="1"/>
  </r>
  <r>
    <x v="4"/>
  </r>
  <r>
    <x v="4"/>
  </r>
  <r>
    <x v="8"/>
  </r>
  <r>
    <x v="4"/>
  </r>
  <r>
    <x v="4"/>
  </r>
  <r>
    <x v="14"/>
  </r>
  <r>
    <x v="4"/>
  </r>
  <r>
    <x v="4"/>
  </r>
  <r>
    <x v="9"/>
  </r>
  <r>
    <x v="3"/>
  </r>
  <r>
    <x v="4"/>
  </r>
  <r>
    <x v="4"/>
  </r>
  <r>
    <x v="3"/>
  </r>
  <r>
    <x v="6"/>
  </r>
  <r>
    <x v="0"/>
  </r>
  <r>
    <x v="4"/>
  </r>
  <r>
    <x v="10"/>
  </r>
  <r>
    <x v="4"/>
  </r>
  <r>
    <x v="3"/>
  </r>
  <r>
    <x v="11"/>
  </r>
  <r>
    <x v="4"/>
  </r>
  <r>
    <x v="9"/>
  </r>
  <r>
    <x v="0"/>
  </r>
  <r>
    <x v="4"/>
  </r>
  <r>
    <x v="5"/>
  </r>
  <r>
    <x v="0"/>
  </r>
  <r>
    <x v="1"/>
  </r>
  <r>
    <x v="3"/>
  </r>
  <r>
    <x v="12"/>
  </r>
  <r>
    <x v="0"/>
  </r>
  <r>
    <x v="4"/>
  </r>
  <r>
    <x v="7"/>
  </r>
  <r>
    <x v="0"/>
  </r>
  <r>
    <x v="2"/>
  </r>
  <r>
    <x v="8"/>
  </r>
  <r>
    <x v="8"/>
  </r>
  <r>
    <x v="9"/>
  </r>
  <r>
    <x v="14"/>
  </r>
  <r>
    <x v="9"/>
  </r>
  <r>
    <x v="10"/>
  </r>
  <r>
    <x v="9"/>
  </r>
  <r>
    <x v="9"/>
  </r>
  <r>
    <x v="1"/>
  </r>
  <r>
    <x v="10"/>
  </r>
  <r>
    <x v="8"/>
  </r>
  <r>
    <x v="9"/>
  </r>
  <r>
    <x v="12"/>
  </r>
  <r>
    <x v="0"/>
  </r>
  <r>
    <x v="1"/>
  </r>
  <r>
    <x v="0"/>
  </r>
  <r>
    <x v="8"/>
  </r>
  <r>
    <x v="10"/>
  </r>
  <r>
    <x v="3"/>
  </r>
  <r>
    <x v="9"/>
  </r>
  <r>
    <x v="0"/>
  </r>
  <r>
    <x v="4"/>
  </r>
  <r>
    <x v="1"/>
  </r>
  <r>
    <x v="4"/>
  </r>
  <r>
    <x v="3"/>
  </r>
  <r>
    <x v="3"/>
  </r>
  <r>
    <x v="4"/>
  </r>
  <r>
    <x v="4"/>
  </r>
  <r>
    <x v="2"/>
  </r>
  <r>
    <x v="0"/>
  </r>
  <r>
    <x v="4"/>
  </r>
  <r>
    <x v="14"/>
  </r>
  <r>
    <x v="0"/>
  </r>
  <r>
    <x v="0"/>
  </r>
  <r>
    <x v="10"/>
  </r>
  <r>
    <x v="4"/>
  </r>
  <r>
    <x v="0"/>
  </r>
  <r>
    <x v="10"/>
  </r>
  <r>
    <x v="0"/>
  </r>
  <r>
    <x v="9"/>
  </r>
  <r>
    <x v="8"/>
  </r>
  <r>
    <x v="5"/>
  </r>
  <r>
    <x v="9"/>
  </r>
  <r>
    <x v="4"/>
  </r>
  <r>
    <x v="1"/>
  </r>
  <r>
    <x v="3"/>
  </r>
  <r>
    <x v="4"/>
  </r>
  <r>
    <x v="3"/>
  </r>
  <r>
    <x v="3"/>
  </r>
  <r>
    <x v="9"/>
  </r>
  <r>
    <x v="4"/>
  </r>
  <r>
    <x v="3"/>
  </r>
  <r>
    <x v="4"/>
  </r>
  <r>
    <x v="17"/>
  </r>
  <r>
    <x v="17"/>
  </r>
  <r>
    <x v="17"/>
  </r>
  <r>
    <x v="17"/>
  </r>
  <r>
    <x v="17"/>
  </r>
  <r>
    <x v="17"/>
  </r>
  <r>
    <x v="1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1000000}"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B22" firstHeaderRow="1" firstDataRow="1" firstDataCol="1"/>
  <pivotFields count="1">
    <pivotField axis="axisRow" dataField="1" compact="0" outline="0" showAll="0" sortType="descending">
      <items count="52">
        <item m="1" x="18"/>
        <item m="1" x="50"/>
        <item m="1" x="20"/>
        <item m="1" x="26"/>
        <item m="1" x="45"/>
        <item m="1" x="34"/>
        <item m="1" x="37"/>
        <item m="1" x="32"/>
        <item m="1" x="23"/>
        <item m="1" x="19"/>
        <item x="14"/>
        <item m="1" x="38"/>
        <item m="1" x="35"/>
        <item m="1" x="29"/>
        <item m="1" x="48"/>
        <item m="1" x="41"/>
        <item m="1" x="43"/>
        <item m="1" x="44"/>
        <item m="1" x="36"/>
        <item m="1" x="46"/>
        <item m="1" x="25"/>
        <item m="1" x="39"/>
        <item m="1" x="49"/>
        <item x="9"/>
        <item m="1" x="27"/>
        <item m="1" x="30"/>
        <item m="1" x="42"/>
        <item m="1" x="22"/>
        <item x="2"/>
        <item m="1" x="31"/>
        <item m="1" x="24"/>
        <item m="1" x="47"/>
        <item m="1" x="28"/>
        <item m="1" x="21"/>
        <item m="1" x="33"/>
        <item m="1" x="40"/>
        <item x="17"/>
        <item x="0"/>
        <item x="1"/>
        <item x="3"/>
        <item x="4"/>
        <item x="5"/>
        <item x="6"/>
        <item x="7"/>
        <item x="8"/>
        <item x="10"/>
        <item x="11"/>
        <item x="12"/>
        <item x="13"/>
        <item x="15"/>
        <item x="16"/>
        <item t="default"/>
      </items>
      <autoSortScope>
        <pivotArea dataOnly="0" outline="0" fieldPosition="0">
          <references count="1">
            <reference field="4294967294" count="1" selected="0">
              <x v="0"/>
            </reference>
          </references>
        </pivotArea>
      </autoSortScope>
    </pivotField>
  </pivotFields>
  <rowFields count="1">
    <field x="0"/>
  </rowFields>
  <rowItems count="19">
    <i>
      <x v="37"/>
    </i>
    <i>
      <x v="23"/>
    </i>
    <i>
      <x v="44"/>
    </i>
    <i>
      <x v="40"/>
    </i>
    <i>
      <x v="39"/>
    </i>
    <i>
      <x v="38"/>
    </i>
    <i>
      <x v="45"/>
    </i>
    <i>
      <x v="47"/>
    </i>
    <i>
      <x v="28"/>
    </i>
    <i>
      <x v="10"/>
    </i>
    <i>
      <x v="41"/>
    </i>
    <i>
      <x v="43"/>
    </i>
    <i>
      <x v="42"/>
    </i>
    <i>
      <x v="48"/>
    </i>
    <i>
      <x v="46"/>
    </i>
    <i>
      <x v="49"/>
    </i>
    <i>
      <x v="50"/>
    </i>
    <i>
      <x v="36"/>
    </i>
    <i t="grand">
      <x/>
    </i>
  </rowItems>
  <colItems count="1">
    <i/>
  </colItems>
  <dataFields count="1">
    <dataField name="Count of Trend" fld="0" subtotal="count" baseField="0" baseItem="0"/>
  </dataFields>
  <pivotTableStyleInfo name="PivotStyleMedium9"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3" cacheId="1"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3:E30" firstHeaderRow="1" firstDataRow="4" firstDataCol="1" rowPageCount="1" colPageCount="1"/>
  <pivotFields count="21">
    <pivotField showAll="0"/>
    <pivotField showAll="0"/>
    <pivotField showAll="0"/>
    <pivotField showAll="0"/>
    <pivotField showAll="0"/>
    <pivotField showAll="0"/>
    <pivotField showAll="0"/>
    <pivotField showAll="0"/>
    <pivotField axis="axisPage" multipleItemSelectionAllowed="1" showAll="0">
      <items count="8">
        <item x="6"/>
        <item x="4"/>
        <item x="2"/>
        <item x="0"/>
        <item x="1"/>
        <item x="3"/>
        <item x="5"/>
        <item t="default"/>
      </items>
    </pivotField>
    <pivotField showAll="0"/>
    <pivotField showAll="0"/>
    <pivotField showAll="0"/>
    <pivotField showAll="0"/>
    <pivotField showAll="0"/>
    <pivotField axis="axisRow" dataField="1" multipleItemSelectionAllowed="1" showAll="0">
      <items count="25">
        <item x="8"/>
        <item x="17"/>
        <item x="7"/>
        <item x="0"/>
        <item x="11"/>
        <item x="2"/>
        <item x="15"/>
        <item x="6"/>
        <item x="1"/>
        <item x="9"/>
        <item x="10"/>
        <item x="19"/>
        <item x="5"/>
        <item x="4"/>
        <item x="16"/>
        <item x="3"/>
        <item x="12"/>
        <item x="13"/>
        <item x="14"/>
        <item m="1" x="23"/>
        <item x="18"/>
        <item x="20"/>
        <item x="21"/>
        <item x="22"/>
        <item t="default"/>
      </items>
    </pivotField>
    <pivotField showAll="0"/>
    <pivotField showAll="0"/>
    <pivotField showAll="0"/>
    <pivotField axis="axisCol" showAll="0">
      <items count="31">
        <item m="1" x="29"/>
        <item x="0"/>
        <item x="1"/>
        <item x="2"/>
        <item x="3"/>
        <item x="4"/>
        <item x="5"/>
        <item x="6"/>
        <item x="7"/>
        <item x="8"/>
        <item x="9"/>
        <item x="10"/>
        <item x="11"/>
        <item x="28"/>
        <item x="12"/>
        <item x="13"/>
        <item x="14"/>
        <item x="15"/>
        <item x="16"/>
        <item x="17"/>
        <item x="18"/>
        <item x="19"/>
        <item x="20"/>
        <item x="21"/>
        <item x="22"/>
        <item x="23"/>
        <item x="24"/>
        <item x="25"/>
        <item x="26"/>
        <item x="27"/>
        <item t="default"/>
      </items>
    </pivotField>
    <pivotField axis="axisCol"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Col" showAll="0" defaultSubtotal="0">
      <items count="14">
        <item sd="0" x="0"/>
        <item sd="0" x="1"/>
        <item sd="0" x="2"/>
        <item sd="0" x="3"/>
        <item sd="0" x="4"/>
        <item sd="0" x="5"/>
        <item sd="0" x="6"/>
        <item sd="0" x="7"/>
        <item sd="0" x="8"/>
        <item sd="0" x="9"/>
        <item sd="0" x="10"/>
        <item sd="0" x="11"/>
        <item sd="0" x="12"/>
        <item sd="0" x="13"/>
      </items>
    </pivotField>
  </pivotFields>
  <rowFields count="1">
    <field x="14"/>
  </rowFields>
  <rowItems count="24">
    <i>
      <x/>
    </i>
    <i>
      <x v="1"/>
    </i>
    <i>
      <x v="2"/>
    </i>
    <i>
      <x v="3"/>
    </i>
    <i>
      <x v="4"/>
    </i>
    <i>
      <x v="5"/>
    </i>
    <i>
      <x v="6"/>
    </i>
    <i>
      <x v="7"/>
    </i>
    <i>
      <x v="8"/>
    </i>
    <i>
      <x v="9"/>
    </i>
    <i>
      <x v="10"/>
    </i>
    <i>
      <x v="11"/>
    </i>
    <i>
      <x v="12"/>
    </i>
    <i>
      <x v="13"/>
    </i>
    <i>
      <x v="14"/>
    </i>
    <i>
      <x v="15"/>
    </i>
    <i>
      <x v="16"/>
    </i>
    <i>
      <x v="17"/>
    </i>
    <i>
      <x v="18"/>
    </i>
    <i>
      <x v="20"/>
    </i>
    <i>
      <x v="21"/>
    </i>
    <i>
      <x v="22"/>
    </i>
    <i>
      <x v="23"/>
    </i>
    <i t="grand">
      <x/>
    </i>
  </rowItems>
  <colFields count="3">
    <field x="20"/>
    <field x="19"/>
    <field x="18"/>
  </colFields>
  <colItems count="4">
    <i>
      <x/>
    </i>
    <i>
      <x v="5"/>
    </i>
    <i>
      <x v="6"/>
    </i>
    <i t="grand">
      <x/>
    </i>
  </colItems>
  <pageFields count="1">
    <pageField fld="8" hier="-1"/>
  </pageFields>
  <dataFields count="1">
    <dataField name="Count of Contractor name" fld="14" subtotal="count" baseField="0" baseItem="0"/>
  </dataFields>
  <pivotTableStyleInfo name="PivotStyleMedium9"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2000000}"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6" firstHeaderRow="1" firstDataRow="1" firstDataCol="1" rowPageCount="1" colPageCount="1"/>
  <pivotFields count="21">
    <pivotField showAll="0"/>
    <pivotField showAll="0"/>
    <pivotField dataField="1" showAll="0"/>
    <pivotField showAll="0"/>
    <pivotField showAll="0"/>
    <pivotField showAll="0"/>
    <pivotField showAll="0"/>
    <pivotField showAll="0"/>
    <pivotField showAll="0"/>
    <pivotField showAll="0"/>
    <pivotField axis="axisRow" showAll="0">
      <items count="3">
        <item x="1"/>
        <item x="0"/>
        <item t="default"/>
      </items>
    </pivotField>
    <pivotField showAll="0"/>
    <pivotField showAll="0"/>
    <pivotField showAll="0"/>
    <pivotField axis="axisPage" showAll="0">
      <items count="25">
        <item h="1" x="8"/>
        <item x="17"/>
        <item h="1" x="7"/>
        <item x="0"/>
        <item h="1" x="11"/>
        <item h="1" x="2"/>
        <item x="15"/>
        <item h="1" x="6"/>
        <item h="1" x="1"/>
        <item h="1" x="9"/>
        <item h="1" x="10"/>
        <item x="19"/>
        <item h="1" x="5"/>
        <item h="1" x="4"/>
        <item x="16"/>
        <item h="1" x="3"/>
        <item h="1" x="12"/>
        <item h="1" x="13"/>
        <item h="1" x="14"/>
        <item h="1" m="1" x="23"/>
        <item h="1" x="18"/>
        <item h="1" x="20"/>
        <item h="1" x="21"/>
        <item h="1" x="22"/>
        <item t="default"/>
      </items>
    </pivotField>
    <pivotField showAll="0"/>
    <pivotField showAll="0"/>
    <pivotField showAll="0"/>
    <pivotField showAll="0">
      <items count="31">
        <item m="1" x="29"/>
        <item x="0"/>
        <item x="1"/>
        <item x="2"/>
        <item x="3"/>
        <item x="4"/>
        <item x="5"/>
        <item x="6"/>
        <item x="7"/>
        <item x="8"/>
        <item x="9"/>
        <item x="10"/>
        <item x="11"/>
        <item x="28"/>
        <item x="12"/>
        <item x="13"/>
        <item x="14"/>
        <item x="15"/>
        <item x="16"/>
        <item x="17"/>
        <item x="18"/>
        <item x="19"/>
        <item x="20"/>
        <item x="21"/>
        <item x="22"/>
        <item x="23"/>
        <item x="24"/>
        <item x="25"/>
        <item x="26"/>
        <item x="27"/>
        <item t="default"/>
      </items>
    </pivotField>
    <pivotField showAll="0">
      <items count="36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41"/>
        <item sd="0" x="42"/>
        <item sd="0" x="43"/>
        <item sd="0" x="44"/>
        <item sd="0" x="45"/>
        <item sd="0" x="46"/>
        <item sd="0" x="47"/>
        <item sd="0" x="48"/>
        <item sd="0" x="49"/>
        <item sd="0" x="50"/>
        <item sd="0" x="51"/>
        <item sd="0" x="52"/>
        <item sd="0" x="53"/>
        <item sd="0" x="54"/>
        <item sd="0" x="55"/>
        <item sd="0" x="56"/>
        <item sd="0" x="57"/>
        <item sd="0" x="58"/>
        <item sd="0" x="59"/>
        <item sd="0" x="60"/>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0"/>
        <item x="1"/>
        <item x="2"/>
        <item x="3"/>
        <item x="4"/>
        <item x="5"/>
        <item x="6"/>
        <item x="7"/>
        <item x="8"/>
        <item x="9"/>
        <item x="32"/>
        <item x="33"/>
        <item x="34"/>
        <item x="35"/>
        <item x="36"/>
        <item x="37"/>
        <item x="38"/>
        <item x="39"/>
        <item x="40"/>
        <item x="61"/>
        <item x="62"/>
        <item x="63"/>
        <item x="64"/>
        <item x="65"/>
        <item x="66"/>
        <item x="67"/>
        <item x="68"/>
        <item x="69"/>
        <item x="92"/>
        <item x="93"/>
        <item x="94"/>
        <item x="95"/>
        <item x="96"/>
        <item x="97"/>
        <item x="98"/>
        <item x="99"/>
        <item x="100"/>
        <item x="122"/>
        <item x="123"/>
        <item x="124"/>
        <item x="125"/>
        <item x="126"/>
        <item x="127"/>
        <item x="128"/>
        <item x="129"/>
        <item x="130"/>
        <item x="153"/>
        <item x="154"/>
        <item x="155"/>
        <item x="156"/>
        <item x="157"/>
        <item x="158"/>
        <item x="159"/>
        <item x="160"/>
        <item x="161"/>
        <item x="183"/>
        <item x="184"/>
        <item x="185"/>
        <item x="186"/>
        <item x="187"/>
        <item x="188"/>
        <item x="189"/>
        <item x="190"/>
        <item x="191"/>
        <item x="214"/>
        <item x="215"/>
        <item x="216"/>
        <item x="217"/>
        <item x="218"/>
        <item x="219"/>
        <item x="220"/>
        <item x="221"/>
        <item x="222"/>
        <item x="245"/>
        <item x="246"/>
        <item x="247"/>
        <item x="248"/>
        <item x="249"/>
        <item x="250"/>
        <item x="251"/>
        <item x="252"/>
        <item x="253"/>
        <item x="275"/>
        <item x="276"/>
        <item x="277"/>
        <item x="278"/>
        <item x="279"/>
        <item x="280"/>
        <item x="281"/>
        <item x="282"/>
        <item x="283"/>
        <item x="306"/>
        <item x="307"/>
        <item x="308"/>
        <item x="309"/>
        <item x="310"/>
        <item x="311"/>
        <item x="312"/>
        <item x="313"/>
        <item x="314"/>
        <item x="336"/>
        <item x="337"/>
        <item x="338"/>
        <item x="339"/>
        <item x="340"/>
        <item x="341"/>
        <item x="342"/>
        <item x="343"/>
        <item x="344"/>
        <item x="367"/>
        <item t="default"/>
      </items>
    </pivotField>
    <pivotField showAll="0">
      <items count="15">
        <item x="0"/>
        <item sd="0" x="1"/>
        <item sd="0" x="2"/>
        <item sd="0" x="3"/>
        <item sd="0" x="4"/>
        <item x="5"/>
        <item x="6"/>
        <item sd="0" x="7"/>
        <item sd="0" x="8"/>
        <item sd="0" x="9"/>
        <item sd="0" x="10"/>
        <item sd="0" x="11"/>
        <item sd="0" x="12"/>
        <item sd="0" x="13"/>
        <item t="default"/>
      </items>
    </pivotField>
  </pivotFields>
  <rowFields count="1">
    <field x="10"/>
  </rowFields>
  <rowItems count="3">
    <i>
      <x/>
    </i>
    <i>
      <x v="1"/>
    </i>
    <i t="grand">
      <x/>
    </i>
  </rowItems>
  <colItems count="1">
    <i/>
  </colItems>
  <pageFields count="1">
    <pageField fld="14" item="3" hier="-1"/>
  </pageFields>
  <dataFields count="1">
    <dataField name="Count of Observation Discription " fld="2" subtotal="count" baseField="0" baseItem="0"/>
  </dataFields>
  <chartFormats count="1">
    <chartFormat chart="5" format="1"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400-000004000000}"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5:L22" firstHeaderRow="1" firstDataRow="1" firstDataCol="1"/>
  <pivotFields count="1">
    <pivotField axis="axisRow" dataField="1" showAll="0">
      <items count="17">
        <item x="3"/>
        <item x="6"/>
        <item x="11"/>
        <item x="13"/>
        <item x="7"/>
        <item x="5"/>
        <item x="0"/>
        <item x="10"/>
        <item x="12"/>
        <item x="15"/>
        <item x="14"/>
        <item x="4"/>
        <item x="1"/>
        <item x="9"/>
        <item x="8"/>
        <item x="2"/>
        <item t="default"/>
      </items>
    </pivotField>
  </pivotFields>
  <rowFields count="1">
    <field x="0"/>
  </rowFields>
  <rowItems count="17">
    <i>
      <x/>
    </i>
    <i>
      <x v="1"/>
    </i>
    <i>
      <x v="2"/>
    </i>
    <i>
      <x v="3"/>
    </i>
    <i>
      <x v="4"/>
    </i>
    <i>
      <x v="5"/>
    </i>
    <i>
      <x v="6"/>
    </i>
    <i>
      <x v="7"/>
    </i>
    <i>
      <x v="8"/>
    </i>
    <i>
      <x v="9"/>
    </i>
    <i>
      <x v="10"/>
    </i>
    <i>
      <x v="11"/>
    </i>
    <i>
      <x v="12"/>
    </i>
    <i>
      <x v="13"/>
    </i>
    <i>
      <x v="14"/>
    </i>
    <i>
      <x v="15"/>
    </i>
    <i t="grand">
      <x/>
    </i>
  </rowItems>
  <colItems count="1">
    <i/>
  </colItems>
  <dataFields count="1">
    <dataField name="Count of Trend" fld="0" subtotal="count" baseField="0" baseItem="0"/>
  </dataFields>
  <pivotTableStyleInfo name="PivotStyleMedium9"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3:G20" firstHeaderRow="1" firstDataRow="1" firstDataCol="0"/>
  <pivotFields count="1">
    <pivotField showAll="0"/>
  </pivotFields>
  <pivotTableStyleInfo name="PivotStyleMedium9" showRowHeaders="1" showColHeaders="1" showRowStripes="0" showColStripes="0" showLastColumn="1"/>
  <extLs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Vend_monthly_obs" displayName="Vend_monthly_obs" ref="U18:X34" totalsRowShown="0">
  <autoFilter ref="U18:X34" xr:uid="{00000000-0009-0000-0100-000001000000}"/>
  <tableColumns count="4">
    <tableColumn id="1" xr3:uid="{00000000-0010-0000-0000-000001000000}" name="Vendor"/>
    <tableColumn id="2" xr3:uid="{00000000-0010-0000-0000-000002000000}" name="Month"/>
    <tableColumn id="3" xr3:uid="{00000000-0010-0000-0000-000003000000}" name="4&amp;5 observations">
      <calculatedColumnFormula>SUMIFS('CSFA Accumilative data'!K:K,'CSFA Accumilative data'!T:T,'Severity info'!V19,'CSFA Accumilative data'!O:O,'Severity info'!U19)</calculatedColumnFormula>
    </tableColumn>
    <tableColumn id="4" xr3:uid="{00000000-0010-0000-0000-000004000000}" name="Change from prev month">
      <calculatedColumnFormula>W11-W19</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ategoryVScount" displayName="categoryVScount" ref="H42:I47" totalsRowShown="0" headerRowDxfId="23" headerRowBorderDxfId="22" tableBorderDxfId="21" totalsRowBorderDxfId="20">
  <autoFilter ref="H42:I47" xr:uid="{00000000-0009-0000-0100-000002000000}"/>
  <tableColumns count="2">
    <tableColumn id="1" xr3:uid="{00000000-0010-0000-0100-000001000000}" name="Category" dataDxfId="19">
      <calculatedColumnFormula>Sheet1!A4</calculatedColumnFormula>
    </tableColumn>
    <tableColumn id="2" xr3:uid="{00000000-0010-0000-0100-000002000000}" name="Count" dataDxfId="18">
      <calculatedColumnFormula>Sheet1!B4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vendorAvgSevScore" displayName="vendorAvgSevScore" ref="K42:L50" totalsRowShown="0" headerRowDxfId="17" headerRowBorderDxfId="16" tableBorderDxfId="15" totalsRowBorderDxfId="14">
  <autoFilter ref="K42:L50" xr:uid="{00000000-0009-0000-0100-000003000000}"/>
  <tableColumns count="2">
    <tableColumn id="1" xr3:uid="{00000000-0010-0000-0200-000001000000}" name="Vendor" dataDxfId="13" dataCellStyle="Percent"/>
    <tableColumn id="2" xr3:uid="{00000000-0010-0000-0200-000002000000}" name="Avg. Severity Score" dataDxfId="12">
      <calculatedColumnFormula>I19</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zoneAvgSevScore" displayName="zoneAvgSevScore" ref="N34:O38" totalsRowShown="0" headerRowDxfId="11" headerRowBorderDxfId="10" tableBorderDxfId="9" totalsRowBorderDxfId="8">
  <autoFilter ref="N34:O38" xr:uid="{00000000-0009-0000-0100-000004000000}"/>
  <tableColumns count="2">
    <tableColumn id="1" xr3:uid="{00000000-0010-0000-0300-000001000000}" name="Zone" dataDxfId="7"/>
    <tableColumn id="2" xr3:uid="{00000000-0010-0000-0300-000002000000}" name="Avg. Severity Score" dataDxfId="6">
      <calculatedColumnFormula>I27</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stats" displayName="stats" ref="Q34:R40" totalsRowShown="0" headerRowDxfId="5" headerRowBorderDxfId="4" tableBorderDxfId="3" totalsRowBorderDxfId="2">
  <autoFilter ref="Q34:R40" xr:uid="{00000000-0009-0000-0100-000005000000}"/>
  <tableColumns count="2">
    <tableColumn id="1" xr3:uid="{00000000-0010-0000-0400-000001000000}" name="stat" dataDxfId="1"/>
    <tableColumn id="2" xr3:uid="{00000000-0010-0000-0400-000002000000}" name="Valu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drawing" Target="../drawings/drawing2.xml"/><Relationship Id="rId1" Type="http://schemas.openxmlformats.org/officeDocument/2006/relationships/pivotTable" Target="../pivotTables/pivotTable2.xml"/><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pivotTable" Target="../pivotTables/pivotTable5.xml"/><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3:B22"/>
  <sheetViews>
    <sheetView workbookViewId="0">
      <selection activeCell="C5" sqref="C5"/>
    </sheetView>
  </sheetViews>
  <sheetFormatPr defaultRowHeight="14.4" x14ac:dyDescent="0.3"/>
  <cols>
    <col min="1" max="1" width="20.88671875" bestFit="1" customWidth="1"/>
    <col min="2" max="2" width="14.33203125" bestFit="1" customWidth="1"/>
  </cols>
  <sheetData>
    <row r="3" spans="1:2" x14ac:dyDescent="0.3">
      <c r="A3" s="37" t="s">
        <v>70</v>
      </c>
      <c r="B3" t="s">
        <v>71</v>
      </c>
    </row>
    <row r="4" spans="1:2" x14ac:dyDescent="0.3">
      <c r="A4" t="s">
        <v>72</v>
      </c>
      <c r="B4">
        <v>94</v>
      </c>
    </row>
    <row r="5" spans="1:2" x14ac:dyDescent="0.3">
      <c r="A5" t="s">
        <v>73</v>
      </c>
      <c r="B5">
        <v>74</v>
      </c>
    </row>
    <row r="6" spans="1:2" x14ac:dyDescent="0.3">
      <c r="A6" t="s">
        <v>74</v>
      </c>
      <c r="B6">
        <v>66</v>
      </c>
    </row>
    <row r="7" spans="1:2" x14ac:dyDescent="0.3">
      <c r="A7" t="s">
        <v>75</v>
      </c>
      <c r="B7">
        <v>65</v>
      </c>
    </row>
    <row r="8" spans="1:2" x14ac:dyDescent="0.3">
      <c r="A8" t="s">
        <v>76</v>
      </c>
      <c r="B8">
        <v>58</v>
      </c>
    </row>
    <row r="9" spans="1:2" x14ac:dyDescent="0.3">
      <c r="A9" t="s">
        <v>77</v>
      </c>
      <c r="B9">
        <v>56</v>
      </c>
    </row>
    <row r="10" spans="1:2" x14ac:dyDescent="0.3">
      <c r="A10" t="s">
        <v>78</v>
      </c>
      <c r="B10">
        <v>37</v>
      </c>
    </row>
    <row r="11" spans="1:2" x14ac:dyDescent="0.3">
      <c r="A11" t="s">
        <v>79</v>
      </c>
      <c r="B11">
        <v>19</v>
      </c>
    </row>
    <row r="12" spans="1:2" x14ac:dyDescent="0.3">
      <c r="A12" t="s">
        <v>80</v>
      </c>
      <c r="B12">
        <v>17</v>
      </c>
    </row>
    <row r="13" spans="1:2" x14ac:dyDescent="0.3">
      <c r="A13" t="s">
        <v>81</v>
      </c>
      <c r="B13">
        <v>11</v>
      </c>
    </row>
    <row r="14" spans="1:2" x14ac:dyDescent="0.3">
      <c r="A14" t="s">
        <v>82</v>
      </c>
      <c r="B14">
        <v>11</v>
      </c>
    </row>
    <row r="15" spans="1:2" x14ac:dyDescent="0.3">
      <c r="A15" t="s">
        <v>83</v>
      </c>
      <c r="B15">
        <v>10</v>
      </c>
    </row>
    <row r="16" spans="1:2" x14ac:dyDescent="0.3">
      <c r="A16" t="s">
        <v>84</v>
      </c>
      <c r="B16">
        <v>7</v>
      </c>
    </row>
    <row r="17" spans="1:2" x14ac:dyDescent="0.3">
      <c r="A17" t="s">
        <v>85</v>
      </c>
      <c r="B17">
        <v>5</v>
      </c>
    </row>
    <row r="18" spans="1:2" x14ac:dyDescent="0.3">
      <c r="A18" t="s">
        <v>86</v>
      </c>
      <c r="B18">
        <v>5</v>
      </c>
    </row>
    <row r="19" spans="1:2" x14ac:dyDescent="0.3">
      <c r="A19" t="s">
        <v>87</v>
      </c>
      <c r="B19">
        <v>1</v>
      </c>
    </row>
    <row r="20" spans="1:2" x14ac:dyDescent="0.3">
      <c r="A20" t="s">
        <v>88</v>
      </c>
      <c r="B20">
        <v>1</v>
      </c>
    </row>
    <row r="21" spans="1:2" x14ac:dyDescent="0.3">
      <c r="A21" t="s">
        <v>44</v>
      </c>
    </row>
    <row r="22" spans="1:2" x14ac:dyDescent="0.3">
      <c r="A22" t="s">
        <v>7</v>
      </c>
      <c r="B22">
        <v>537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AI655"/>
  <sheetViews>
    <sheetView tabSelected="1" zoomScaleNormal="100" workbookViewId="0">
      <pane ySplit="1" topLeftCell="A525" activePane="bottomLeft" state="frozen"/>
      <selection pane="bottomLeft" activeCell="R378" sqref="R378"/>
    </sheetView>
  </sheetViews>
  <sheetFormatPr defaultRowHeight="14.4" x14ac:dyDescent="0.3"/>
  <cols>
    <col min="1" max="1" width="6.109375" bestFit="1" customWidth="1"/>
    <col min="2" max="2" width="20.88671875" bestFit="1" customWidth="1"/>
    <col min="3" max="3" width="129" style="35" customWidth="1"/>
    <col min="4" max="9" width="4.88671875" customWidth="1"/>
    <col min="10" max="10" width="6.109375" customWidth="1"/>
    <col min="11" max="11" width="4.88671875" customWidth="1"/>
    <col min="12" max="12" width="6" customWidth="1"/>
    <col min="13" max="14" width="4.88671875" customWidth="1"/>
    <col min="15" max="15" width="30.5546875" bestFit="1" customWidth="1"/>
    <col min="16" max="16" width="8.6640625" bestFit="1" customWidth="1"/>
    <col min="17" max="17" width="8.6640625" customWidth="1"/>
    <col min="18" max="18" width="43.109375" bestFit="1" customWidth="1"/>
    <col min="19" max="19" width="15.44140625" style="47" bestFit="1" customWidth="1"/>
    <col min="20" max="20" width="10.44140625" bestFit="1" customWidth="1"/>
    <col min="22" max="22" width="10.44140625" bestFit="1" customWidth="1"/>
  </cols>
  <sheetData>
    <row r="1" spans="1:23" ht="127.5" customHeight="1" x14ac:dyDescent="0.3">
      <c r="A1" s="1" t="s">
        <v>89</v>
      </c>
      <c r="B1" s="76" t="s">
        <v>70</v>
      </c>
      <c r="C1" s="36" t="s">
        <v>90</v>
      </c>
      <c r="D1" s="28" t="s">
        <v>91</v>
      </c>
      <c r="E1" s="28" t="s">
        <v>92</v>
      </c>
      <c r="F1" s="29" t="s">
        <v>93</v>
      </c>
      <c r="G1" s="28" t="s">
        <v>94</v>
      </c>
      <c r="H1" s="28" t="s">
        <v>95</v>
      </c>
      <c r="I1" s="28" t="s">
        <v>0</v>
      </c>
      <c r="J1" s="28" t="s">
        <v>96</v>
      </c>
      <c r="K1" s="30" t="s">
        <v>97</v>
      </c>
      <c r="L1" s="31" t="s">
        <v>98</v>
      </c>
      <c r="M1" s="53" t="s">
        <v>99</v>
      </c>
      <c r="N1" s="32" t="s">
        <v>27</v>
      </c>
      <c r="O1" s="32" t="s">
        <v>100</v>
      </c>
      <c r="P1" s="33" t="s">
        <v>101</v>
      </c>
      <c r="Q1" s="32" t="s">
        <v>102</v>
      </c>
      <c r="R1" s="34" t="s">
        <v>60</v>
      </c>
      <c r="S1" s="49" t="s">
        <v>103</v>
      </c>
      <c r="T1" t="s">
        <v>32</v>
      </c>
    </row>
    <row r="2" spans="1:23" x14ac:dyDescent="0.3">
      <c r="A2" s="54">
        <v>1</v>
      </c>
      <c r="B2" s="153" t="s">
        <v>72</v>
      </c>
      <c r="C2" s="55" t="s">
        <v>104</v>
      </c>
      <c r="D2" s="55"/>
      <c r="E2" s="55">
        <v>1</v>
      </c>
      <c r="F2" s="44"/>
      <c r="G2" s="55"/>
      <c r="H2" s="56">
        <v>1</v>
      </c>
      <c r="I2" s="55">
        <v>3</v>
      </c>
      <c r="J2" s="55">
        <f t="shared" ref="J2:J65" si="0">I2*H2</f>
        <v>3</v>
      </c>
      <c r="K2" s="57"/>
      <c r="L2" s="44"/>
      <c r="M2" s="58">
        <v>1</v>
      </c>
      <c r="N2" s="45"/>
      <c r="O2" s="45" t="s">
        <v>12</v>
      </c>
      <c r="P2" s="2" t="s">
        <v>37</v>
      </c>
      <c r="Q2" s="2"/>
      <c r="R2" s="116" t="s">
        <v>53</v>
      </c>
      <c r="S2" s="27">
        <v>46164</v>
      </c>
      <c r="T2" t="s">
        <v>5</v>
      </c>
      <c r="U2" s="2" t="s">
        <v>37</v>
      </c>
    </row>
    <row r="3" spans="1:23" x14ac:dyDescent="0.3">
      <c r="A3" s="54">
        <f t="shared" ref="A3:A66" si="1">A2+1</f>
        <v>2</v>
      </c>
      <c r="B3" s="153" t="s">
        <v>72</v>
      </c>
      <c r="C3" s="55" t="s">
        <v>105</v>
      </c>
      <c r="D3" s="55"/>
      <c r="E3" s="55">
        <v>1</v>
      </c>
      <c r="F3" s="59"/>
      <c r="G3" s="60"/>
      <c r="H3" s="61">
        <v>1</v>
      </c>
      <c r="I3" s="60">
        <v>4</v>
      </c>
      <c r="J3" s="55">
        <f t="shared" si="0"/>
        <v>4</v>
      </c>
      <c r="K3" s="62">
        <v>1</v>
      </c>
      <c r="L3" s="44"/>
      <c r="M3" s="58">
        <v>1</v>
      </c>
      <c r="N3" s="45"/>
      <c r="O3" s="45" t="s">
        <v>12</v>
      </c>
      <c r="P3" s="2" t="s">
        <v>37</v>
      </c>
      <c r="Q3" s="2"/>
      <c r="R3" s="116" t="s">
        <v>53</v>
      </c>
      <c r="S3" s="27">
        <v>46164</v>
      </c>
      <c r="T3" t="s">
        <v>5</v>
      </c>
      <c r="U3" s="2" t="s">
        <v>37</v>
      </c>
    </row>
    <row r="4" spans="1:23" x14ac:dyDescent="0.3">
      <c r="A4" s="54">
        <f t="shared" si="1"/>
        <v>3</v>
      </c>
      <c r="B4" s="153" t="s">
        <v>77</v>
      </c>
      <c r="C4" s="55" t="s">
        <v>106</v>
      </c>
      <c r="D4" s="55"/>
      <c r="E4" s="55">
        <v>1</v>
      </c>
      <c r="F4" s="59"/>
      <c r="G4" s="60"/>
      <c r="H4" s="61">
        <v>1</v>
      </c>
      <c r="I4" s="60">
        <v>3</v>
      </c>
      <c r="J4" s="55">
        <f t="shared" si="0"/>
        <v>3</v>
      </c>
      <c r="K4" s="62"/>
      <c r="L4" s="44"/>
      <c r="M4" s="58">
        <v>1</v>
      </c>
      <c r="N4" s="45"/>
      <c r="O4" s="45" t="s">
        <v>12</v>
      </c>
      <c r="P4" s="2" t="s">
        <v>37</v>
      </c>
      <c r="Q4" s="2"/>
      <c r="R4" s="116" t="s">
        <v>53</v>
      </c>
      <c r="S4" s="27">
        <v>46164</v>
      </c>
      <c r="T4" t="s">
        <v>5</v>
      </c>
      <c r="U4" s="2" t="s">
        <v>37</v>
      </c>
    </row>
    <row r="5" spans="1:23" x14ac:dyDescent="0.3">
      <c r="A5" s="54">
        <f t="shared" si="1"/>
        <v>4</v>
      </c>
      <c r="B5" s="153" t="s">
        <v>80</v>
      </c>
      <c r="C5" s="55" t="s">
        <v>107</v>
      </c>
      <c r="D5" s="55"/>
      <c r="E5" s="55">
        <v>1</v>
      </c>
      <c r="F5" s="59"/>
      <c r="G5" s="60"/>
      <c r="H5" s="61">
        <v>1</v>
      </c>
      <c r="I5" s="60">
        <v>4</v>
      </c>
      <c r="J5" s="55">
        <f t="shared" si="0"/>
        <v>4</v>
      </c>
      <c r="K5" s="62">
        <v>1</v>
      </c>
      <c r="L5" s="44"/>
      <c r="M5" s="58">
        <v>1</v>
      </c>
      <c r="N5" s="45"/>
      <c r="O5" s="45" t="s">
        <v>12</v>
      </c>
      <c r="P5" s="2" t="s">
        <v>37</v>
      </c>
      <c r="Q5" s="2"/>
      <c r="R5" s="116" t="s">
        <v>53</v>
      </c>
      <c r="S5" s="27">
        <v>46164</v>
      </c>
      <c r="T5" t="s">
        <v>5</v>
      </c>
      <c r="U5" s="2" t="s">
        <v>37</v>
      </c>
    </row>
    <row r="6" spans="1:23" x14ac:dyDescent="0.3">
      <c r="A6" s="54">
        <f t="shared" si="1"/>
        <v>5</v>
      </c>
      <c r="B6" s="153" t="s">
        <v>72</v>
      </c>
      <c r="C6" s="55" t="s">
        <v>108</v>
      </c>
      <c r="D6" s="55"/>
      <c r="E6" s="55">
        <v>1</v>
      </c>
      <c r="F6" s="59">
        <v>5</v>
      </c>
      <c r="G6" s="60">
        <v>2</v>
      </c>
      <c r="H6" s="61">
        <v>2</v>
      </c>
      <c r="I6" s="60">
        <v>4</v>
      </c>
      <c r="J6" s="55">
        <f t="shared" si="0"/>
        <v>8</v>
      </c>
      <c r="K6" s="62">
        <v>1</v>
      </c>
      <c r="L6" s="44"/>
      <c r="M6" s="58"/>
      <c r="N6" s="45">
        <v>1</v>
      </c>
      <c r="O6" s="45" t="s">
        <v>12</v>
      </c>
      <c r="P6" s="2" t="s">
        <v>37</v>
      </c>
      <c r="Q6" s="2"/>
      <c r="R6" s="116" t="s">
        <v>53</v>
      </c>
      <c r="S6" s="27">
        <v>46164</v>
      </c>
      <c r="T6" t="s">
        <v>5</v>
      </c>
      <c r="U6" s="2" t="s">
        <v>37</v>
      </c>
      <c r="W6">
        <v>10</v>
      </c>
    </row>
    <row r="7" spans="1:23" x14ac:dyDescent="0.3">
      <c r="A7" s="54">
        <f t="shared" si="1"/>
        <v>6</v>
      </c>
      <c r="B7" s="153" t="s">
        <v>77</v>
      </c>
      <c r="C7" s="55" t="s">
        <v>109</v>
      </c>
      <c r="D7" s="55"/>
      <c r="E7" s="55">
        <v>1</v>
      </c>
      <c r="F7" s="59"/>
      <c r="G7" s="60"/>
      <c r="H7" s="61">
        <v>1</v>
      </c>
      <c r="I7" s="60">
        <v>4</v>
      </c>
      <c r="J7" s="55">
        <f t="shared" si="0"/>
        <v>4</v>
      </c>
      <c r="K7" s="62">
        <v>1</v>
      </c>
      <c r="L7" s="44"/>
      <c r="M7" s="58">
        <v>1</v>
      </c>
      <c r="N7" s="45"/>
      <c r="O7" s="45" t="s">
        <v>12</v>
      </c>
      <c r="P7" s="2" t="s">
        <v>37</v>
      </c>
      <c r="Q7" s="2"/>
      <c r="R7" s="116" t="s">
        <v>53</v>
      </c>
      <c r="S7" s="27">
        <v>46164</v>
      </c>
      <c r="T7" t="s">
        <v>5</v>
      </c>
      <c r="U7" s="2" t="s">
        <v>37</v>
      </c>
      <c r="W7">
        <v>1</v>
      </c>
    </row>
    <row r="8" spans="1:23" x14ac:dyDescent="0.3">
      <c r="A8" s="54">
        <f t="shared" si="1"/>
        <v>7</v>
      </c>
      <c r="B8" s="153" t="s">
        <v>77</v>
      </c>
      <c r="C8" s="55" t="s">
        <v>110</v>
      </c>
      <c r="D8" s="55"/>
      <c r="E8" s="55">
        <v>1</v>
      </c>
      <c r="F8" s="59"/>
      <c r="G8" s="60"/>
      <c r="H8" s="61">
        <v>1</v>
      </c>
      <c r="I8" s="60">
        <v>4</v>
      </c>
      <c r="J8" s="55">
        <f t="shared" si="0"/>
        <v>4</v>
      </c>
      <c r="K8" s="62">
        <v>1</v>
      </c>
      <c r="L8" s="44"/>
      <c r="M8" s="58">
        <v>1</v>
      </c>
      <c r="N8" s="45"/>
      <c r="O8" s="45" t="s">
        <v>12</v>
      </c>
      <c r="P8" s="2" t="s">
        <v>37</v>
      </c>
      <c r="Q8" s="2"/>
      <c r="R8" s="116" t="s">
        <v>53</v>
      </c>
      <c r="S8" s="27">
        <v>46164</v>
      </c>
      <c r="T8" t="s">
        <v>5</v>
      </c>
      <c r="U8" s="2" t="s">
        <v>37</v>
      </c>
      <c r="W8">
        <v>1</v>
      </c>
    </row>
    <row r="9" spans="1:23" x14ac:dyDescent="0.3">
      <c r="A9" s="54">
        <f t="shared" si="1"/>
        <v>8</v>
      </c>
      <c r="B9" s="153" t="s">
        <v>76</v>
      </c>
      <c r="C9" s="55" t="s">
        <v>111</v>
      </c>
      <c r="D9" s="55"/>
      <c r="E9" s="55">
        <v>1</v>
      </c>
      <c r="F9" s="59"/>
      <c r="G9" s="60"/>
      <c r="H9" s="61">
        <v>2</v>
      </c>
      <c r="I9" s="60">
        <v>3</v>
      </c>
      <c r="J9" s="55">
        <f t="shared" si="0"/>
        <v>6</v>
      </c>
      <c r="K9" s="62"/>
      <c r="L9" s="44"/>
      <c r="M9" s="58">
        <v>1</v>
      </c>
      <c r="N9" s="45"/>
      <c r="O9" s="45" t="s">
        <v>12</v>
      </c>
      <c r="P9" s="2" t="s">
        <v>37</v>
      </c>
      <c r="Q9" s="2"/>
      <c r="R9" s="116" t="s">
        <v>53</v>
      </c>
      <c r="S9" s="27">
        <v>46164</v>
      </c>
      <c r="T9" t="s">
        <v>5</v>
      </c>
      <c r="U9" s="2" t="s">
        <v>37</v>
      </c>
    </row>
    <row r="10" spans="1:23" x14ac:dyDescent="0.3">
      <c r="A10" s="54">
        <f t="shared" si="1"/>
        <v>9</v>
      </c>
      <c r="B10" s="153" t="s">
        <v>75</v>
      </c>
      <c r="C10" s="55" t="s">
        <v>112</v>
      </c>
      <c r="D10" s="55"/>
      <c r="E10" s="55">
        <v>1</v>
      </c>
      <c r="F10" s="59"/>
      <c r="G10" s="60"/>
      <c r="H10" s="61">
        <v>1</v>
      </c>
      <c r="I10" s="60">
        <v>4</v>
      </c>
      <c r="J10" s="55">
        <f t="shared" si="0"/>
        <v>4</v>
      </c>
      <c r="K10" s="62">
        <v>1</v>
      </c>
      <c r="L10" s="44"/>
      <c r="M10" s="58"/>
      <c r="N10" s="45"/>
      <c r="O10" s="45" t="s">
        <v>12</v>
      </c>
      <c r="P10" s="2" t="s">
        <v>37</v>
      </c>
      <c r="Q10" s="2"/>
      <c r="R10" s="116" t="s">
        <v>53</v>
      </c>
      <c r="S10" s="27">
        <v>46164</v>
      </c>
      <c r="T10" t="s">
        <v>5</v>
      </c>
      <c r="U10" s="2" t="s">
        <v>37</v>
      </c>
      <c r="W10">
        <v>2</v>
      </c>
    </row>
    <row r="11" spans="1:23" x14ac:dyDescent="0.3">
      <c r="A11" s="54">
        <f t="shared" si="1"/>
        <v>10</v>
      </c>
      <c r="B11" s="153" t="s">
        <v>80</v>
      </c>
      <c r="C11" s="55" t="s">
        <v>113</v>
      </c>
      <c r="D11" s="55"/>
      <c r="E11" s="55">
        <v>1</v>
      </c>
      <c r="F11" s="59"/>
      <c r="G11" s="60"/>
      <c r="H11" s="61">
        <v>1</v>
      </c>
      <c r="I11" s="60">
        <v>3</v>
      </c>
      <c r="J11" s="55">
        <f t="shared" si="0"/>
        <v>3</v>
      </c>
      <c r="K11" s="62"/>
      <c r="L11" s="44"/>
      <c r="M11" s="58">
        <v>1</v>
      </c>
      <c r="N11" s="45"/>
      <c r="O11" s="45" t="s">
        <v>12</v>
      </c>
      <c r="P11" s="2" t="s">
        <v>37</v>
      </c>
      <c r="Q11" s="2"/>
      <c r="R11" s="3" t="s">
        <v>114</v>
      </c>
      <c r="S11" s="27">
        <v>46164</v>
      </c>
      <c r="T11" t="s">
        <v>5</v>
      </c>
      <c r="U11" s="2" t="s">
        <v>37</v>
      </c>
    </row>
    <row r="12" spans="1:23" x14ac:dyDescent="0.3">
      <c r="A12" s="54">
        <f t="shared" si="1"/>
        <v>11</v>
      </c>
      <c r="B12" s="153" t="s">
        <v>75</v>
      </c>
      <c r="C12" s="55" t="s">
        <v>115</v>
      </c>
      <c r="D12" s="55"/>
      <c r="E12" s="55">
        <v>1</v>
      </c>
      <c r="F12" s="59"/>
      <c r="G12" s="60"/>
      <c r="H12" s="61">
        <v>1</v>
      </c>
      <c r="I12" s="60">
        <v>3</v>
      </c>
      <c r="J12" s="55">
        <f t="shared" si="0"/>
        <v>3</v>
      </c>
      <c r="K12" s="62"/>
      <c r="L12" s="44"/>
      <c r="M12" s="58">
        <v>1</v>
      </c>
      <c r="N12" s="45"/>
      <c r="O12" s="45" t="s">
        <v>17</v>
      </c>
      <c r="P12" s="2" t="s">
        <v>37</v>
      </c>
      <c r="Q12" s="2"/>
      <c r="R12" s="3" t="s">
        <v>114</v>
      </c>
      <c r="S12" s="27">
        <v>46164</v>
      </c>
      <c r="T12" t="s">
        <v>5</v>
      </c>
      <c r="U12" s="2" t="s">
        <v>37</v>
      </c>
    </row>
    <row r="13" spans="1:23" x14ac:dyDescent="0.3">
      <c r="A13" s="54">
        <f t="shared" si="1"/>
        <v>12</v>
      </c>
      <c r="B13" s="153" t="s">
        <v>82</v>
      </c>
      <c r="C13" s="63" t="s">
        <v>116</v>
      </c>
      <c r="D13" s="55"/>
      <c r="E13" s="55">
        <v>1</v>
      </c>
      <c r="F13" s="59">
        <v>6</v>
      </c>
      <c r="G13" s="60">
        <v>1</v>
      </c>
      <c r="H13" s="61">
        <v>1</v>
      </c>
      <c r="I13" s="60">
        <v>3</v>
      </c>
      <c r="J13" s="55">
        <f t="shared" si="0"/>
        <v>3</v>
      </c>
      <c r="K13" s="62"/>
      <c r="L13" s="44"/>
      <c r="M13" s="58"/>
      <c r="N13" s="45">
        <v>1</v>
      </c>
      <c r="O13" s="45" t="s">
        <v>12</v>
      </c>
      <c r="P13" s="2" t="s">
        <v>37</v>
      </c>
      <c r="Q13" s="2"/>
      <c r="R13" s="3" t="s">
        <v>114</v>
      </c>
      <c r="S13" s="27">
        <v>46164</v>
      </c>
      <c r="T13" t="s">
        <v>5</v>
      </c>
      <c r="U13" s="2" t="s">
        <v>37</v>
      </c>
    </row>
    <row r="14" spans="1:23" x14ac:dyDescent="0.3">
      <c r="A14" s="54">
        <f t="shared" si="1"/>
        <v>13</v>
      </c>
      <c r="B14" s="153" t="s">
        <v>75</v>
      </c>
      <c r="C14" s="55" t="s">
        <v>117</v>
      </c>
      <c r="D14" s="55"/>
      <c r="E14" s="55">
        <v>1</v>
      </c>
      <c r="F14" s="44"/>
      <c r="G14" s="55"/>
      <c r="H14" s="56">
        <v>1</v>
      </c>
      <c r="I14" s="55">
        <v>4</v>
      </c>
      <c r="J14" s="55">
        <f t="shared" si="0"/>
        <v>4</v>
      </c>
      <c r="K14" s="57">
        <v>1</v>
      </c>
      <c r="L14" s="44">
        <v>0</v>
      </c>
      <c r="M14" s="58">
        <v>1</v>
      </c>
      <c r="N14" s="45">
        <v>0</v>
      </c>
      <c r="O14" s="45" t="s">
        <v>14</v>
      </c>
      <c r="P14" s="2" t="s">
        <v>37</v>
      </c>
      <c r="Q14" s="2"/>
      <c r="R14" s="116" t="s">
        <v>53</v>
      </c>
      <c r="S14" s="27">
        <v>46164</v>
      </c>
      <c r="T14" t="s">
        <v>5</v>
      </c>
      <c r="U14" s="2" t="s">
        <v>37</v>
      </c>
      <c r="W14">
        <v>2</v>
      </c>
    </row>
    <row r="15" spans="1:23" x14ac:dyDescent="0.3">
      <c r="A15" s="54">
        <f t="shared" si="1"/>
        <v>14</v>
      </c>
      <c r="B15" s="153" t="s">
        <v>84</v>
      </c>
      <c r="C15" s="55" t="s">
        <v>118</v>
      </c>
      <c r="D15" s="55"/>
      <c r="E15" s="55">
        <v>1</v>
      </c>
      <c r="F15" s="59" t="s">
        <v>119</v>
      </c>
      <c r="G15" s="60"/>
      <c r="H15" s="61">
        <v>1</v>
      </c>
      <c r="I15" s="60">
        <v>3</v>
      </c>
      <c r="J15" s="55">
        <f t="shared" si="0"/>
        <v>3</v>
      </c>
      <c r="K15" s="62"/>
      <c r="L15" s="44">
        <v>0</v>
      </c>
      <c r="M15" s="58">
        <v>1</v>
      </c>
      <c r="N15" s="45">
        <v>0</v>
      </c>
      <c r="O15" s="45" t="s">
        <v>12</v>
      </c>
      <c r="P15" s="2" t="s">
        <v>37</v>
      </c>
      <c r="Q15" s="2"/>
      <c r="R15" s="116" t="s">
        <v>53</v>
      </c>
      <c r="S15" s="27">
        <v>46164</v>
      </c>
      <c r="T15" t="s">
        <v>5</v>
      </c>
      <c r="U15" s="2" t="s">
        <v>37</v>
      </c>
    </row>
    <row r="16" spans="1:23" x14ac:dyDescent="0.3">
      <c r="A16" s="54">
        <f t="shared" si="1"/>
        <v>15</v>
      </c>
      <c r="B16" s="153" t="s">
        <v>80</v>
      </c>
      <c r="C16" s="55" t="s">
        <v>120</v>
      </c>
      <c r="D16" s="55"/>
      <c r="E16" s="55">
        <v>1</v>
      </c>
      <c r="F16" s="59"/>
      <c r="G16" s="60"/>
      <c r="H16" s="61">
        <v>1</v>
      </c>
      <c r="I16" s="60">
        <v>3</v>
      </c>
      <c r="J16" s="55">
        <f t="shared" si="0"/>
        <v>3</v>
      </c>
      <c r="K16" s="62"/>
      <c r="L16" s="44">
        <v>0</v>
      </c>
      <c r="M16" s="58">
        <v>2</v>
      </c>
      <c r="N16" s="45">
        <v>0</v>
      </c>
      <c r="O16" s="45" t="s">
        <v>12</v>
      </c>
      <c r="P16" s="2" t="s">
        <v>37</v>
      </c>
      <c r="Q16" s="2"/>
      <c r="R16" s="116" t="s">
        <v>53</v>
      </c>
      <c r="S16" s="27">
        <v>46164</v>
      </c>
      <c r="T16" t="s">
        <v>5</v>
      </c>
      <c r="U16" s="2" t="s">
        <v>121</v>
      </c>
    </row>
    <row r="17" spans="1:23" x14ac:dyDescent="0.3">
      <c r="A17" s="54">
        <f t="shared" si="1"/>
        <v>16</v>
      </c>
      <c r="B17" s="153" t="s">
        <v>76</v>
      </c>
      <c r="C17" s="55" t="s">
        <v>122</v>
      </c>
      <c r="D17" s="55"/>
      <c r="E17" s="55">
        <v>1</v>
      </c>
      <c r="F17" s="59" t="s">
        <v>119</v>
      </c>
      <c r="G17" s="60"/>
      <c r="H17" s="61">
        <v>1</v>
      </c>
      <c r="I17" s="60">
        <v>3</v>
      </c>
      <c r="J17" s="55">
        <f t="shared" si="0"/>
        <v>3</v>
      </c>
      <c r="K17" s="62"/>
      <c r="L17" s="44">
        <v>0</v>
      </c>
      <c r="M17" s="58">
        <v>1</v>
      </c>
      <c r="N17" s="45">
        <v>0</v>
      </c>
      <c r="O17" s="45" t="s">
        <v>42</v>
      </c>
      <c r="P17" s="2" t="s">
        <v>37</v>
      </c>
      <c r="Q17" s="2"/>
      <c r="R17" s="116" t="s">
        <v>53</v>
      </c>
      <c r="S17" s="27">
        <v>46164</v>
      </c>
      <c r="T17" t="s">
        <v>5</v>
      </c>
      <c r="U17" s="2" t="s">
        <v>37</v>
      </c>
    </row>
    <row r="18" spans="1:23" x14ac:dyDescent="0.3">
      <c r="A18" s="54">
        <f t="shared" si="1"/>
        <v>17</v>
      </c>
      <c r="B18" s="153" t="s">
        <v>83</v>
      </c>
      <c r="C18" s="55" t="s">
        <v>123</v>
      </c>
      <c r="D18" s="55"/>
      <c r="E18" s="55">
        <v>1</v>
      </c>
      <c r="F18" s="59"/>
      <c r="G18" s="60"/>
      <c r="H18" s="61">
        <v>1</v>
      </c>
      <c r="I18" s="60">
        <v>2</v>
      </c>
      <c r="J18" s="55">
        <f t="shared" si="0"/>
        <v>2</v>
      </c>
      <c r="K18" s="62"/>
      <c r="L18" s="44"/>
      <c r="M18" s="58">
        <v>1</v>
      </c>
      <c r="N18" s="45"/>
      <c r="O18" s="45" t="s">
        <v>17</v>
      </c>
      <c r="P18" s="2" t="s">
        <v>37</v>
      </c>
      <c r="Q18" s="2"/>
      <c r="R18" s="3" t="s">
        <v>114</v>
      </c>
      <c r="S18" s="27">
        <v>46164</v>
      </c>
      <c r="T18" t="s">
        <v>5</v>
      </c>
      <c r="U18" s="2" t="s">
        <v>37</v>
      </c>
    </row>
    <row r="19" spans="1:23" x14ac:dyDescent="0.3">
      <c r="A19" s="54">
        <f t="shared" si="1"/>
        <v>18</v>
      </c>
      <c r="B19" s="153" t="s">
        <v>74</v>
      </c>
      <c r="C19" s="55" t="s">
        <v>124</v>
      </c>
      <c r="D19" s="55"/>
      <c r="E19" s="55">
        <v>1</v>
      </c>
      <c r="F19" s="59"/>
      <c r="G19" s="60"/>
      <c r="H19" s="61">
        <v>1</v>
      </c>
      <c r="I19" s="60">
        <v>3</v>
      </c>
      <c r="J19" s="55">
        <f t="shared" si="0"/>
        <v>3</v>
      </c>
      <c r="K19" s="62"/>
      <c r="L19" s="44"/>
      <c r="M19" s="58">
        <v>1</v>
      </c>
      <c r="N19" s="45"/>
      <c r="O19" s="45" t="s">
        <v>13</v>
      </c>
      <c r="P19" s="2" t="s">
        <v>37</v>
      </c>
      <c r="Q19" s="2"/>
      <c r="R19" s="116" t="s">
        <v>53</v>
      </c>
      <c r="S19" s="27">
        <v>46164</v>
      </c>
      <c r="T19" t="s">
        <v>5</v>
      </c>
      <c r="U19" s="2" t="s">
        <v>37</v>
      </c>
      <c r="V19" t="s">
        <v>125</v>
      </c>
    </row>
    <row r="20" spans="1:23" x14ac:dyDescent="0.3">
      <c r="A20" s="54">
        <f t="shared" si="1"/>
        <v>19</v>
      </c>
      <c r="B20" s="153" t="s">
        <v>74</v>
      </c>
      <c r="C20" s="55" t="s">
        <v>126</v>
      </c>
      <c r="D20" s="55"/>
      <c r="E20" s="55">
        <v>1</v>
      </c>
      <c r="F20" s="59"/>
      <c r="G20" s="60"/>
      <c r="H20" s="61">
        <v>1</v>
      </c>
      <c r="I20" s="60">
        <v>4</v>
      </c>
      <c r="J20" s="55">
        <f t="shared" si="0"/>
        <v>4</v>
      </c>
      <c r="K20" s="62">
        <v>1</v>
      </c>
      <c r="L20" s="44"/>
      <c r="M20" s="58">
        <v>1</v>
      </c>
      <c r="N20" s="45"/>
      <c r="O20" s="45" t="s">
        <v>38</v>
      </c>
      <c r="P20" s="2" t="s">
        <v>37</v>
      </c>
      <c r="Q20" s="2"/>
      <c r="R20" s="116" t="s">
        <v>53</v>
      </c>
      <c r="S20" s="27">
        <v>46164</v>
      </c>
      <c r="T20" t="s">
        <v>5</v>
      </c>
      <c r="U20" s="2" t="s">
        <v>37</v>
      </c>
      <c r="W20">
        <v>1</v>
      </c>
    </row>
    <row r="21" spans="1:23" x14ac:dyDescent="0.3">
      <c r="A21" s="54">
        <f t="shared" si="1"/>
        <v>20</v>
      </c>
      <c r="B21" s="153" t="s">
        <v>75</v>
      </c>
      <c r="C21" s="55" t="s">
        <v>127</v>
      </c>
      <c r="D21" s="55"/>
      <c r="E21" s="55">
        <v>1</v>
      </c>
      <c r="F21" s="59"/>
      <c r="G21" s="60"/>
      <c r="H21" s="61">
        <v>1</v>
      </c>
      <c r="I21" s="60">
        <v>3</v>
      </c>
      <c r="J21" s="55">
        <f t="shared" si="0"/>
        <v>3</v>
      </c>
      <c r="K21" s="62"/>
      <c r="L21" s="44"/>
      <c r="M21" s="58">
        <v>1</v>
      </c>
      <c r="N21" s="45"/>
      <c r="O21" s="45" t="s">
        <v>17</v>
      </c>
      <c r="P21" s="2" t="s">
        <v>37</v>
      </c>
      <c r="Q21" s="2"/>
      <c r="R21" s="3" t="s">
        <v>114</v>
      </c>
      <c r="S21" s="27">
        <v>46164</v>
      </c>
      <c r="T21" t="s">
        <v>5</v>
      </c>
      <c r="U21" s="2" t="s">
        <v>37</v>
      </c>
    </row>
    <row r="22" spans="1:23" x14ac:dyDescent="0.3">
      <c r="A22" s="54">
        <f t="shared" si="1"/>
        <v>21</v>
      </c>
      <c r="B22" s="153" t="s">
        <v>72</v>
      </c>
      <c r="C22" s="55" t="s">
        <v>128</v>
      </c>
      <c r="D22" s="55"/>
      <c r="E22" s="55">
        <v>1</v>
      </c>
      <c r="F22" s="59"/>
      <c r="G22" s="60"/>
      <c r="H22" s="61">
        <v>1</v>
      </c>
      <c r="I22" s="60">
        <v>5</v>
      </c>
      <c r="J22" s="55">
        <f t="shared" si="0"/>
        <v>5</v>
      </c>
      <c r="K22" s="62">
        <v>1</v>
      </c>
      <c r="L22" s="44"/>
      <c r="M22" s="58">
        <v>1</v>
      </c>
      <c r="N22" s="45"/>
      <c r="O22" s="45" t="s">
        <v>12</v>
      </c>
      <c r="P22" s="2" t="s">
        <v>37</v>
      </c>
      <c r="Q22" s="2"/>
      <c r="R22" s="116" t="s">
        <v>53</v>
      </c>
      <c r="S22" s="27">
        <v>46164</v>
      </c>
      <c r="T22" t="s">
        <v>5</v>
      </c>
      <c r="U22" s="2" t="s">
        <v>37</v>
      </c>
      <c r="W22">
        <v>5</v>
      </c>
    </row>
    <row r="23" spans="1:23" x14ac:dyDescent="0.3">
      <c r="A23" s="54">
        <f t="shared" si="1"/>
        <v>22</v>
      </c>
      <c r="B23" s="153" t="s">
        <v>73</v>
      </c>
      <c r="C23" s="55" t="s">
        <v>129</v>
      </c>
      <c r="D23" s="55"/>
      <c r="E23" s="55">
        <v>1</v>
      </c>
      <c r="F23" s="59">
        <v>2</v>
      </c>
      <c r="G23" s="60"/>
      <c r="H23" s="61">
        <v>1</v>
      </c>
      <c r="I23" s="60">
        <v>3</v>
      </c>
      <c r="J23" s="55">
        <f t="shared" si="0"/>
        <v>3</v>
      </c>
      <c r="K23" s="62"/>
      <c r="L23" s="44"/>
      <c r="M23" s="58"/>
      <c r="N23" s="45">
        <v>1</v>
      </c>
      <c r="O23" s="45" t="s">
        <v>12</v>
      </c>
      <c r="P23" s="2" t="s">
        <v>37</v>
      </c>
      <c r="Q23" s="2"/>
      <c r="R23" s="116" t="s">
        <v>53</v>
      </c>
      <c r="S23" s="27">
        <v>46164</v>
      </c>
      <c r="T23" t="s">
        <v>5</v>
      </c>
      <c r="U23" s="2" t="s">
        <v>37</v>
      </c>
    </row>
    <row r="24" spans="1:23" x14ac:dyDescent="0.3">
      <c r="A24" s="54">
        <f t="shared" si="1"/>
        <v>23</v>
      </c>
      <c r="B24" s="153" t="s">
        <v>78</v>
      </c>
      <c r="C24" s="4" t="s">
        <v>130</v>
      </c>
      <c r="D24" s="55"/>
      <c r="E24" s="55">
        <v>1</v>
      </c>
      <c r="F24" s="59">
        <v>6</v>
      </c>
      <c r="G24" s="60"/>
      <c r="H24" s="61">
        <v>1</v>
      </c>
      <c r="I24" s="60">
        <v>3</v>
      </c>
      <c r="J24" s="55">
        <f t="shared" si="0"/>
        <v>3</v>
      </c>
      <c r="K24" s="62"/>
      <c r="L24" s="44"/>
      <c r="M24" s="58"/>
      <c r="N24" s="45"/>
      <c r="O24" s="45" t="s">
        <v>17</v>
      </c>
      <c r="P24" s="2" t="s">
        <v>37</v>
      </c>
      <c r="Q24" s="2"/>
      <c r="R24" s="116" t="s">
        <v>58</v>
      </c>
      <c r="S24" s="27">
        <v>46164</v>
      </c>
      <c r="T24" t="s">
        <v>5</v>
      </c>
      <c r="U24" s="2" t="s">
        <v>37</v>
      </c>
    </row>
    <row r="25" spans="1:23" x14ac:dyDescent="0.3">
      <c r="A25" s="54">
        <f t="shared" si="1"/>
        <v>24</v>
      </c>
      <c r="B25" s="153" t="s">
        <v>86</v>
      </c>
      <c r="C25" s="5" t="s">
        <v>131</v>
      </c>
      <c r="D25" s="55"/>
      <c r="E25" s="55">
        <v>1</v>
      </c>
      <c r="F25" s="59"/>
      <c r="G25" s="60">
        <v>1</v>
      </c>
      <c r="H25" s="61">
        <v>1</v>
      </c>
      <c r="I25" s="60">
        <v>3</v>
      </c>
      <c r="J25" s="55">
        <f t="shared" si="0"/>
        <v>3</v>
      </c>
      <c r="K25" s="62"/>
      <c r="L25" s="44"/>
      <c r="M25" s="58"/>
      <c r="N25" s="45">
        <v>1</v>
      </c>
      <c r="O25" s="45" t="s">
        <v>17</v>
      </c>
      <c r="P25" s="2" t="s">
        <v>37</v>
      </c>
      <c r="Q25" s="2"/>
      <c r="R25" s="116" t="s">
        <v>58</v>
      </c>
      <c r="S25" s="27">
        <v>46164</v>
      </c>
      <c r="T25" t="s">
        <v>5</v>
      </c>
      <c r="U25" s="2" t="s">
        <v>37</v>
      </c>
    </row>
    <row r="26" spans="1:23" x14ac:dyDescent="0.3">
      <c r="A26" s="54">
        <f t="shared" si="1"/>
        <v>25</v>
      </c>
      <c r="B26" s="153" t="s">
        <v>73</v>
      </c>
      <c r="C26" s="4" t="s">
        <v>132</v>
      </c>
      <c r="D26" s="55"/>
      <c r="E26" s="55">
        <v>1</v>
      </c>
      <c r="F26" s="59"/>
      <c r="G26" s="60">
        <v>1</v>
      </c>
      <c r="H26" s="61">
        <v>1</v>
      </c>
      <c r="I26" s="60">
        <v>3</v>
      </c>
      <c r="J26" s="55">
        <f t="shared" si="0"/>
        <v>3</v>
      </c>
      <c r="K26" s="62"/>
      <c r="L26" s="44">
        <v>1</v>
      </c>
      <c r="M26" s="58"/>
      <c r="N26" s="45">
        <v>1</v>
      </c>
      <c r="O26" s="45" t="s">
        <v>17</v>
      </c>
      <c r="P26" s="2" t="s">
        <v>37</v>
      </c>
      <c r="Q26" s="2"/>
      <c r="R26" s="116" t="s">
        <v>58</v>
      </c>
      <c r="S26" s="27">
        <v>46164</v>
      </c>
      <c r="T26" t="s">
        <v>5</v>
      </c>
      <c r="U26" s="2" t="s">
        <v>37</v>
      </c>
    </row>
    <row r="27" spans="1:23" x14ac:dyDescent="0.3">
      <c r="A27" s="54">
        <f t="shared" si="1"/>
        <v>26</v>
      </c>
      <c r="B27" s="153" t="s">
        <v>77</v>
      </c>
      <c r="C27" s="4" t="s">
        <v>133</v>
      </c>
      <c r="D27" s="55"/>
      <c r="E27" s="55">
        <v>1</v>
      </c>
      <c r="F27" s="59"/>
      <c r="G27" s="60"/>
      <c r="H27" s="61">
        <v>1</v>
      </c>
      <c r="I27" s="60">
        <v>3</v>
      </c>
      <c r="J27" s="55">
        <f t="shared" si="0"/>
        <v>3</v>
      </c>
      <c r="K27" s="62"/>
      <c r="L27" s="44"/>
      <c r="M27" s="58">
        <v>1</v>
      </c>
      <c r="N27" s="45"/>
      <c r="O27" s="45" t="s">
        <v>17</v>
      </c>
      <c r="P27" s="2" t="s">
        <v>37</v>
      </c>
      <c r="Q27" s="2"/>
      <c r="R27" s="116" t="s">
        <v>58</v>
      </c>
      <c r="S27" s="27">
        <v>46164</v>
      </c>
      <c r="T27" t="s">
        <v>5</v>
      </c>
      <c r="U27" s="2" t="s">
        <v>37</v>
      </c>
    </row>
    <row r="28" spans="1:23" x14ac:dyDescent="0.3">
      <c r="A28" s="54">
        <f t="shared" si="1"/>
        <v>27</v>
      </c>
      <c r="B28" s="153" t="s">
        <v>83</v>
      </c>
      <c r="C28" s="4" t="s">
        <v>134</v>
      </c>
      <c r="D28" s="55"/>
      <c r="E28" s="55">
        <v>1</v>
      </c>
      <c r="F28" s="59"/>
      <c r="G28" s="60"/>
      <c r="H28" s="61">
        <v>1</v>
      </c>
      <c r="I28" s="60">
        <v>3</v>
      </c>
      <c r="J28" s="55">
        <f t="shared" si="0"/>
        <v>3</v>
      </c>
      <c r="K28" s="62"/>
      <c r="L28" s="44"/>
      <c r="M28" s="58">
        <v>1</v>
      </c>
      <c r="N28" s="45"/>
      <c r="O28" s="45" t="s">
        <v>35</v>
      </c>
      <c r="P28" s="2" t="s">
        <v>37</v>
      </c>
      <c r="Q28" s="2"/>
      <c r="R28" s="116" t="s">
        <v>58</v>
      </c>
      <c r="S28" s="27">
        <v>46164</v>
      </c>
      <c r="T28" t="s">
        <v>5</v>
      </c>
      <c r="U28" s="2" t="s">
        <v>37</v>
      </c>
    </row>
    <row r="29" spans="1:23" x14ac:dyDescent="0.3">
      <c r="A29" s="54">
        <f t="shared" si="1"/>
        <v>28</v>
      </c>
      <c r="B29" s="153" t="s">
        <v>80</v>
      </c>
      <c r="C29" s="4" t="s">
        <v>135</v>
      </c>
      <c r="D29" s="55"/>
      <c r="E29" s="55">
        <v>1</v>
      </c>
      <c r="F29" s="59"/>
      <c r="G29" s="60"/>
      <c r="H29" s="61">
        <v>1</v>
      </c>
      <c r="I29" s="60">
        <v>4</v>
      </c>
      <c r="J29" s="55">
        <f t="shared" si="0"/>
        <v>4</v>
      </c>
      <c r="K29" s="62">
        <v>1</v>
      </c>
      <c r="L29" s="44"/>
      <c r="M29" s="58">
        <v>1</v>
      </c>
      <c r="N29" s="45"/>
      <c r="O29" s="45" t="s">
        <v>35</v>
      </c>
      <c r="P29" s="2" t="s">
        <v>37</v>
      </c>
      <c r="Q29" s="2"/>
      <c r="R29" s="116" t="s">
        <v>58</v>
      </c>
      <c r="S29" s="27">
        <v>46164</v>
      </c>
      <c r="T29" t="s">
        <v>5</v>
      </c>
      <c r="U29" s="2" t="s">
        <v>37</v>
      </c>
      <c r="W29">
        <v>3</v>
      </c>
    </row>
    <row r="30" spans="1:23" x14ac:dyDescent="0.3">
      <c r="A30" s="54">
        <f t="shared" si="1"/>
        <v>29</v>
      </c>
      <c r="B30" s="153" t="s">
        <v>74</v>
      </c>
      <c r="C30" s="4" t="s">
        <v>136</v>
      </c>
      <c r="D30" s="55"/>
      <c r="E30" s="55">
        <v>1</v>
      </c>
      <c r="F30" s="59"/>
      <c r="G30" s="60"/>
      <c r="H30" s="61">
        <v>1</v>
      </c>
      <c r="I30" s="60">
        <v>4</v>
      </c>
      <c r="J30" s="55">
        <f t="shared" si="0"/>
        <v>4</v>
      </c>
      <c r="K30" s="62"/>
      <c r="L30" s="44"/>
      <c r="M30" s="58">
        <v>1</v>
      </c>
      <c r="N30" s="45"/>
      <c r="O30" s="45" t="s">
        <v>16</v>
      </c>
      <c r="P30" s="2" t="s">
        <v>37</v>
      </c>
      <c r="Q30" s="2"/>
      <c r="R30" s="116" t="s">
        <v>58</v>
      </c>
      <c r="S30" s="27">
        <v>46164</v>
      </c>
      <c r="T30" t="s">
        <v>5</v>
      </c>
      <c r="U30" s="2" t="s">
        <v>37</v>
      </c>
      <c r="W30">
        <v>6</v>
      </c>
    </row>
    <row r="31" spans="1:23" x14ac:dyDescent="0.3">
      <c r="A31" s="54">
        <f t="shared" si="1"/>
        <v>30</v>
      </c>
      <c r="B31" s="153" t="s">
        <v>72</v>
      </c>
      <c r="C31" s="4" t="s">
        <v>137</v>
      </c>
      <c r="D31" s="55"/>
      <c r="E31" s="55">
        <v>1</v>
      </c>
      <c r="F31" s="59"/>
      <c r="G31" s="60"/>
      <c r="H31" s="61">
        <v>1</v>
      </c>
      <c r="I31" s="60">
        <v>3</v>
      </c>
      <c r="J31" s="55">
        <f t="shared" si="0"/>
        <v>3</v>
      </c>
      <c r="K31" s="62"/>
      <c r="L31" s="44"/>
      <c r="M31" s="58">
        <v>1</v>
      </c>
      <c r="N31" s="45"/>
      <c r="O31" s="45" t="s">
        <v>16</v>
      </c>
      <c r="P31" s="2" t="s">
        <v>37</v>
      </c>
      <c r="Q31" s="2"/>
      <c r="R31" s="116" t="s">
        <v>58</v>
      </c>
      <c r="S31" s="27">
        <v>46164</v>
      </c>
      <c r="T31" t="s">
        <v>5</v>
      </c>
      <c r="U31" s="2" t="s">
        <v>37</v>
      </c>
    </row>
    <row r="32" spans="1:23" x14ac:dyDescent="0.3">
      <c r="A32" s="54">
        <f t="shared" si="1"/>
        <v>31</v>
      </c>
      <c r="B32" s="153" t="s">
        <v>78</v>
      </c>
      <c r="C32" s="4" t="s">
        <v>138</v>
      </c>
      <c r="D32" s="55"/>
      <c r="E32" s="55">
        <v>1</v>
      </c>
      <c r="F32" s="59"/>
      <c r="G32" s="60"/>
      <c r="H32" s="61">
        <v>1</v>
      </c>
      <c r="I32" s="60">
        <v>3</v>
      </c>
      <c r="J32" s="55">
        <f t="shared" si="0"/>
        <v>3</v>
      </c>
      <c r="K32" s="62"/>
      <c r="L32" s="44"/>
      <c r="M32" s="58">
        <v>1</v>
      </c>
      <c r="N32" s="45"/>
      <c r="O32" s="45" t="s">
        <v>16</v>
      </c>
      <c r="P32" s="2" t="s">
        <v>37</v>
      </c>
      <c r="Q32" s="2"/>
      <c r="R32" s="116" t="s">
        <v>58</v>
      </c>
      <c r="S32" s="27">
        <v>46164</v>
      </c>
      <c r="T32" t="s">
        <v>5</v>
      </c>
      <c r="U32" s="2" t="s">
        <v>37</v>
      </c>
    </row>
    <row r="33" spans="1:23" x14ac:dyDescent="0.3">
      <c r="A33" s="54">
        <f t="shared" si="1"/>
        <v>32</v>
      </c>
      <c r="B33" s="153" t="s">
        <v>72</v>
      </c>
      <c r="C33" s="55" t="s">
        <v>139</v>
      </c>
      <c r="D33" s="55"/>
      <c r="E33" s="55">
        <v>1</v>
      </c>
      <c r="F33" s="59"/>
      <c r="G33" s="60">
        <v>1</v>
      </c>
      <c r="H33" s="61">
        <v>1</v>
      </c>
      <c r="I33" s="60">
        <v>3</v>
      </c>
      <c r="J33" s="55">
        <f t="shared" si="0"/>
        <v>3</v>
      </c>
      <c r="K33" s="62"/>
      <c r="L33" s="44"/>
      <c r="M33" s="58">
        <v>1</v>
      </c>
      <c r="N33" s="45">
        <v>1</v>
      </c>
      <c r="O33" s="45" t="s">
        <v>16</v>
      </c>
      <c r="P33" s="2" t="s">
        <v>37</v>
      </c>
      <c r="Q33" s="2"/>
      <c r="R33" s="116" t="s">
        <v>58</v>
      </c>
      <c r="S33" s="27">
        <v>46164</v>
      </c>
      <c r="T33" t="s">
        <v>5</v>
      </c>
      <c r="U33" s="2" t="s">
        <v>37</v>
      </c>
    </row>
    <row r="34" spans="1:23" x14ac:dyDescent="0.3">
      <c r="A34" s="54">
        <f t="shared" si="1"/>
        <v>33</v>
      </c>
      <c r="B34" s="153" t="s">
        <v>72</v>
      </c>
      <c r="C34" s="6" t="s">
        <v>140</v>
      </c>
      <c r="D34" s="55"/>
      <c r="E34" s="55">
        <v>1</v>
      </c>
      <c r="F34" s="44"/>
      <c r="G34" s="55"/>
      <c r="H34" s="56">
        <v>1</v>
      </c>
      <c r="I34" s="55">
        <v>3</v>
      </c>
      <c r="J34" s="55">
        <f t="shared" si="0"/>
        <v>3</v>
      </c>
      <c r="K34" s="57"/>
      <c r="L34" s="44"/>
      <c r="M34" s="58">
        <v>1</v>
      </c>
      <c r="N34" s="45"/>
      <c r="O34" s="45" t="s">
        <v>17</v>
      </c>
      <c r="P34" s="2" t="s">
        <v>37</v>
      </c>
      <c r="Q34" s="2"/>
      <c r="R34" s="116" t="s">
        <v>53</v>
      </c>
      <c r="S34" s="27">
        <v>46164</v>
      </c>
      <c r="T34" t="s">
        <v>5</v>
      </c>
      <c r="U34" s="2" t="s">
        <v>121</v>
      </c>
    </row>
    <row r="35" spans="1:23" x14ac:dyDescent="0.3">
      <c r="A35" s="54">
        <f t="shared" si="1"/>
        <v>34</v>
      </c>
      <c r="B35" s="153" t="s">
        <v>76</v>
      </c>
      <c r="C35" s="6" t="s">
        <v>141</v>
      </c>
      <c r="D35" s="55"/>
      <c r="E35" s="55">
        <v>1</v>
      </c>
      <c r="F35" s="59"/>
      <c r="G35" s="60"/>
      <c r="H35" s="61">
        <v>1</v>
      </c>
      <c r="I35" s="60">
        <v>1</v>
      </c>
      <c r="J35" s="55">
        <f t="shared" si="0"/>
        <v>1</v>
      </c>
      <c r="K35" s="62"/>
      <c r="L35" s="44"/>
      <c r="M35" s="58">
        <v>1</v>
      </c>
      <c r="N35" s="45"/>
      <c r="O35" s="45" t="s">
        <v>14</v>
      </c>
      <c r="P35" s="2" t="s">
        <v>121</v>
      </c>
      <c r="Q35" s="2"/>
      <c r="R35" s="116" t="s">
        <v>53</v>
      </c>
      <c r="S35" s="27">
        <v>46165</v>
      </c>
      <c r="T35" t="s">
        <v>5</v>
      </c>
      <c r="U35" s="2" t="s">
        <v>37</v>
      </c>
    </row>
    <row r="36" spans="1:23" x14ac:dyDescent="0.3">
      <c r="A36" s="54">
        <f t="shared" si="1"/>
        <v>35</v>
      </c>
      <c r="B36" s="153" t="s">
        <v>82</v>
      </c>
      <c r="C36" s="7" t="s">
        <v>142</v>
      </c>
      <c r="D36" s="55"/>
      <c r="E36" s="55">
        <v>1</v>
      </c>
      <c r="F36" s="59">
        <v>5</v>
      </c>
      <c r="G36" s="60">
        <v>1</v>
      </c>
      <c r="H36" s="61">
        <v>1</v>
      </c>
      <c r="I36" s="60">
        <v>4</v>
      </c>
      <c r="J36" s="55">
        <f t="shared" si="0"/>
        <v>4</v>
      </c>
      <c r="K36" s="62">
        <v>1</v>
      </c>
      <c r="L36" s="44"/>
      <c r="M36" s="58"/>
      <c r="N36" s="45">
        <v>1</v>
      </c>
      <c r="O36" s="45" t="s">
        <v>11</v>
      </c>
      <c r="P36" s="2" t="s">
        <v>37</v>
      </c>
      <c r="Q36" s="2"/>
      <c r="R36" s="116" t="s">
        <v>58</v>
      </c>
      <c r="S36" s="27">
        <v>46165</v>
      </c>
      <c r="T36" t="s">
        <v>5</v>
      </c>
      <c r="U36" s="2" t="s">
        <v>37</v>
      </c>
      <c r="W36">
        <v>2</v>
      </c>
    </row>
    <row r="37" spans="1:23" x14ac:dyDescent="0.3">
      <c r="A37" s="54">
        <f t="shared" si="1"/>
        <v>36</v>
      </c>
      <c r="B37" s="153" t="s">
        <v>80</v>
      </c>
      <c r="C37" s="7" t="s">
        <v>143</v>
      </c>
      <c r="D37" s="55"/>
      <c r="E37" s="55">
        <v>1</v>
      </c>
      <c r="F37" s="59"/>
      <c r="G37" s="60"/>
      <c r="H37" s="61">
        <v>1</v>
      </c>
      <c r="I37" s="60">
        <v>3</v>
      </c>
      <c r="J37" s="55">
        <f t="shared" si="0"/>
        <v>3</v>
      </c>
      <c r="K37" s="62"/>
      <c r="L37" s="44"/>
      <c r="M37" s="58">
        <v>1</v>
      </c>
      <c r="N37" s="45"/>
      <c r="O37" s="45" t="s">
        <v>17</v>
      </c>
      <c r="P37" s="2" t="s">
        <v>37</v>
      </c>
      <c r="Q37" s="2"/>
      <c r="R37" s="3" t="s">
        <v>114</v>
      </c>
      <c r="S37" s="27">
        <v>46165</v>
      </c>
      <c r="T37" t="s">
        <v>5</v>
      </c>
      <c r="U37" s="2" t="s">
        <v>37</v>
      </c>
    </row>
    <row r="38" spans="1:23" x14ac:dyDescent="0.3">
      <c r="A38" s="54">
        <f t="shared" si="1"/>
        <v>37</v>
      </c>
      <c r="B38" s="153" t="s">
        <v>83</v>
      </c>
      <c r="C38" s="7" t="s">
        <v>144</v>
      </c>
      <c r="D38" s="55"/>
      <c r="E38" s="55">
        <v>1</v>
      </c>
      <c r="F38" s="59"/>
      <c r="G38" s="60"/>
      <c r="H38" s="61">
        <v>1</v>
      </c>
      <c r="I38" s="60">
        <v>3</v>
      </c>
      <c r="J38" s="55">
        <f t="shared" si="0"/>
        <v>3</v>
      </c>
      <c r="K38" s="62"/>
      <c r="L38" s="44"/>
      <c r="M38" s="58">
        <v>1</v>
      </c>
      <c r="N38" s="45"/>
      <c r="O38" s="45" t="s">
        <v>17</v>
      </c>
      <c r="P38" s="2" t="s">
        <v>37</v>
      </c>
      <c r="Q38" s="2"/>
      <c r="R38" s="3" t="s">
        <v>114</v>
      </c>
      <c r="S38" s="27">
        <v>46165</v>
      </c>
      <c r="T38" t="s">
        <v>5</v>
      </c>
      <c r="U38" s="2" t="s">
        <v>37</v>
      </c>
    </row>
    <row r="39" spans="1:23" x14ac:dyDescent="0.3">
      <c r="A39" s="54">
        <f t="shared" si="1"/>
        <v>38</v>
      </c>
      <c r="B39" s="153" t="s">
        <v>76</v>
      </c>
      <c r="C39" s="64" t="s">
        <v>145</v>
      </c>
      <c r="D39" s="55"/>
      <c r="E39" s="55">
        <v>1</v>
      </c>
      <c r="F39" s="59"/>
      <c r="G39" s="60"/>
      <c r="H39" s="61">
        <v>1</v>
      </c>
      <c r="I39" s="60">
        <v>2</v>
      </c>
      <c r="J39" s="55">
        <f t="shared" si="0"/>
        <v>2</v>
      </c>
      <c r="K39" s="62"/>
      <c r="L39" s="44"/>
      <c r="M39" s="58">
        <v>1</v>
      </c>
      <c r="N39" s="45"/>
      <c r="O39" s="45" t="s">
        <v>12</v>
      </c>
      <c r="P39" s="2" t="s">
        <v>37</v>
      </c>
      <c r="Q39" s="2"/>
      <c r="R39" s="3" t="s">
        <v>114</v>
      </c>
      <c r="S39" s="27">
        <v>46165</v>
      </c>
      <c r="T39" t="s">
        <v>5</v>
      </c>
      <c r="U39" s="2" t="s">
        <v>37</v>
      </c>
    </row>
    <row r="40" spans="1:23" x14ac:dyDescent="0.3">
      <c r="A40" s="54">
        <f t="shared" si="1"/>
        <v>39</v>
      </c>
      <c r="B40" s="153" t="s">
        <v>76</v>
      </c>
      <c r="C40" s="6" t="s">
        <v>146</v>
      </c>
      <c r="D40" s="55"/>
      <c r="E40" s="55">
        <v>1</v>
      </c>
      <c r="F40" s="59"/>
      <c r="G40" s="60"/>
      <c r="H40" s="61">
        <v>1</v>
      </c>
      <c r="I40" s="60">
        <v>2</v>
      </c>
      <c r="J40" s="55">
        <f t="shared" si="0"/>
        <v>2</v>
      </c>
      <c r="K40" s="62"/>
      <c r="L40" s="44"/>
      <c r="M40" s="58">
        <v>1</v>
      </c>
      <c r="N40" s="45"/>
      <c r="O40" s="45" t="s">
        <v>38</v>
      </c>
      <c r="P40" s="2" t="s">
        <v>37</v>
      </c>
      <c r="Q40" s="2"/>
      <c r="R40" t="s">
        <v>59</v>
      </c>
      <c r="S40" s="27">
        <v>46165</v>
      </c>
      <c r="T40" t="s">
        <v>5</v>
      </c>
      <c r="U40" s="2" t="s">
        <v>37</v>
      </c>
    </row>
    <row r="41" spans="1:23" x14ac:dyDescent="0.3">
      <c r="A41" s="54">
        <f t="shared" si="1"/>
        <v>40</v>
      </c>
      <c r="B41" s="153" t="s">
        <v>74</v>
      </c>
      <c r="C41" s="6" t="s">
        <v>147</v>
      </c>
      <c r="D41" s="55"/>
      <c r="E41" s="55">
        <v>1</v>
      </c>
      <c r="F41" s="59">
        <v>10</v>
      </c>
      <c r="G41" s="60">
        <v>3</v>
      </c>
      <c r="H41" s="61">
        <v>1</v>
      </c>
      <c r="I41" s="60">
        <v>3</v>
      </c>
      <c r="J41" s="55">
        <f t="shared" si="0"/>
        <v>3</v>
      </c>
      <c r="K41" s="62"/>
      <c r="L41" s="44"/>
      <c r="M41" s="58"/>
      <c r="N41" s="45">
        <v>1</v>
      </c>
      <c r="O41" s="45" t="s">
        <v>16</v>
      </c>
      <c r="P41" s="2" t="s">
        <v>37</v>
      </c>
      <c r="Q41" s="2"/>
      <c r="R41" s="116" t="s">
        <v>56</v>
      </c>
      <c r="S41" s="27">
        <v>46165</v>
      </c>
      <c r="T41" t="s">
        <v>5</v>
      </c>
      <c r="U41" s="2" t="s">
        <v>37</v>
      </c>
    </row>
    <row r="42" spans="1:23" x14ac:dyDescent="0.3">
      <c r="A42" s="54">
        <f t="shared" si="1"/>
        <v>41</v>
      </c>
      <c r="B42" s="153" t="s">
        <v>74</v>
      </c>
      <c r="C42" s="6" t="s">
        <v>148</v>
      </c>
      <c r="D42" s="55"/>
      <c r="E42" s="55">
        <v>1</v>
      </c>
      <c r="F42" s="59"/>
      <c r="G42" s="60"/>
      <c r="H42" s="61">
        <v>1</v>
      </c>
      <c r="I42" s="60">
        <v>3</v>
      </c>
      <c r="J42" s="55">
        <f t="shared" si="0"/>
        <v>3</v>
      </c>
      <c r="K42" s="62"/>
      <c r="L42" s="44"/>
      <c r="M42" s="58">
        <v>1</v>
      </c>
      <c r="N42" s="45"/>
      <c r="O42" s="45" t="s">
        <v>16</v>
      </c>
      <c r="P42" s="2" t="s">
        <v>37</v>
      </c>
      <c r="Q42" s="2"/>
      <c r="R42" t="s">
        <v>59</v>
      </c>
      <c r="S42" s="27">
        <v>46165</v>
      </c>
      <c r="T42" t="s">
        <v>5</v>
      </c>
      <c r="U42" s="2" t="s">
        <v>37</v>
      </c>
    </row>
    <row r="43" spans="1:23" x14ac:dyDescent="0.3">
      <c r="A43" s="54">
        <f t="shared" si="1"/>
        <v>42</v>
      </c>
      <c r="B43" s="153" t="s">
        <v>74</v>
      </c>
      <c r="C43" s="6" t="s">
        <v>149</v>
      </c>
      <c r="D43" s="55"/>
      <c r="E43" s="55">
        <v>1</v>
      </c>
      <c r="F43" s="59"/>
      <c r="G43" s="60"/>
      <c r="H43" s="61">
        <v>1</v>
      </c>
      <c r="I43" s="60">
        <v>3</v>
      </c>
      <c r="J43" s="55">
        <f t="shared" si="0"/>
        <v>3</v>
      </c>
      <c r="K43" s="62"/>
      <c r="L43" s="44"/>
      <c r="M43" s="58">
        <v>1</v>
      </c>
      <c r="N43" s="45"/>
      <c r="O43" s="45" t="s">
        <v>13</v>
      </c>
      <c r="P43" s="2" t="s">
        <v>121</v>
      </c>
      <c r="Q43" s="2"/>
      <c r="R43" t="s">
        <v>59</v>
      </c>
      <c r="S43" s="27">
        <v>46165</v>
      </c>
      <c r="T43" t="s">
        <v>5</v>
      </c>
      <c r="U43" s="2" t="s">
        <v>121</v>
      </c>
    </row>
    <row r="44" spans="1:23" x14ac:dyDescent="0.3">
      <c r="A44" s="54">
        <f t="shared" si="1"/>
        <v>43</v>
      </c>
      <c r="B44" s="153" t="s">
        <v>75</v>
      </c>
      <c r="C44" s="7" t="s">
        <v>150</v>
      </c>
      <c r="D44" s="55"/>
      <c r="E44" s="55">
        <v>1</v>
      </c>
      <c r="F44" s="59"/>
      <c r="G44" s="60"/>
      <c r="H44" s="61">
        <v>1</v>
      </c>
      <c r="I44" s="60">
        <v>2</v>
      </c>
      <c r="J44" s="55">
        <f t="shared" si="0"/>
        <v>2</v>
      </c>
      <c r="K44" s="62"/>
      <c r="L44" s="44"/>
      <c r="M44" s="58">
        <v>1</v>
      </c>
      <c r="N44" s="45"/>
      <c r="O44" s="45" t="s">
        <v>14</v>
      </c>
      <c r="P44" s="2" t="s">
        <v>37</v>
      </c>
      <c r="Q44" s="2"/>
      <c r="R44" s="116" t="s">
        <v>53</v>
      </c>
      <c r="S44" s="27">
        <v>46165</v>
      </c>
      <c r="T44" t="s">
        <v>5</v>
      </c>
      <c r="U44" s="2" t="s">
        <v>37</v>
      </c>
    </row>
    <row r="45" spans="1:23" x14ac:dyDescent="0.3">
      <c r="A45" s="54">
        <f t="shared" si="1"/>
        <v>44</v>
      </c>
      <c r="B45" s="153" t="s">
        <v>78</v>
      </c>
      <c r="C45" s="6" t="s">
        <v>151</v>
      </c>
      <c r="D45" s="55"/>
      <c r="E45" s="55">
        <v>1</v>
      </c>
      <c r="F45" s="59"/>
      <c r="G45" s="60"/>
      <c r="H45" s="61">
        <v>1</v>
      </c>
      <c r="I45" s="60">
        <v>3</v>
      </c>
      <c r="J45" s="55">
        <f t="shared" si="0"/>
        <v>3</v>
      </c>
      <c r="K45" s="62"/>
      <c r="L45" s="44"/>
      <c r="M45" s="58">
        <v>1</v>
      </c>
      <c r="N45" s="45"/>
      <c r="O45" s="45" t="s">
        <v>11</v>
      </c>
      <c r="P45" s="2" t="s">
        <v>37</v>
      </c>
      <c r="Q45" s="2"/>
      <c r="R45" s="3" t="s">
        <v>114</v>
      </c>
      <c r="S45" s="27">
        <v>46165</v>
      </c>
      <c r="T45" t="s">
        <v>5</v>
      </c>
      <c r="U45" s="2" t="s">
        <v>37</v>
      </c>
    </row>
    <row r="46" spans="1:23" x14ac:dyDescent="0.3">
      <c r="A46" s="54">
        <f t="shared" si="1"/>
        <v>45</v>
      </c>
      <c r="B46" s="153" t="s">
        <v>77</v>
      </c>
      <c r="C46" s="6" t="s">
        <v>152</v>
      </c>
      <c r="D46" s="55"/>
      <c r="E46" s="55">
        <v>1</v>
      </c>
      <c r="F46" s="59">
        <v>6</v>
      </c>
      <c r="G46" s="60">
        <v>3</v>
      </c>
      <c r="H46" s="61">
        <v>1</v>
      </c>
      <c r="I46" s="60">
        <v>3</v>
      </c>
      <c r="J46" s="55">
        <f t="shared" si="0"/>
        <v>3</v>
      </c>
      <c r="K46" s="62"/>
      <c r="L46" s="44"/>
      <c r="M46" s="58"/>
      <c r="N46" s="45">
        <v>1</v>
      </c>
      <c r="O46" s="45" t="s">
        <v>11</v>
      </c>
      <c r="P46" s="2" t="s">
        <v>37</v>
      </c>
      <c r="Q46" s="2"/>
      <c r="R46" s="3" t="s">
        <v>114</v>
      </c>
      <c r="S46" s="27">
        <v>46165</v>
      </c>
      <c r="T46" t="s">
        <v>5</v>
      </c>
      <c r="U46" s="2" t="s">
        <v>37</v>
      </c>
    </row>
    <row r="47" spans="1:23" ht="39" customHeight="1" x14ac:dyDescent="0.3">
      <c r="A47" s="54">
        <f t="shared" si="1"/>
        <v>46</v>
      </c>
      <c r="B47" s="153" t="s">
        <v>79</v>
      </c>
      <c r="C47" s="9" t="s">
        <v>153</v>
      </c>
      <c r="D47" s="8"/>
      <c r="E47" s="8">
        <v>1</v>
      </c>
      <c r="F47" s="8">
        <v>8</v>
      </c>
      <c r="G47" s="8">
        <v>3</v>
      </c>
      <c r="H47" s="24">
        <v>5</v>
      </c>
      <c r="I47" s="25">
        <v>4</v>
      </c>
      <c r="J47" s="55">
        <f t="shared" si="0"/>
        <v>20</v>
      </c>
      <c r="K47" s="91">
        <v>1</v>
      </c>
      <c r="L47" s="92"/>
      <c r="M47" s="65">
        <v>1</v>
      </c>
      <c r="N47" s="8">
        <v>1</v>
      </c>
      <c r="O47" s="66" t="s">
        <v>12</v>
      </c>
      <c r="P47" s="2" t="s">
        <v>37</v>
      </c>
      <c r="Q47" s="46"/>
      <c r="R47" s="9" t="s">
        <v>114</v>
      </c>
      <c r="S47" s="27">
        <v>46167</v>
      </c>
      <c r="T47" t="s">
        <v>5</v>
      </c>
      <c r="U47" s="2" t="s">
        <v>37</v>
      </c>
    </row>
    <row r="48" spans="1:23" x14ac:dyDescent="0.3">
      <c r="A48" s="54">
        <f t="shared" si="1"/>
        <v>47</v>
      </c>
      <c r="B48" s="153" t="s">
        <v>75</v>
      </c>
      <c r="C48" s="10" t="s">
        <v>154</v>
      </c>
      <c r="D48" s="8"/>
      <c r="E48" s="8">
        <v>1</v>
      </c>
      <c r="F48" s="8"/>
      <c r="G48" s="8"/>
      <c r="H48" s="24">
        <v>1</v>
      </c>
      <c r="I48" s="25">
        <v>3</v>
      </c>
      <c r="J48" s="55">
        <f t="shared" si="0"/>
        <v>3</v>
      </c>
      <c r="K48" s="8"/>
      <c r="L48" s="8"/>
      <c r="M48" s="65">
        <v>1</v>
      </c>
      <c r="N48" s="8"/>
      <c r="O48" s="66" t="s">
        <v>9</v>
      </c>
      <c r="P48" s="2" t="s">
        <v>37</v>
      </c>
      <c r="Q48" s="46"/>
      <c r="R48" s="116" t="s">
        <v>56</v>
      </c>
      <c r="S48" s="27">
        <v>46167</v>
      </c>
      <c r="T48" t="s">
        <v>5</v>
      </c>
      <c r="U48" s="2" t="s">
        <v>37</v>
      </c>
    </row>
    <row r="49" spans="1:21" x14ac:dyDescent="0.3">
      <c r="A49" s="54">
        <f t="shared" si="1"/>
        <v>48</v>
      </c>
      <c r="B49" s="153" t="s">
        <v>78</v>
      </c>
      <c r="C49" s="10" t="s">
        <v>155</v>
      </c>
      <c r="D49" s="8"/>
      <c r="E49" s="18">
        <v>1</v>
      </c>
      <c r="F49" s="8"/>
      <c r="G49" s="25"/>
      <c r="H49" s="24">
        <v>1</v>
      </c>
      <c r="I49" s="25">
        <v>3</v>
      </c>
      <c r="J49" s="55">
        <f t="shared" si="0"/>
        <v>3</v>
      </c>
      <c r="K49" s="8"/>
      <c r="L49" s="8"/>
      <c r="M49" s="65">
        <v>1</v>
      </c>
      <c r="N49" s="8"/>
      <c r="O49" s="66" t="s">
        <v>9</v>
      </c>
      <c r="P49" s="2" t="s">
        <v>37</v>
      </c>
      <c r="Q49" s="46"/>
      <c r="R49" s="116" t="s">
        <v>56</v>
      </c>
      <c r="S49" s="27">
        <v>46167</v>
      </c>
      <c r="T49" t="s">
        <v>5</v>
      </c>
      <c r="U49" s="2" t="s">
        <v>121</v>
      </c>
    </row>
    <row r="50" spans="1:21" x14ac:dyDescent="0.3">
      <c r="A50" s="54">
        <f t="shared" si="1"/>
        <v>49</v>
      </c>
      <c r="B50" s="153" t="s">
        <v>75</v>
      </c>
      <c r="C50" s="11" t="s">
        <v>156</v>
      </c>
      <c r="D50" s="8"/>
      <c r="E50" s="18">
        <v>1</v>
      </c>
      <c r="F50" s="8"/>
      <c r="G50" s="25"/>
      <c r="H50" s="24">
        <v>1</v>
      </c>
      <c r="I50" s="25">
        <v>3</v>
      </c>
      <c r="J50" s="55">
        <f t="shared" si="0"/>
        <v>3</v>
      </c>
      <c r="K50" s="8"/>
      <c r="L50" s="8"/>
      <c r="M50" s="65">
        <v>1</v>
      </c>
      <c r="N50" s="8"/>
      <c r="O50" s="66" t="s">
        <v>14</v>
      </c>
      <c r="P50" s="2" t="s">
        <v>37</v>
      </c>
      <c r="Q50" s="46"/>
      <c r="R50" s="116" t="s">
        <v>53</v>
      </c>
      <c r="S50" s="27">
        <v>46167</v>
      </c>
      <c r="T50" t="s">
        <v>5</v>
      </c>
      <c r="U50" s="2" t="s">
        <v>121</v>
      </c>
    </row>
    <row r="51" spans="1:21" x14ac:dyDescent="0.3">
      <c r="A51" s="54">
        <f t="shared" si="1"/>
        <v>50</v>
      </c>
      <c r="B51" s="153" t="s">
        <v>76</v>
      </c>
      <c r="C51" s="11" t="s">
        <v>157</v>
      </c>
      <c r="D51" s="8"/>
      <c r="E51" s="18">
        <v>1</v>
      </c>
      <c r="F51" s="8"/>
      <c r="G51" s="25"/>
      <c r="H51" s="24">
        <v>1</v>
      </c>
      <c r="I51" s="25">
        <v>1</v>
      </c>
      <c r="J51" s="55">
        <f t="shared" si="0"/>
        <v>1</v>
      </c>
      <c r="K51" s="8"/>
      <c r="L51" s="8"/>
      <c r="M51" s="65">
        <v>1</v>
      </c>
      <c r="N51" s="8"/>
      <c r="O51" s="66" t="s">
        <v>14</v>
      </c>
      <c r="P51" s="2" t="s">
        <v>37</v>
      </c>
      <c r="Q51" s="46"/>
      <c r="R51" s="116" t="s">
        <v>53</v>
      </c>
      <c r="S51" s="27">
        <v>46167</v>
      </c>
      <c r="T51" t="s">
        <v>5</v>
      </c>
      <c r="U51" s="2" t="s">
        <v>121</v>
      </c>
    </row>
    <row r="52" spans="1:21" x14ac:dyDescent="0.3">
      <c r="A52" s="54">
        <f t="shared" si="1"/>
        <v>51</v>
      </c>
      <c r="B52" s="153" t="s">
        <v>75</v>
      </c>
      <c r="C52" s="11" t="s">
        <v>158</v>
      </c>
      <c r="D52" s="8"/>
      <c r="E52" s="18">
        <v>1</v>
      </c>
      <c r="F52" s="8"/>
      <c r="G52" s="25"/>
      <c r="H52" s="24">
        <v>1</v>
      </c>
      <c r="I52" s="25">
        <v>3</v>
      </c>
      <c r="J52" s="55">
        <f t="shared" si="0"/>
        <v>3</v>
      </c>
      <c r="K52" s="8"/>
      <c r="L52" s="8"/>
      <c r="M52" s="65">
        <v>1</v>
      </c>
      <c r="N52" s="8"/>
      <c r="O52" s="66" t="s">
        <v>14</v>
      </c>
      <c r="P52" s="2" t="s">
        <v>37</v>
      </c>
      <c r="Q52" s="46"/>
      <c r="R52" s="116" t="s">
        <v>53</v>
      </c>
      <c r="S52" s="27">
        <v>46167</v>
      </c>
      <c r="T52" t="s">
        <v>5</v>
      </c>
      <c r="U52" s="2" t="s">
        <v>121</v>
      </c>
    </row>
    <row r="53" spans="1:21" x14ac:dyDescent="0.3">
      <c r="A53" s="54">
        <f t="shared" si="1"/>
        <v>52</v>
      </c>
      <c r="B53" s="153" t="s">
        <v>75</v>
      </c>
      <c r="C53" s="11" t="s">
        <v>159</v>
      </c>
      <c r="D53" s="8"/>
      <c r="E53" s="18">
        <v>1</v>
      </c>
      <c r="F53" s="8"/>
      <c r="G53" s="25"/>
      <c r="H53" s="24">
        <v>1</v>
      </c>
      <c r="I53" s="25">
        <v>3</v>
      </c>
      <c r="J53" s="55">
        <f t="shared" si="0"/>
        <v>3</v>
      </c>
      <c r="K53" s="8"/>
      <c r="L53" s="8"/>
      <c r="M53" s="65">
        <v>1</v>
      </c>
      <c r="N53" s="8"/>
      <c r="O53" s="66" t="s">
        <v>14</v>
      </c>
      <c r="P53" s="2" t="s">
        <v>37</v>
      </c>
      <c r="Q53" s="46"/>
      <c r="R53" s="116" t="s">
        <v>53</v>
      </c>
      <c r="S53" s="27">
        <v>46167</v>
      </c>
      <c r="T53" t="s">
        <v>5</v>
      </c>
      <c r="U53" s="2" t="s">
        <v>37</v>
      </c>
    </row>
    <row r="54" spans="1:21" ht="26.25" customHeight="1" x14ac:dyDescent="0.3">
      <c r="A54" s="54">
        <f t="shared" si="1"/>
        <v>53</v>
      </c>
      <c r="B54" s="153" t="s">
        <v>74</v>
      </c>
      <c r="C54" s="10" t="s">
        <v>160</v>
      </c>
      <c r="D54" s="8"/>
      <c r="E54" s="18">
        <v>1</v>
      </c>
      <c r="F54" s="8"/>
      <c r="G54" s="25"/>
      <c r="H54" s="24">
        <v>1</v>
      </c>
      <c r="I54" s="25">
        <v>1</v>
      </c>
      <c r="J54" s="55">
        <f t="shared" si="0"/>
        <v>1</v>
      </c>
      <c r="K54" s="8"/>
      <c r="L54" s="8"/>
      <c r="M54" s="65">
        <v>1</v>
      </c>
      <c r="N54" s="8"/>
      <c r="O54" s="45" t="s">
        <v>38</v>
      </c>
      <c r="P54" s="2" t="s">
        <v>37</v>
      </c>
      <c r="Q54" s="46"/>
      <c r="R54" t="s">
        <v>59</v>
      </c>
      <c r="S54" s="27">
        <v>46167</v>
      </c>
      <c r="T54" t="s">
        <v>5</v>
      </c>
      <c r="U54" s="2" t="s">
        <v>37</v>
      </c>
    </row>
    <row r="55" spans="1:21" x14ac:dyDescent="0.3">
      <c r="A55" s="54">
        <f t="shared" si="1"/>
        <v>54</v>
      </c>
      <c r="B55" s="153" t="s">
        <v>73</v>
      </c>
      <c r="C55" s="11" t="s">
        <v>161</v>
      </c>
      <c r="D55" s="8"/>
      <c r="E55" s="18">
        <v>1</v>
      </c>
      <c r="F55" s="8">
        <v>8</v>
      </c>
      <c r="G55" s="8">
        <v>1</v>
      </c>
      <c r="H55" s="24">
        <v>1</v>
      </c>
      <c r="I55" s="25">
        <v>3</v>
      </c>
      <c r="J55" s="55">
        <f t="shared" si="0"/>
        <v>3</v>
      </c>
      <c r="K55" s="8"/>
      <c r="L55" s="8">
        <v>1</v>
      </c>
      <c r="M55" s="8"/>
      <c r="N55" s="8">
        <v>1</v>
      </c>
      <c r="O55" s="45" t="s">
        <v>38</v>
      </c>
      <c r="P55" s="2" t="s">
        <v>37</v>
      </c>
      <c r="Q55" s="46"/>
      <c r="R55" t="s">
        <v>59</v>
      </c>
      <c r="S55" s="27">
        <v>46167</v>
      </c>
      <c r="T55" t="s">
        <v>5</v>
      </c>
      <c r="U55" s="2" t="s">
        <v>37</v>
      </c>
    </row>
    <row r="56" spans="1:21" x14ac:dyDescent="0.3">
      <c r="A56" s="54">
        <f t="shared" si="1"/>
        <v>55</v>
      </c>
      <c r="B56" s="153" t="s">
        <v>76</v>
      </c>
      <c r="C56" s="11" t="s">
        <v>162</v>
      </c>
      <c r="D56" s="8"/>
      <c r="E56" s="18">
        <v>1</v>
      </c>
      <c r="F56" s="8"/>
      <c r="G56" s="25"/>
      <c r="H56" s="24">
        <v>1</v>
      </c>
      <c r="I56" s="25">
        <v>2</v>
      </c>
      <c r="J56" s="55">
        <f t="shared" si="0"/>
        <v>2</v>
      </c>
      <c r="K56" s="8"/>
      <c r="L56" s="8"/>
      <c r="M56" s="68">
        <v>1</v>
      </c>
      <c r="N56" s="42"/>
      <c r="O56" s="45" t="s">
        <v>38</v>
      </c>
      <c r="P56" s="2" t="s">
        <v>37</v>
      </c>
      <c r="Q56" s="46"/>
      <c r="R56" t="s">
        <v>59</v>
      </c>
      <c r="S56" s="27">
        <v>46167</v>
      </c>
      <c r="T56" t="s">
        <v>5</v>
      </c>
      <c r="U56" s="2" t="s">
        <v>37</v>
      </c>
    </row>
    <row r="57" spans="1:21" x14ac:dyDescent="0.3">
      <c r="A57" s="54">
        <f t="shared" si="1"/>
        <v>56</v>
      </c>
      <c r="B57" s="153" t="s">
        <v>73</v>
      </c>
      <c r="C57" s="11" t="s">
        <v>163</v>
      </c>
      <c r="D57" s="8"/>
      <c r="E57" s="8"/>
      <c r="F57" s="8">
        <v>3</v>
      </c>
      <c r="G57" s="8">
        <v>6</v>
      </c>
      <c r="H57" s="24">
        <v>1</v>
      </c>
      <c r="I57" s="25">
        <v>2</v>
      </c>
      <c r="J57" s="55">
        <f t="shared" si="0"/>
        <v>2</v>
      </c>
      <c r="K57" s="8"/>
      <c r="L57" s="8">
        <v>1</v>
      </c>
      <c r="M57" s="8"/>
      <c r="N57" s="8"/>
      <c r="O57" s="45" t="s">
        <v>38</v>
      </c>
      <c r="P57" s="2" t="s">
        <v>37</v>
      </c>
      <c r="Q57" s="46"/>
      <c r="R57" t="s">
        <v>59</v>
      </c>
      <c r="S57" s="27">
        <v>46167</v>
      </c>
      <c r="T57" t="s">
        <v>5</v>
      </c>
      <c r="U57" s="2" t="s">
        <v>37</v>
      </c>
    </row>
    <row r="58" spans="1:21" x14ac:dyDescent="0.3">
      <c r="A58" s="54">
        <f t="shared" si="1"/>
        <v>57</v>
      </c>
      <c r="B58" s="153" t="s">
        <v>74</v>
      </c>
      <c r="C58" s="10" t="s">
        <v>164</v>
      </c>
      <c r="D58" s="8"/>
      <c r="E58" s="18">
        <v>1</v>
      </c>
      <c r="F58" s="8"/>
      <c r="G58" s="25"/>
      <c r="H58" s="24">
        <v>1</v>
      </c>
      <c r="I58" s="25">
        <v>3</v>
      </c>
      <c r="J58" s="55">
        <f t="shared" si="0"/>
        <v>3</v>
      </c>
      <c r="K58" s="8"/>
      <c r="L58" s="8"/>
      <c r="M58" s="68">
        <v>1</v>
      </c>
      <c r="N58" s="42"/>
      <c r="O58" s="45" t="s">
        <v>17</v>
      </c>
      <c r="P58" s="2" t="s">
        <v>37</v>
      </c>
      <c r="Q58" s="46"/>
      <c r="R58" s="10" t="s">
        <v>114</v>
      </c>
      <c r="S58" s="27">
        <v>46167</v>
      </c>
      <c r="T58" t="s">
        <v>5</v>
      </c>
      <c r="U58" s="2" t="s">
        <v>37</v>
      </c>
    </row>
    <row r="59" spans="1:21" x14ac:dyDescent="0.3">
      <c r="A59" s="54">
        <f t="shared" si="1"/>
        <v>58</v>
      </c>
      <c r="B59" s="153" t="s">
        <v>72</v>
      </c>
      <c r="C59" s="10" t="s">
        <v>165</v>
      </c>
      <c r="D59" s="8"/>
      <c r="E59" s="18">
        <v>1</v>
      </c>
      <c r="F59" s="8"/>
      <c r="G59" s="25"/>
      <c r="H59" s="24">
        <v>1</v>
      </c>
      <c r="I59" s="25">
        <v>3</v>
      </c>
      <c r="J59" s="55">
        <f t="shared" si="0"/>
        <v>3</v>
      </c>
      <c r="K59" s="8"/>
      <c r="L59" s="8"/>
      <c r="M59" s="8">
        <v>1</v>
      </c>
      <c r="N59" s="25"/>
      <c r="O59" s="45" t="s">
        <v>17</v>
      </c>
      <c r="P59" s="2" t="s">
        <v>37</v>
      </c>
      <c r="Q59" s="46"/>
      <c r="R59" s="10" t="s">
        <v>114</v>
      </c>
      <c r="S59" s="27">
        <v>46167</v>
      </c>
      <c r="T59" t="s">
        <v>5</v>
      </c>
      <c r="U59" s="2" t="s">
        <v>37</v>
      </c>
    </row>
    <row r="60" spans="1:21" x14ac:dyDescent="0.3">
      <c r="A60" s="54">
        <f t="shared" si="1"/>
        <v>59</v>
      </c>
      <c r="B60" s="153" t="s">
        <v>77</v>
      </c>
      <c r="C60" s="11" t="s">
        <v>166</v>
      </c>
      <c r="D60" s="8"/>
      <c r="E60" s="18">
        <v>1</v>
      </c>
      <c r="F60" s="8"/>
      <c r="G60" s="25"/>
      <c r="H60" s="24">
        <v>1</v>
      </c>
      <c r="I60" s="25">
        <v>3</v>
      </c>
      <c r="J60" s="55">
        <f t="shared" si="0"/>
        <v>3</v>
      </c>
      <c r="K60" s="8"/>
      <c r="L60" s="8"/>
      <c r="M60" s="68">
        <v>1</v>
      </c>
      <c r="N60" s="42"/>
      <c r="O60" s="66" t="s">
        <v>9</v>
      </c>
      <c r="P60" s="2" t="s">
        <v>37</v>
      </c>
      <c r="Q60" s="46"/>
      <c r="R60" s="116" t="s">
        <v>56</v>
      </c>
      <c r="S60" s="27">
        <v>46167</v>
      </c>
      <c r="T60" t="s">
        <v>5</v>
      </c>
      <c r="U60" s="2" t="s">
        <v>37</v>
      </c>
    </row>
    <row r="61" spans="1:21" x14ac:dyDescent="0.3">
      <c r="A61" s="54">
        <f t="shared" si="1"/>
        <v>60</v>
      </c>
      <c r="B61" s="153" t="s">
        <v>75</v>
      </c>
      <c r="C61" s="11" t="s">
        <v>167</v>
      </c>
      <c r="D61" s="8"/>
      <c r="E61" s="18">
        <v>1</v>
      </c>
      <c r="F61" s="8"/>
      <c r="G61" s="25"/>
      <c r="H61" s="24">
        <v>1</v>
      </c>
      <c r="I61" s="25">
        <v>2</v>
      </c>
      <c r="J61" s="55">
        <f t="shared" si="0"/>
        <v>2</v>
      </c>
      <c r="K61" s="8"/>
      <c r="L61" s="8"/>
      <c r="M61" s="8">
        <v>1</v>
      </c>
      <c r="N61" s="25"/>
      <c r="O61" s="66" t="s">
        <v>9</v>
      </c>
      <c r="P61" s="2" t="s">
        <v>37</v>
      </c>
      <c r="Q61" s="46"/>
      <c r="R61" s="116" t="s">
        <v>56</v>
      </c>
      <c r="S61" s="27">
        <v>46167</v>
      </c>
      <c r="T61" t="s">
        <v>5</v>
      </c>
      <c r="U61" s="2" t="s">
        <v>37</v>
      </c>
    </row>
    <row r="62" spans="1:21" x14ac:dyDescent="0.3">
      <c r="A62" s="54">
        <f t="shared" si="1"/>
        <v>61</v>
      </c>
      <c r="B62" s="153" t="s">
        <v>78</v>
      </c>
      <c r="C62" s="11" t="s">
        <v>168</v>
      </c>
      <c r="D62" s="8"/>
      <c r="E62" s="8"/>
      <c r="F62" s="8"/>
      <c r="G62" s="25"/>
      <c r="H62" s="24">
        <v>1</v>
      </c>
      <c r="I62" s="25">
        <v>2</v>
      </c>
      <c r="J62" s="55">
        <f t="shared" si="0"/>
        <v>2</v>
      </c>
      <c r="K62" s="8"/>
      <c r="L62" s="8"/>
      <c r="M62" s="68">
        <v>1</v>
      </c>
      <c r="N62" s="42"/>
      <c r="O62" s="66" t="s">
        <v>9</v>
      </c>
      <c r="P62" s="2" t="s">
        <v>37</v>
      </c>
      <c r="Q62" s="46"/>
      <c r="R62" s="116" t="s">
        <v>56</v>
      </c>
      <c r="S62" s="27">
        <v>46167</v>
      </c>
      <c r="T62" t="s">
        <v>5</v>
      </c>
      <c r="U62" s="2" t="s">
        <v>37</v>
      </c>
    </row>
    <row r="63" spans="1:21" x14ac:dyDescent="0.3">
      <c r="A63" s="54">
        <f t="shared" si="1"/>
        <v>62</v>
      </c>
      <c r="B63" s="153" t="s">
        <v>74</v>
      </c>
      <c r="C63" s="10" t="s">
        <v>169</v>
      </c>
      <c r="D63" s="8"/>
      <c r="E63" s="18">
        <v>1</v>
      </c>
      <c r="F63" s="8"/>
      <c r="G63" s="25"/>
      <c r="H63" s="24">
        <v>1</v>
      </c>
      <c r="I63" s="25">
        <v>2</v>
      </c>
      <c r="J63" s="55">
        <f t="shared" si="0"/>
        <v>2</v>
      </c>
      <c r="K63" s="8"/>
      <c r="L63" s="8"/>
      <c r="M63" s="8">
        <v>1</v>
      </c>
      <c r="N63" s="25"/>
      <c r="O63" s="66" t="s">
        <v>18</v>
      </c>
      <c r="P63" s="2" t="s">
        <v>37</v>
      </c>
      <c r="Q63" s="46"/>
      <c r="R63" s="116" t="s">
        <v>58</v>
      </c>
      <c r="S63" s="27">
        <v>46167</v>
      </c>
      <c r="T63" t="s">
        <v>5</v>
      </c>
      <c r="U63" s="2" t="s">
        <v>37</v>
      </c>
    </row>
    <row r="64" spans="1:21" x14ac:dyDescent="0.3">
      <c r="A64" s="54">
        <f t="shared" si="1"/>
        <v>63</v>
      </c>
      <c r="B64" s="153" t="s">
        <v>74</v>
      </c>
      <c r="C64" s="10" t="s">
        <v>170</v>
      </c>
      <c r="D64" s="8"/>
      <c r="E64" s="18">
        <v>1</v>
      </c>
      <c r="F64" s="8"/>
      <c r="G64" s="25"/>
      <c r="H64" s="24">
        <v>1</v>
      </c>
      <c r="I64" s="25">
        <v>3</v>
      </c>
      <c r="J64" s="55">
        <f t="shared" si="0"/>
        <v>3</v>
      </c>
      <c r="K64" s="8"/>
      <c r="L64" s="8"/>
      <c r="M64" s="68">
        <v>1</v>
      </c>
      <c r="N64" s="42"/>
      <c r="O64" s="45" t="s">
        <v>11</v>
      </c>
      <c r="P64" s="12" t="s">
        <v>37</v>
      </c>
      <c r="Q64" s="46"/>
      <c r="R64" s="116" t="s">
        <v>58</v>
      </c>
      <c r="S64" s="27">
        <v>46167</v>
      </c>
      <c r="T64" t="s">
        <v>5</v>
      </c>
      <c r="U64" s="12" t="s">
        <v>37</v>
      </c>
    </row>
    <row r="65" spans="1:21" x14ac:dyDescent="0.3">
      <c r="A65" s="54">
        <f t="shared" si="1"/>
        <v>64</v>
      </c>
      <c r="B65" s="153" t="s">
        <v>72</v>
      </c>
      <c r="C65" s="10" t="s">
        <v>171</v>
      </c>
      <c r="D65" s="8"/>
      <c r="E65" s="18">
        <v>1</v>
      </c>
      <c r="F65" s="8"/>
      <c r="G65" s="25"/>
      <c r="H65" s="24">
        <v>1</v>
      </c>
      <c r="I65" s="25">
        <v>3</v>
      </c>
      <c r="J65" s="55">
        <f t="shared" si="0"/>
        <v>3</v>
      </c>
      <c r="K65" s="8"/>
      <c r="L65" s="8"/>
      <c r="M65" s="8">
        <v>1</v>
      </c>
      <c r="N65" s="25"/>
      <c r="O65" s="66" t="s">
        <v>18</v>
      </c>
      <c r="P65" s="2" t="s">
        <v>37</v>
      </c>
      <c r="Q65" s="46"/>
      <c r="R65" s="116" t="s">
        <v>58</v>
      </c>
      <c r="S65" s="27">
        <v>46167</v>
      </c>
      <c r="T65" t="s">
        <v>5</v>
      </c>
      <c r="U65" s="2" t="s">
        <v>37</v>
      </c>
    </row>
    <row r="66" spans="1:21" x14ac:dyDescent="0.3">
      <c r="A66" s="54">
        <f t="shared" si="1"/>
        <v>65</v>
      </c>
      <c r="B66" s="153" t="s">
        <v>76</v>
      </c>
      <c r="C66" s="10" t="s">
        <v>172</v>
      </c>
      <c r="D66" s="8"/>
      <c r="E66" s="18">
        <v>1</v>
      </c>
      <c r="F66" s="8"/>
      <c r="G66" s="25"/>
      <c r="H66" s="24">
        <v>1</v>
      </c>
      <c r="I66" s="25">
        <v>3</v>
      </c>
      <c r="J66" s="55">
        <f t="shared" ref="J66:J129" si="2">I66*H66</f>
        <v>3</v>
      </c>
      <c r="K66" s="8"/>
      <c r="L66" s="8"/>
      <c r="M66" s="68">
        <v>1</v>
      </c>
      <c r="N66" s="42"/>
      <c r="O66" s="45" t="s">
        <v>17</v>
      </c>
      <c r="P66" s="12" t="s">
        <v>37</v>
      </c>
      <c r="Q66" s="46"/>
      <c r="R66" s="116" t="s">
        <v>58</v>
      </c>
      <c r="S66" s="27">
        <v>46167</v>
      </c>
      <c r="T66" t="s">
        <v>5</v>
      </c>
      <c r="U66" s="12" t="s">
        <v>121</v>
      </c>
    </row>
    <row r="67" spans="1:21" x14ac:dyDescent="0.3">
      <c r="A67" s="54">
        <f t="shared" ref="A67:A130" si="3">A66+1</f>
        <v>66</v>
      </c>
      <c r="B67" s="153" t="s">
        <v>76</v>
      </c>
      <c r="C67" s="10" t="s">
        <v>173</v>
      </c>
      <c r="D67" s="8"/>
      <c r="E67" s="18">
        <v>1</v>
      </c>
      <c r="F67" s="8"/>
      <c r="G67" s="25"/>
      <c r="H67" s="24">
        <v>1</v>
      </c>
      <c r="I67" s="25">
        <v>3</v>
      </c>
      <c r="J67" s="55">
        <f t="shared" si="2"/>
        <v>3</v>
      </c>
      <c r="K67" s="8"/>
      <c r="L67" s="8"/>
      <c r="M67" s="8">
        <v>1</v>
      </c>
      <c r="N67" s="25"/>
      <c r="O67" s="45" t="s">
        <v>16</v>
      </c>
      <c r="P67" s="12" t="s">
        <v>37</v>
      </c>
      <c r="Q67" s="46"/>
      <c r="R67" s="116" t="s">
        <v>58</v>
      </c>
      <c r="S67" s="27">
        <v>46167</v>
      </c>
      <c r="T67" t="s">
        <v>5</v>
      </c>
      <c r="U67" s="12" t="s">
        <v>121</v>
      </c>
    </row>
    <row r="68" spans="1:21" x14ac:dyDescent="0.3">
      <c r="A68" s="54">
        <f t="shared" si="3"/>
        <v>67</v>
      </c>
      <c r="B68" s="153" t="s">
        <v>76</v>
      </c>
      <c r="C68" s="10" t="s">
        <v>174</v>
      </c>
      <c r="D68" s="8"/>
      <c r="E68" s="18">
        <v>1</v>
      </c>
      <c r="F68" s="8"/>
      <c r="G68" s="25"/>
      <c r="H68" s="24">
        <v>1</v>
      </c>
      <c r="I68" s="25">
        <v>2</v>
      </c>
      <c r="J68" s="55">
        <f t="shared" si="2"/>
        <v>2</v>
      </c>
      <c r="K68" s="8"/>
      <c r="L68" s="8"/>
      <c r="M68" s="8">
        <v>1</v>
      </c>
      <c r="N68" s="25"/>
      <c r="O68" s="45" t="s">
        <v>11</v>
      </c>
      <c r="P68" s="12" t="s">
        <v>37</v>
      </c>
      <c r="Q68" s="46"/>
      <c r="R68" s="116" t="s">
        <v>58</v>
      </c>
      <c r="S68" s="27">
        <v>46167</v>
      </c>
      <c r="T68" t="s">
        <v>5</v>
      </c>
      <c r="U68" s="12" t="s">
        <v>37</v>
      </c>
    </row>
    <row r="69" spans="1:21" ht="45" customHeight="1" x14ac:dyDescent="0.3">
      <c r="A69" s="54">
        <f t="shared" si="3"/>
        <v>68</v>
      </c>
      <c r="B69" s="153" t="s">
        <v>73</v>
      </c>
      <c r="C69" s="13" t="s">
        <v>175</v>
      </c>
      <c r="D69" s="8"/>
      <c r="E69" s="18">
        <v>1</v>
      </c>
      <c r="F69" s="8">
        <v>5</v>
      </c>
      <c r="G69" s="8">
        <v>2</v>
      </c>
      <c r="H69" s="24">
        <v>1</v>
      </c>
      <c r="I69" s="25">
        <v>3</v>
      </c>
      <c r="J69" s="55">
        <f t="shared" si="2"/>
        <v>3</v>
      </c>
      <c r="K69" s="8"/>
      <c r="L69" s="8">
        <v>1</v>
      </c>
      <c r="M69" s="8"/>
      <c r="N69" s="8">
        <v>1</v>
      </c>
      <c r="O69" s="45" t="s">
        <v>16</v>
      </c>
      <c r="P69" s="2" t="s">
        <v>37</v>
      </c>
      <c r="Q69" s="46"/>
      <c r="R69" s="116" t="s">
        <v>56</v>
      </c>
      <c r="S69" s="27">
        <v>46167</v>
      </c>
      <c r="T69" t="s">
        <v>5</v>
      </c>
      <c r="U69" s="2" t="s">
        <v>37</v>
      </c>
    </row>
    <row r="70" spans="1:21" ht="30" customHeight="1" x14ac:dyDescent="0.3">
      <c r="A70" s="54">
        <f t="shared" si="3"/>
        <v>69</v>
      </c>
      <c r="B70" s="153" t="s">
        <v>78</v>
      </c>
      <c r="C70" s="13" t="s">
        <v>176</v>
      </c>
      <c r="D70" s="8"/>
      <c r="E70" s="18">
        <v>1</v>
      </c>
      <c r="F70" s="8"/>
      <c r="G70" s="25"/>
      <c r="H70" s="24">
        <v>1</v>
      </c>
      <c r="I70" s="25">
        <v>3</v>
      </c>
      <c r="J70" s="55">
        <f t="shared" si="2"/>
        <v>3</v>
      </c>
      <c r="K70" s="8"/>
      <c r="L70" s="8"/>
      <c r="M70" s="8">
        <v>1</v>
      </c>
      <c r="N70" s="25"/>
      <c r="O70" s="45" t="s">
        <v>16</v>
      </c>
      <c r="P70" s="2" t="s">
        <v>37</v>
      </c>
      <c r="Q70" s="46"/>
      <c r="R70" s="116" t="s">
        <v>56</v>
      </c>
      <c r="S70" s="27">
        <v>46167</v>
      </c>
      <c r="T70" t="s">
        <v>5</v>
      </c>
      <c r="U70" s="2" t="s">
        <v>37</v>
      </c>
    </row>
    <row r="71" spans="1:21" ht="30" customHeight="1" x14ac:dyDescent="0.3">
      <c r="A71" s="54">
        <f t="shared" si="3"/>
        <v>70</v>
      </c>
      <c r="B71" s="153" t="s">
        <v>80</v>
      </c>
      <c r="C71" s="14" t="s">
        <v>177</v>
      </c>
      <c r="D71" s="8"/>
      <c r="E71" s="18">
        <v>1</v>
      </c>
      <c r="F71" s="8"/>
      <c r="G71" s="25"/>
      <c r="H71" s="24">
        <v>1</v>
      </c>
      <c r="I71" s="25">
        <v>4</v>
      </c>
      <c r="J71" s="55">
        <f t="shared" si="2"/>
        <v>4</v>
      </c>
      <c r="K71" s="8">
        <v>1</v>
      </c>
      <c r="L71" s="8"/>
      <c r="M71" s="68">
        <v>1</v>
      </c>
      <c r="N71" s="42"/>
      <c r="O71" s="66" t="s">
        <v>12</v>
      </c>
      <c r="P71" s="2" t="s">
        <v>37</v>
      </c>
      <c r="Q71" s="46"/>
      <c r="R71" s="14" t="s">
        <v>114</v>
      </c>
      <c r="S71" s="27">
        <v>46168</v>
      </c>
      <c r="T71" t="s">
        <v>5</v>
      </c>
      <c r="U71" s="2" t="s">
        <v>37</v>
      </c>
    </row>
    <row r="72" spans="1:21" ht="30" customHeight="1" x14ac:dyDescent="0.3">
      <c r="A72" s="54">
        <f t="shared" si="3"/>
        <v>71</v>
      </c>
      <c r="B72" s="153" t="s">
        <v>79</v>
      </c>
      <c r="C72" s="14" t="s">
        <v>178</v>
      </c>
      <c r="D72" s="8"/>
      <c r="E72" s="18">
        <v>1</v>
      </c>
      <c r="F72" s="8">
        <v>7</v>
      </c>
      <c r="G72" s="8">
        <v>2</v>
      </c>
      <c r="H72" s="24">
        <v>1</v>
      </c>
      <c r="I72" s="25">
        <v>3</v>
      </c>
      <c r="J72" s="55">
        <f t="shared" si="2"/>
        <v>3</v>
      </c>
      <c r="K72" s="8"/>
      <c r="L72" s="8"/>
      <c r="M72" s="8"/>
      <c r="N72" s="8">
        <v>1</v>
      </c>
      <c r="O72" s="66" t="s">
        <v>12</v>
      </c>
      <c r="P72" s="2" t="s">
        <v>37</v>
      </c>
      <c r="Q72" s="46"/>
      <c r="R72" s="14" t="s">
        <v>114</v>
      </c>
      <c r="S72" s="27">
        <v>46168</v>
      </c>
      <c r="T72" t="s">
        <v>5</v>
      </c>
      <c r="U72" s="2" t="s">
        <v>37</v>
      </c>
    </row>
    <row r="73" spans="1:21" ht="30" customHeight="1" x14ac:dyDescent="0.3">
      <c r="A73" s="54">
        <f t="shared" si="3"/>
        <v>72</v>
      </c>
      <c r="B73" s="153" t="s">
        <v>78</v>
      </c>
      <c r="C73" s="14" t="s">
        <v>179</v>
      </c>
      <c r="D73" s="8"/>
      <c r="E73" s="18">
        <v>1</v>
      </c>
      <c r="F73" s="8"/>
      <c r="G73" s="25"/>
      <c r="H73" s="24">
        <v>1</v>
      </c>
      <c r="I73" s="25">
        <v>2</v>
      </c>
      <c r="J73" s="55">
        <f t="shared" si="2"/>
        <v>2</v>
      </c>
      <c r="K73" s="8"/>
      <c r="L73" s="8"/>
      <c r="M73" s="68">
        <v>1</v>
      </c>
      <c r="N73" s="42"/>
      <c r="O73" s="66" t="s">
        <v>12</v>
      </c>
      <c r="P73" s="2" t="s">
        <v>37</v>
      </c>
      <c r="Q73" s="46"/>
      <c r="R73" s="14" t="s">
        <v>114</v>
      </c>
      <c r="S73" s="27">
        <v>46168</v>
      </c>
      <c r="T73" t="s">
        <v>5</v>
      </c>
      <c r="U73" s="2" t="s">
        <v>37</v>
      </c>
    </row>
    <row r="74" spans="1:21" ht="45" customHeight="1" x14ac:dyDescent="0.3">
      <c r="A74" s="54">
        <f t="shared" si="3"/>
        <v>73</v>
      </c>
      <c r="B74" s="153" t="s">
        <v>79</v>
      </c>
      <c r="C74" s="13" t="s">
        <v>180</v>
      </c>
      <c r="D74" s="8"/>
      <c r="E74" s="18">
        <v>1</v>
      </c>
      <c r="F74" s="8">
        <v>5</v>
      </c>
      <c r="G74" s="8">
        <v>2</v>
      </c>
      <c r="H74" s="24">
        <v>1</v>
      </c>
      <c r="I74" s="25">
        <v>3</v>
      </c>
      <c r="J74" s="55">
        <f t="shared" si="2"/>
        <v>3</v>
      </c>
      <c r="K74" s="8"/>
      <c r="L74" s="8"/>
      <c r="M74" s="8"/>
      <c r="N74" s="8">
        <v>1</v>
      </c>
      <c r="O74" s="66" t="s">
        <v>20</v>
      </c>
      <c r="P74" s="2" t="s">
        <v>37</v>
      </c>
      <c r="Q74" s="46"/>
      <c r="R74" s="14" t="s">
        <v>114</v>
      </c>
      <c r="S74" s="27">
        <v>46168</v>
      </c>
      <c r="T74" t="s">
        <v>5</v>
      </c>
      <c r="U74" s="2" t="s">
        <v>37</v>
      </c>
    </row>
    <row r="75" spans="1:21" ht="30" customHeight="1" x14ac:dyDescent="0.3">
      <c r="A75" s="54">
        <f t="shared" si="3"/>
        <v>74</v>
      </c>
      <c r="B75" s="153" t="s">
        <v>80</v>
      </c>
      <c r="C75" s="13" t="s">
        <v>181</v>
      </c>
      <c r="D75" s="8"/>
      <c r="E75" s="18">
        <v>1</v>
      </c>
      <c r="F75" s="8"/>
      <c r="G75" s="25"/>
      <c r="H75" s="24">
        <v>1</v>
      </c>
      <c r="I75" s="25">
        <v>4</v>
      </c>
      <c r="J75" s="55">
        <f t="shared" si="2"/>
        <v>4</v>
      </c>
      <c r="K75" s="8">
        <v>1</v>
      </c>
      <c r="L75" s="8"/>
      <c r="M75" s="8"/>
      <c r="N75" s="8">
        <v>1</v>
      </c>
      <c r="O75" s="45" t="s">
        <v>17</v>
      </c>
      <c r="P75" s="2" t="s">
        <v>37</v>
      </c>
      <c r="Q75" s="46"/>
      <c r="R75" s="116" t="s">
        <v>58</v>
      </c>
      <c r="S75" s="27">
        <v>46168</v>
      </c>
      <c r="T75" t="s">
        <v>5</v>
      </c>
      <c r="U75" s="2" t="s">
        <v>37</v>
      </c>
    </row>
    <row r="76" spans="1:21" x14ac:dyDescent="0.3">
      <c r="A76" s="54">
        <f t="shared" si="3"/>
        <v>75</v>
      </c>
      <c r="B76" s="153" t="s">
        <v>72</v>
      </c>
      <c r="C76" s="14" t="s">
        <v>182</v>
      </c>
      <c r="D76" s="8"/>
      <c r="E76" s="18">
        <v>1</v>
      </c>
      <c r="F76" s="8"/>
      <c r="G76" s="25"/>
      <c r="H76" s="24">
        <v>1</v>
      </c>
      <c r="I76" s="25">
        <v>3</v>
      </c>
      <c r="J76" s="55">
        <f t="shared" si="2"/>
        <v>3</v>
      </c>
      <c r="K76" s="8"/>
      <c r="L76" s="8"/>
      <c r="M76" s="8">
        <v>1</v>
      </c>
      <c r="N76" s="25"/>
      <c r="O76" s="45" t="s">
        <v>17</v>
      </c>
      <c r="P76" s="12" t="s">
        <v>37</v>
      </c>
      <c r="Q76" s="46"/>
      <c r="R76" s="116" t="s">
        <v>53</v>
      </c>
      <c r="S76" s="27">
        <v>46168</v>
      </c>
      <c r="T76" t="s">
        <v>5</v>
      </c>
      <c r="U76" s="12" t="s">
        <v>37</v>
      </c>
    </row>
    <row r="77" spans="1:21" x14ac:dyDescent="0.3">
      <c r="A77" s="54">
        <f t="shared" si="3"/>
        <v>76</v>
      </c>
      <c r="B77" s="153" t="s">
        <v>76</v>
      </c>
      <c r="C77" s="14" t="s">
        <v>183</v>
      </c>
      <c r="D77" s="8"/>
      <c r="E77" s="18">
        <v>1</v>
      </c>
      <c r="F77" s="8"/>
      <c r="G77" s="25"/>
      <c r="H77" s="24">
        <v>1</v>
      </c>
      <c r="I77" s="25">
        <v>3</v>
      </c>
      <c r="J77" s="55">
        <f t="shared" si="2"/>
        <v>3</v>
      </c>
      <c r="K77" s="8"/>
      <c r="L77" s="8"/>
      <c r="M77" s="8">
        <v>1</v>
      </c>
      <c r="N77" s="25"/>
      <c r="O77" s="66" t="s">
        <v>42</v>
      </c>
      <c r="P77" s="12" t="s">
        <v>37</v>
      </c>
      <c r="Q77" s="46"/>
      <c r="R77" s="116" t="s">
        <v>53</v>
      </c>
      <c r="S77" s="27">
        <v>46168</v>
      </c>
      <c r="T77" t="s">
        <v>5</v>
      </c>
      <c r="U77" s="12" t="s">
        <v>37</v>
      </c>
    </row>
    <row r="78" spans="1:21" x14ac:dyDescent="0.3">
      <c r="A78" s="54">
        <f t="shared" si="3"/>
        <v>77</v>
      </c>
      <c r="B78" s="153" t="s">
        <v>74</v>
      </c>
      <c r="C78" s="14" t="s">
        <v>184</v>
      </c>
      <c r="D78" s="8"/>
      <c r="E78" s="18">
        <v>1</v>
      </c>
      <c r="F78" s="8">
        <v>2</v>
      </c>
      <c r="G78" s="25"/>
      <c r="H78" s="24">
        <v>1</v>
      </c>
      <c r="I78" s="25">
        <v>4</v>
      </c>
      <c r="J78" s="55">
        <f t="shared" si="2"/>
        <v>4</v>
      </c>
      <c r="K78" s="8">
        <v>1</v>
      </c>
      <c r="L78" s="8"/>
      <c r="M78" s="8"/>
      <c r="N78" s="8">
        <v>1</v>
      </c>
      <c r="O78" s="66" t="s">
        <v>18</v>
      </c>
      <c r="P78" s="2" t="s">
        <v>37</v>
      </c>
      <c r="Q78" s="46"/>
      <c r="R78" s="116" t="s">
        <v>56</v>
      </c>
      <c r="S78" s="27">
        <v>46168</v>
      </c>
      <c r="T78" t="s">
        <v>5</v>
      </c>
      <c r="U78" s="2" t="s">
        <v>37</v>
      </c>
    </row>
    <row r="79" spans="1:21" x14ac:dyDescent="0.3">
      <c r="A79" s="54">
        <f t="shared" si="3"/>
        <v>78</v>
      </c>
      <c r="B79" s="153" t="s">
        <v>73</v>
      </c>
      <c r="C79" s="13" t="s">
        <v>185</v>
      </c>
      <c r="D79" s="8"/>
      <c r="E79" s="18">
        <v>1</v>
      </c>
      <c r="F79" s="8">
        <v>4</v>
      </c>
      <c r="G79" s="8">
        <v>4</v>
      </c>
      <c r="H79" s="24">
        <v>1</v>
      </c>
      <c r="I79" s="25">
        <v>3</v>
      </c>
      <c r="J79" s="55">
        <f t="shared" si="2"/>
        <v>3</v>
      </c>
      <c r="K79" s="8"/>
      <c r="L79" s="8"/>
      <c r="M79" s="8"/>
      <c r="N79" s="8">
        <v>1</v>
      </c>
      <c r="O79" s="66" t="s">
        <v>12</v>
      </c>
      <c r="P79" s="2" t="s">
        <v>37</v>
      </c>
      <c r="Q79" s="46"/>
      <c r="R79" s="116" t="s">
        <v>53</v>
      </c>
      <c r="S79" s="27">
        <v>46168</v>
      </c>
      <c r="T79" t="s">
        <v>5</v>
      </c>
      <c r="U79" s="2" t="s">
        <v>37</v>
      </c>
    </row>
    <row r="80" spans="1:21" x14ac:dyDescent="0.3">
      <c r="A80" s="54">
        <f t="shared" si="3"/>
        <v>79</v>
      </c>
      <c r="B80" s="153" t="s">
        <v>77</v>
      </c>
      <c r="C80" s="13" t="s">
        <v>186</v>
      </c>
      <c r="D80" s="8"/>
      <c r="E80" s="18">
        <v>1</v>
      </c>
      <c r="F80" s="8"/>
      <c r="G80" s="25"/>
      <c r="H80" s="24">
        <v>1</v>
      </c>
      <c r="I80" s="25">
        <v>3</v>
      </c>
      <c r="J80" s="55">
        <f t="shared" si="2"/>
        <v>3</v>
      </c>
      <c r="K80" s="8"/>
      <c r="L80" s="8"/>
      <c r="M80" s="8">
        <v>1</v>
      </c>
      <c r="N80" s="25"/>
      <c r="O80" s="66" t="s">
        <v>12</v>
      </c>
      <c r="P80" s="2" t="s">
        <v>37</v>
      </c>
      <c r="Q80" s="46"/>
      <c r="R80" s="116" t="s">
        <v>53</v>
      </c>
      <c r="S80" s="27">
        <v>46168</v>
      </c>
      <c r="T80" t="s">
        <v>5</v>
      </c>
      <c r="U80" s="2" t="s">
        <v>37</v>
      </c>
    </row>
    <row r="81" spans="1:21" x14ac:dyDescent="0.3">
      <c r="A81" s="54">
        <f t="shared" si="3"/>
        <v>80</v>
      </c>
      <c r="B81" s="153" t="s">
        <v>74</v>
      </c>
      <c r="C81" s="14" t="s">
        <v>187</v>
      </c>
      <c r="D81" s="8"/>
      <c r="E81" s="18">
        <v>1</v>
      </c>
      <c r="F81" s="8"/>
      <c r="G81" s="25"/>
      <c r="H81" s="24">
        <v>1</v>
      </c>
      <c r="I81" s="25">
        <v>3</v>
      </c>
      <c r="J81" s="55">
        <f t="shared" si="2"/>
        <v>3</v>
      </c>
      <c r="K81" s="8"/>
      <c r="L81" s="8"/>
      <c r="M81" s="8">
        <v>1</v>
      </c>
      <c r="N81" s="25"/>
      <c r="O81" s="66" t="s">
        <v>12</v>
      </c>
      <c r="P81" s="2" t="s">
        <v>37</v>
      </c>
      <c r="Q81" s="46"/>
      <c r="R81" s="116" t="s">
        <v>53</v>
      </c>
      <c r="S81" s="27">
        <v>46168</v>
      </c>
      <c r="T81" t="s">
        <v>5</v>
      </c>
      <c r="U81" s="2" t="s">
        <v>37</v>
      </c>
    </row>
    <row r="82" spans="1:21" ht="30" customHeight="1" x14ac:dyDescent="0.3">
      <c r="A82" s="54">
        <f t="shared" si="3"/>
        <v>81</v>
      </c>
      <c r="B82" s="153" t="s">
        <v>75</v>
      </c>
      <c r="C82" s="14" t="s">
        <v>188</v>
      </c>
      <c r="D82" s="8"/>
      <c r="E82" s="18">
        <v>1</v>
      </c>
      <c r="F82" s="8">
        <v>4</v>
      </c>
      <c r="G82" s="8">
        <v>2</v>
      </c>
      <c r="H82" s="24">
        <v>1</v>
      </c>
      <c r="I82" s="25">
        <v>3</v>
      </c>
      <c r="J82" s="55">
        <f t="shared" si="2"/>
        <v>3</v>
      </c>
      <c r="K82" s="8"/>
      <c r="L82" s="8"/>
      <c r="M82" s="8"/>
      <c r="N82" s="8">
        <v>1</v>
      </c>
      <c r="O82" s="45" t="s">
        <v>17</v>
      </c>
      <c r="P82" s="2" t="s">
        <v>37</v>
      </c>
      <c r="Q82" s="46"/>
      <c r="R82" s="14" t="s">
        <v>114</v>
      </c>
      <c r="S82" s="27">
        <v>46168</v>
      </c>
      <c r="T82" t="s">
        <v>5</v>
      </c>
      <c r="U82" s="2" t="s">
        <v>37</v>
      </c>
    </row>
    <row r="83" spans="1:21" x14ac:dyDescent="0.3">
      <c r="A83" s="54">
        <f t="shared" si="3"/>
        <v>82</v>
      </c>
      <c r="B83" s="153" t="s">
        <v>77</v>
      </c>
      <c r="C83" s="13" t="s">
        <v>189</v>
      </c>
      <c r="D83" s="8"/>
      <c r="E83" s="18">
        <v>1</v>
      </c>
      <c r="F83" s="8">
        <v>12</v>
      </c>
      <c r="G83" s="8">
        <v>2</v>
      </c>
      <c r="H83" s="24">
        <v>1</v>
      </c>
      <c r="I83" s="25">
        <v>3</v>
      </c>
      <c r="J83" s="55">
        <f t="shared" si="2"/>
        <v>3</v>
      </c>
      <c r="K83" s="8"/>
      <c r="L83" s="8"/>
      <c r="M83" s="8"/>
      <c r="N83" s="8">
        <v>1</v>
      </c>
      <c r="O83" s="66" t="s">
        <v>12</v>
      </c>
      <c r="P83" s="2" t="s">
        <v>37</v>
      </c>
      <c r="Q83" s="46"/>
      <c r="R83" s="116" t="s">
        <v>53</v>
      </c>
      <c r="S83" s="27">
        <v>46168</v>
      </c>
      <c r="T83" t="s">
        <v>5</v>
      </c>
      <c r="U83" s="2" t="s">
        <v>37</v>
      </c>
    </row>
    <row r="84" spans="1:21" x14ac:dyDescent="0.3">
      <c r="A84" s="54">
        <f t="shared" si="3"/>
        <v>83</v>
      </c>
      <c r="B84" s="153" t="s">
        <v>72</v>
      </c>
      <c r="C84" s="14" t="s">
        <v>190</v>
      </c>
      <c r="D84" s="8"/>
      <c r="E84" s="18">
        <v>1</v>
      </c>
      <c r="F84" s="8"/>
      <c r="G84" s="25"/>
      <c r="H84" s="24">
        <v>1</v>
      </c>
      <c r="I84" s="25">
        <v>2</v>
      </c>
      <c r="J84" s="55">
        <f t="shared" si="2"/>
        <v>2</v>
      </c>
      <c r="K84" s="8"/>
      <c r="L84" s="8"/>
      <c r="M84" s="8">
        <v>1</v>
      </c>
      <c r="N84" s="25"/>
      <c r="O84" s="66" t="s">
        <v>12</v>
      </c>
      <c r="P84" s="2" t="s">
        <v>37</v>
      </c>
      <c r="Q84" s="46"/>
      <c r="R84" s="116" t="s">
        <v>53</v>
      </c>
      <c r="S84" s="27">
        <v>46168</v>
      </c>
      <c r="T84" t="s">
        <v>5</v>
      </c>
      <c r="U84" s="2" t="s">
        <v>37</v>
      </c>
    </row>
    <row r="85" spans="1:21" x14ac:dyDescent="0.3">
      <c r="A85" s="54">
        <f t="shared" si="3"/>
        <v>84</v>
      </c>
      <c r="B85" s="153" t="s">
        <v>82</v>
      </c>
      <c r="C85" s="14" t="s">
        <v>191</v>
      </c>
      <c r="D85" s="8"/>
      <c r="E85" s="18">
        <v>1</v>
      </c>
      <c r="F85" s="8">
        <v>12</v>
      </c>
      <c r="G85" s="8">
        <v>1</v>
      </c>
      <c r="H85" s="24">
        <v>1</v>
      </c>
      <c r="I85" s="25">
        <v>4</v>
      </c>
      <c r="J85" s="55">
        <f t="shared" si="2"/>
        <v>4</v>
      </c>
      <c r="K85" s="8">
        <v>1</v>
      </c>
      <c r="L85" s="8"/>
      <c r="M85" s="8"/>
      <c r="N85" s="8">
        <v>1</v>
      </c>
      <c r="O85" s="66" t="s">
        <v>12</v>
      </c>
      <c r="P85" s="2" t="s">
        <v>37</v>
      </c>
      <c r="Q85" s="46"/>
      <c r="R85" s="116" t="s">
        <v>53</v>
      </c>
      <c r="S85" s="27">
        <v>46168</v>
      </c>
      <c r="T85" t="s">
        <v>5</v>
      </c>
      <c r="U85" s="2" t="s">
        <v>37</v>
      </c>
    </row>
    <row r="86" spans="1:21" ht="30" customHeight="1" x14ac:dyDescent="0.3">
      <c r="A86" s="54">
        <f t="shared" si="3"/>
        <v>85</v>
      </c>
      <c r="B86" s="153" t="s">
        <v>78</v>
      </c>
      <c r="C86" s="13" t="s">
        <v>192</v>
      </c>
      <c r="D86" s="8"/>
      <c r="E86" s="18">
        <v>1</v>
      </c>
      <c r="F86" s="8"/>
      <c r="G86" s="25"/>
      <c r="H86" s="24">
        <v>1</v>
      </c>
      <c r="I86" s="25">
        <v>2</v>
      </c>
      <c r="J86" s="55">
        <f t="shared" si="2"/>
        <v>2</v>
      </c>
      <c r="K86" s="8"/>
      <c r="L86" s="8"/>
      <c r="M86" s="8">
        <v>1</v>
      </c>
      <c r="N86" s="25"/>
      <c r="O86" s="66" t="s">
        <v>18</v>
      </c>
      <c r="P86" s="2" t="s">
        <v>37</v>
      </c>
      <c r="Q86" s="46"/>
      <c r="R86" s="116" t="s">
        <v>58</v>
      </c>
      <c r="S86" s="27">
        <v>46168</v>
      </c>
      <c r="T86" t="s">
        <v>5</v>
      </c>
      <c r="U86" s="2" t="s">
        <v>37</v>
      </c>
    </row>
    <row r="87" spans="1:21" x14ac:dyDescent="0.3">
      <c r="A87" s="54">
        <f t="shared" si="3"/>
        <v>86</v>
      </c>
      <c r="B87" s="153" t="s">
        <v>78</v>
      </c>
      <c r="C87" s="13" t="s">
        <v>193</v>
      </c>
      <c r="D87" s="8"/>
      <c r="E87" s="18">
        <v>1</v>
      </c>
      <c r="F87" s="8">
        <v>15</v>
      </c>
      <c r="G87" s="8">
        <v>2</v>
      </c>
      <c r="H87" s="24">
        <v>1</v>
      </c>
      <c r="I87" s="25">
        <v>3</v>
      </c>
      <c r="J87" s="55">
        <f t="shared" si="2"/>
        <v>3</v>
      </c>
      <c r="K87" s="8"/>
      <c r="L87" s="8"/>
      <c r="M87" s="8"/>
      <c r="N87" s="8">
        <v>1</v>
      </c>
      <c r="O87" s="66" t="s">
        <v>13</v>
      </c>
      <c r="P87" s="2" t="s">
        <v>37</v>
      </c>
      <c r="Q87" s="46"/>
      <c r="R87" s="116" t="s">
        <v>58</v>
      </c>
      <c r="S87" s="27">
        <v>46168</v>
      </c>
      <c r="T87" t="s">
        <v>5</v>
      </c>
      <c r="U87" s="2" t="s">
        <v>37</v>
      </c>
    </row>
    <row r="88" spans="1:21" ht="30" customHeight="1" x14ac:dyDescent="0.3">
      <c r="A88" s="54">
        <f t="shared" si="3"/>
        <v>87</v>
      </c>
      <c r="B88" s="153" t="s">
        <v>78</v>
      </c>
      <c r="C88" s="13" t="s">
        <v>194</v>
      </c>
      <c r="D88" s="8"/>
      <c r="E88" s="18">
        <v>1</v>
      </c>
      <c r="F88" s="8">
        <v>1</v>
      </c>
      <c r="G88" s="8">
        <v>20</v>
      </c>
      <c r="H88" s="24">
        <v>1</v>
      </c>
      <c r="I88" s="25">
        <v>3</v>
      </c>
      <c r="J88" s="55">
        <f t="shared" si="2"/>
        <v>3</v>
      </c>
      <c r="K88" s="8"/>
      <c r="L88" s="8"/>
      <c r="M88" s="8"/>
      <c r="N88" s="8">
        <v>1</v>
      </c>
      <c r="O88" s="66" t="s">
        <v>12</v>
      </c>
      <c r="P88" s="2" t="s">
        <v>37</v>
      </c>
      <c r="Q88" s="46"/>
      <c r="R88" s="116" t="s">
        <v>58</v>
      </c>
      <c r="S88" s="27">
        <v>46168</v>
      </c>
      <c r="T88" t="s">
        <v>5</v>
      </c>
      <c r="U88" s="2" t="s">
        <v>37</v>
      </c>
    </row>
    <row r="89" spans="1:21" x14ac:dyDescent="0.3">
      <c r="A89" s="54">
        <f t="shared" si="3"/>
        <v>88</v>
      </c>
      <c r="B89" s="153" t="s">
        <v>72</v>
      </c>
      <c r="C89" s="51" t="s">
        <v>195</v>
      </c>
      <c r="D89" s="8"/>
      <c r="E89" s="8">
        <v>1</v>
      </c>
      <c r="F89" s="15">
        <v>7</v>
      </c>
      <c r="G89" s="8">
        <v>2</v>
      </c>
      <c r="H89" s="24">
        <v>1</v>
      </c>
      <c r="I89" s="8">
        <v>3</v>
      </c>
      <c r="J89" s="55">
        <f t="shared" si="2"/>
        <v>3</v>
      </c>
      <c r="K89" s="8"/>
      <c r="L89" s="8"/>
      <c r="M89" s="8"/>
      <c r="N89" s="8">
        <v>1</v>
      </c>
      <c r="O89" s="117" t="s">
        <v>9</v>
      </c>
      <c r="P89" s="2" t="s">
        <v>37</v>
      </c>
      <c r="Q89" s="8"/>
      <c r="R89" s="116" t="s">
        <v>58</v>
      </c>
      <c r="S89" s="27">
        <v>46169</v>
      </c>
      <c r="T89" t="s">
        <v>5</v>
      </c>
      <c r="U89" s="2" t="s">
        <v>37</v>
      </c>
    </row>
    <row r="90" spans="1:21" x14ac:dyDescent="0.3">
      <c r="A90" s="54">
        <f t="shared" si="3"/>
        <v>89</v>
      </c>
      <c r="B90" s="153" t="s">
        <v>73</v>
      </c>
      <c r="C90" s="17" t="s">
        <v>196</v>
      </c>
      <c r="D90" s="8"/>
      <c r="E90" s="8"/>
      <c r="F90" s="8"/>
      <c r="G90" s="8"/>
      <c r="H90" s="69">
        <v>1</v>
      </c>
      <c r="I90" s="8">
        <v>2</v>
      </c>
      <c r="J90" s="55">
        <f t="shared" si="2"/>
        <v>2</v>
      </c>
      <c r="K90" s="8"/>
      <c r="L90" s="8"/>
      <c r="M90" s="8">
        <v>1</v>
      </c>
      <c r="N90" s="25"/>
      <c r="O90" s="45" t="s">
        <v>16</v>
      </c>
      <c r="P90" s="2" t="s">
        <v>37</v>
      </c>
      <c r="Q90" s="8"/>
      <c r="R90" s="116" t="s">
        <v>58</v>
      </c>
      <c r="S90" s="27">
        <v>46169</v>
      </c>
      <c r="T90" t="s">
        <v>5</v>
      </c>
      <c r="U90" s="2" t="s">
        <v>37</v>
      </c>
    </row>
    <row r="91" spans="1:21" x14ac:dyDescent="0.3">
      <c r="A91" s="54">
        <f t="shared" si="3"/>
        <v>90</v>
      </c>
      <c r="B91" s="153" t="s">
        <v>73</v>
      </c>
      <c r="C91" s="17" t="s">
        <v>197</v>
      </c>
      <c r="D91" s="8"/>
      <c r="E91" s="8"/>
      <c r="F91" s="8"/>
      <c r="G91" s="8"/>
      <c r="H91" s="69">
        <v>1</v>
      </c>
      <c r="I91" s="8">
        <v>3</v>
      </c>
      <c r="J91" s="55">
        <f t="shared" si="2"/>
        <v>3</v>
      </c>
      <c r="K91" s="8"/>
      <c r="L91" s="8"/>
      <c r="M91" s="8">
        <v>1</v>
      </c>
      <c r="N91" s="8"/>
      <c r="O91" s="117" t="s">
        <v>9</v>
      </c>
      <c r="P91" s="2" t="s">
        <v>37</v>
      </c>
      <c r="Q91" s="8"/>
      <c r="R91" s="116" t="s">
        <v>58</v>
      </c>
      <c r="S91" s="27">
        <v>46169</v>
      </c>
      <c r="T91" t="s">
        <v>5</v>
      </c>
      <c r="U91" s="2" t="s">
        <v>37</v>
      </c>
    </row>
    <row r="92" spans="1:21" x14ac:dyDescent="0.3">
      <c r="A92" s="54">
        <f t="shared" si="3"/>
        <v>91</v>
      </c>
      <c r="B92" s="153" t="s">
        <v>79</v>
      </c>
      <c r="C92" s="52" t="s">
        <v>198</v>
      </c>
      <c r="D92" s="8"/>
      <c r="E92" s="8">
        <v>1</v>
      </c>
      <c r="F92" s="8">
        <v>39</v>
      </c>
      <c r="G92" s="8">
        <v>30</v>
      </c>
      <c r="H92" s="8">
        <v>1</v>
      </c>
      <c r="I92" s="8">
        <v>3</v>
      </c>
      <c r="J92" s="55">
        <f t="shared" si="2"/>
        <v>3</v>
      </c>
      <c r="K92" s="8"/>
      <c r="L92" s="8"/>
      <c r="M92" s="8"/>
      <c r="N92" s="8">
        <v>1</v>
      </c>
      <c r="O92" s="45" t="s">
        <v>17</v>
      </c>
      <c r="P92" s="2" t="s">
        <v>37</v>
      </c>
      <c r="Q92" s="8"/>
      <c r="R92" s="116" t="s">
        <v>53</v>
      </c>
      <c r="S92" s="27">
        <v>46169</v>
      </c>
      <c r="T92" t="s">
        <v>5</v>
      </c>
      <c r="U92" s="2" t="s">
        <v>37</v>
      </c>
    </row>
    <row r="93" spans="1:21" x14ac:dyDescent="0.3">
      <c r="A93" s="54">
        <f t="shared" si="3"/>
        <v>92</v>
      </c>
      <c r="B93" s="153" t="s">
        <v>72</v>
      </c>
      <c r="C93" s="52" t="s">
        <v>199</v>
      </c>
      <c r="D93" s="8"/>
      <c r="E93" s="8">
        <v>1</v>
      </c>
      <c r="F93" s="8">
        <v>0</v>
      </c>
      <c r="G93" s="8">
        <v>0</v>
      </c>
      <c r="H93" s="8">
        <v>1</v>
      </c>
      <c r="I93" s="8">
        <v>3</v>
      </c>
      <c r="J93" s="55">
        <f t="shared" si="2"/>
        <v>3</v>
      </c>
      <c r="K93" s="8"/>
      <c r="L93" s="8"/>
      <c r="M93" s="8"/>
      <c r="N93" s="8">
        <v>1</v>
      </c>
      <c r="O93" s="8" t="s">
        <v>12</v>
      </c>
      <c r="P93" s="2" t="s">
        <v>37</v>
      </c>
      <c r="Q93" s="8"/>
      <c r="R93" s="116" t="s">
        <v>53</v>
      </c>
      <c r="S93" s="27">
        <v>46169</v>
      </c>
      <c r="T93" t="s">
        <v>5</v>
      </c>
      <c r="U93" s="2" t="s">
        <v>37</v>
      </c>
    </row>
    <row r="94" spans="1:21" x14ac:dyDescent="0.3">
      <c r="A94" s="54">
        <f t="shared" si="3"/>
        <v>93</v>
      </c>
      <c r="B94" s="153" t="s">
        <v>72</v>
      </c>
      <c r="C94" s="52" t="s">
        <v>200</v>
      </c>
      <c r="D94" s="8"/>
      <c r="E94" s="8">
        <v>1</v>
      </c>
      <c r="F94" s="8"/>
      <c r="G94" s="8"/>
      <c r="H94" s="8">
        <v>1</v>
      </c>
      <c r="I94" s="8">
        <v>3</v>
      </c>
      <c r="J94" s="55">
        <f t="shared" si="2"/>
        <v>3</v>
      </c>
      <c r="K94" s="8"/>
      <c r="L94" s="8"/>
      <c r="M94" s="8">
        <v>1</v>
      </c>
      <c r="N94" s="8"/>
      <c r="O94" s="8" t="s">
        <v>12</v>
      </c>
      <c r="P94" s="2" t="s">
        <v>37</v>
      </c>
      <c r="Q94" s="8"/>
      <c r="R94" s="116" t="s">
        <v>53</v>
      </c>
      <c r="S94" s="27">
        <v>46169</v>
      </c>
      <c r="T94" t="s">
        <v>5</v>
      </c>
      <c r="U94" s="2" t="s">
        <v>37</v>
      </c>
    </row>
    <row r="95" spans="1:21" x14ac:dyDescent="0.3">
      <c r="A95" s="54">
        <f t="shared" si="3"/>
        <v>94</v>
      </c>
      <c r="B95" s="153" t="s">
        <v>85</v>
      </c>
      <c r="C95" s="17" t="s">
        <v>201</v>
      </c>
      <c r="D95" s="8"/>
      <c r="E95" s="8">
        <v>1</v>
      </c>
      <c r="F95" s="8">
        <v>8</v>
      </c>
      <c r="G95" s="8">
        <v>1</v>
      </c>
      <c r="H95" s="8">
        <v>1</v>
      </c>
      <c r="I95" s="8">
        <v>1</v>
      </c>
      <c r="J95" s="55">
        <f t="shared" si="2"/>
        <v>1</v>
      </c>
      <c r="K95" s="8"/>
      <c r="L95" s="8"/>
      <c r="M95" s="8"/>
      <c r="N95" s="8">
        <v>1</v>
      </c>
      <c r="O95" s="45" t="s">
        <v>17</v>
      </c>
      <c r="P95" s="2" t="s">
        <v>37</v>
      </c>
      <c r="Q95" s="8"/>
      <c r="R95" s="15" t="s">
        <v>114</v>
      </c>
      <c r="S95" s="27">
        <v>46169</v>
      </c>
      <c r="T95" t="s">
        <v>5</v>
      </c>
      <c r="U95" s="2" t="s">
        <v>37</v>
      </c>
    </row>
    <row r="96" spans="1:21" x14ac:dyDescent="0.3">
      <c r="A96" s="54">
        <f t="shared" si="3"/>
        <v>95</v>
      </c>
      <c r="B96" s="153" t="s">
        <v>73</v>
      </c>
      <c r="C96" s="17" t="s">
        <v>202</v>
      </c>
      <c r="D96" s="8"/>
      <c r="E96" s="8">
        <v>1</v>
      </c>
      <c r="F96" s="8">
        <v>15</v>
      </c>
      <c r="G96" s="8">
        <v>1</v>
      </c>
      <c r="H96" s="8">
        <v>1</v>
      </c>
      <c r="I96" s="8">
        <v>1</v>
      </c>
      <c r="J96" s="55">
        <f t="shared" si="2"/>
        <v>1</v>
      </c>
      <c r="K96" s="8"/>
      <c r="L96" s="8">
        <v>1</v>
      </c>
      <c r="M96" s="8"/>
      <c r="N96" s="8">
        <v>1</v>
      </c>
      <c r="O96" s="45" t="s">
        <v>17</v>
      </c>
      <c r="P96" s="2" t="s">
        <v>37</v>
      </c>
      <c r="Q96" s="8"/>
      <c r="R96" s="16" t="s">
        <v>114</v>
      </c>
      <c r="S96" s="27">
        <v>46169</v>
      </c>
      <c r="T96" t="s">
        <v>5</v>
      </c>
      <c r="U96" s="2" t="s">
        <v>37</v>
      </c>
    </row>
    <row r="97" spans="1:21" x14ac:dyDescent="0.3">
      <c r="A97" s="54">
        <f t="shared" si="3"/>
        <v>96</v>
      </c>
      <c r="B97" s="153" t="s">
        <v>77</v>
      </c>
      <c r="C97" s="17" t="s">
        <v>203</v>
      </c>
      <c r="D97" s="8"/>
      <c r="E97" s="8">
        <v>1</v>
      </c>
      <c r="F97" s="8"/>
      <c r="G97" s="8"/>
      <c r="H97" s="8">
        <v>1</v>
      </c>
      <c r="I97" s="8">
        <v>4</v>
      </c>
      <c r="J97" s="55">
        <f t="shared" si="2"/>
        <v>4</v>
      </c>
      <c r="K97" s="8">
        <v>1</v>
      </c>
      <c r="L97" s="8"/>
      <c r="M97" s="8">
        <v>1</v>
      </c>
      <c r="N97" s="25"/>
      <c r="O97" s="45" t="s">
        <v>17</v>
      </c>
      <c r="P97" s="2" t="s">
        <v>37</v>
      </c>
      <c r="Q97" s="8"/>
      <c r="R97" s="16" t="s">
        <v>114</v>
      </c>
      <c r="S97" s="27">
        <v>46169</v>
      </c>
      <c r="T97" t="s">
        <v>5</v>
      </c>
      <c r="U97" s="2" t="s">
        <v>37</v>
      </c>
    </row>
    <row r="98" spans="1:21" x14ac:dyDescent="0.3">
      <c r="A98" s="54">
        <f t="shared" si="3"/>
        <v>97</v>
      </c>
      <c r="B98" s="153" t="s">
        <v>74</v>
      </c>
      <c r="C98" s="52" t="s">
        <v>204</v>
      </c>
      <c r="D98" s="8"/>
      <c r="E98" s="8">
        <v>1</v>
      </c>
      <c r="F98" s="8"/>
      <c r="G98" s="8"/>
      <c r="H98" s="8">
        <v>1</v>
      </c>
      <c r="I98" s="8">
        <v>3</v>
      </c>
      <c r="J98" s="55">
        <f t="shared" si="2"/>
        <v>3</v>
      </c>
      <c r="K98" s="8"/>
      <c r="L98" s="8"/>
      <c r="M98" s="8">
        <v>1</v>
      </c>
      <c r="N98" s="25"/>
      <c r="O98" s="45" t="s">
        <v>38</v>
      </c>
      <c r="P98" s="2" t="s">
        <v>37</v>
      </c>
      <c r="Q98" s="8"/>
      <c r="R98" t="s">
        <v>59</v>
      </c>
      <c r="S98" s="27">
        <v>46169</v>
      </c>
      <c r="T98" t="s">
        <v>5</v>
      </c>
      <c r="U98" s="2" t="s">
        <v>37</v>
      </c>
    </row>
    <row r="99" spans="1:21" x14ac:dyDescent="0.3">
      <c r="A99" s="54">
        <f t="shared" si="3"/>
        <v>98</v>
      </c>
      <c r="B99" s="153" t="s">
        <v>76</v>
      </c>
      <c r="C99" s="17" t="s">
        <v>205</v>
      </c>
      <c r="D99" s="8"/>
      <c r="E99" s="8">
        <v>1</v>
      </c>
      <c r="F99" s="8">
        <v>10</v>
      </c>
      <c r="G99" s="8">
        <v>2</v>
      </c>
      <c r="H99" s="8">
        <v>1</v>
      </c>
      <c r="I99" s="8">
        <v>1</v>
      </c>
      <c r="J99" s="55">
        <f t="shared" si="2"/>
        <v>1</v>
      </c>
      <c r="K99" s="8"/>
      <c r="L99" s="8"/>
      <c r="M99" s="8"/>
      <c r="N99" s="8">
        <v>1</v>
      </c>
      <c r="O99" s="45" t="s">
        <v>16</v>
      </c>
      <c r="P99" s="93" t="s">
        <v>37</v>
      </c>
      <c r="Q99" s="8"/>
      <c r="R99" s="116" t="s">
        <v>56</v>
      </c>
      <c r="S99" s="27">
        <v>46169</v>
      </c>
      <c r="T99" t="s">
        <v>5</v>
      </c>
      <c r="U99" s="2" t="s">
        <v>37</v>
      </c>
    </row>
    <row r="100" spans="1:21" x14ac:dyDescent="0.3">
      <c r="A100" s="54">
        <f t="shared" si="3"/>
        <v>99</v>
      </c>
      <c r="B100" s="153" t="s">
        <v>78</v>
      </c>
      <c r="C100" s="17" t="s">
        <v>206</v>
      </c>
      <c r="D100" s="8"/>
      <c r="E100" s="8">
        <v>1</v>
      </c>
      <c r="F100" s="8"/>
      <c r="G100" s="8"/>
      <c r="H100" s="8">
        <v>1</v>
      </c>
      <c r="I100" s="8">
        <v>4</v>
      </c>
      <c r="J100" s="55">
        <f t="shared" si="2"/>
        <v>4</v>
      </c>
      <c r="K100" s="8">
        <v>1</v>
      </c>
      <c r="L100" s="8"/>
      <c r="M100" s="8">
        <v>1</v>
      </c>
      <c r="N100" s="8"/>
      <c r="O100" s="117" t="s">
        <v>9</v>
      </c>
      <c r="P100" s="2" t="s">
        <v>37</v>
      </c>
      <c r="Q100" s="8"/>
      <c r="R100" s="116" t="s">
        <v>56</v>
      </c>
      <c r="S100" s="27">
        <v>46169</v>
      </c>
      <c r="T100" t="s">
        <v>5</v>
      </c>
      <c r="U100" s="2" t="s">
        <v>37</v>
      </c>
    </row>
    <row r="101" spans="1:21" x14ac:dyDescent="0.3">
      <c r="A101" s="54">
        <f t="shared" si="3"/>
        <v>100</v>
      </c>
      <c r="B101" s="153" t="s">
        <v>74</v>
      </c>
      <c r="C101" s="17" t="s">
        <v>207</v>
      </c>
      <c r="D101" s="8"/>
      <c r="E101" s="8">
        <v>1</v>
      </c>
      <c r="F101" s="8">
        <v>10</v>
      </c>
      <c r="G101" s="8">
        <v>1</v>
      </c>
      <c r="H101" s="8">
        <v>1</v>
      </c>
      <c r="I101" s="8">
        <v>3</v>
      </c>
      <c r="J101" s="55">
        <f t="shared" si="2"/>
        <v>3</v>
      </c>
      <c r="K101" s="8"/>
      <c r="L101" s="8"/>
      <c r="M101" s="8"/>
      <c r="N101" s="8">
        <v>1</v>
      </c>
      <c r="O101" s="117" t="s">
        <v>9</v>
      </c>
      <c r="P101" s="2" t="s">
        <v>37</v>
      </c>
      <c r="Q101" s="8"/>
      <c r="R101" s="116" t="s">
        <v>56</v>
      </c>
      <c r="S101" s="27">
        <v>46169</v>
      </c>
      <c r="T101" t="s">
        <v>5</v>
      </c>
      <c r="U101" s="2" t="s">
        <v>37</v>
      </c>
    </row>
    <row r="102" spans="1:21" x14ac:dyDescent="0.3">
      <c r="A102" s="54">
        <f t="shared" si="3"/>
        <v>101</v>
      </c>
      <c r="B102" s="153" t="s">
        <v>72</v>
      </c>
      <c r="C102" s="13" t="s">
        <v>208</v>
      </c>
      <c r="D102" s="8"/>
      <c r="E102" s="8">
        <v>1</v>
      </c>
      <c r="F102" s="8">
        <v>22</v>
      </c>
      <c r="G102" s="8">
        <v>4</v>
      </c>
      <c r="H102" s="8">
        <v>1</v>
      </c>
      <c r="I102" s="8">
        <v>3</v>
      </c>
      <c r="J102" s="55">
        <f t="shared" si="2"/>
        <v>3</v>
      </c>
      <c r="K102" s="8"/>
      <c r="L102" s="8"/>
      <c r="M102" s="8"/>
      <c r="N102" s="8">
        <v>1</v>
      </c>
      <c r="O102" s="8" t="s">
        <v>12</v>
      </c>
      <c r="P102" s="2" t="s">
        <v>37</v>
      </c>
      <c r="Q102" s="8"/>
      <c r="R102" s="116" t="s">
        <v>53</v>
      </c>
      <c r="S102" s="27">
        <v>46169</v>
      </c>
      <c r="T102" t="s">
        <v>5</v>
      </c>
      <c r="U102" s="2" t="s">
        <v>37</v>
      </c>
    </row>
    <row r="103" spans="1:21" x14ac:dyDescent="0.3">
      <c r="A103" s="54">
        <f t="shared" si="3"/>
        <v>102</v>
      </c>
      <c r="B103" s="153" t="s">
        <v>79</v>
      </c>
      <c r="C103" s="18" t="s">
        <v>209</v>
      </c>
      <c r="D103" s="8"/>
      <c r="E103" s="8">
        <v>1</v>
      </c>
      <c r="F103" s="8">
        <v>35</v>
      </c>
      <c r="G103" s="8">
        <v>6</v>
      </c>
      <c r="H103" s="8">
        <v>1</v>
      </c>
      <c r="I103" s="8">
        <v>3</v>
      </c>
      <c r="J103" s="55">
        <f t="shared" si="2"/>
        <v>3</v>
      </c>
      <c r="K103" s="8"/>
      <c r="L103" s="8"/>
      <c r="M103" s="8"/>
      <c r="N103" s="8">
        <v>1</v>
      </c>
      <c r="O103" s="8" t="s">
        <v>12</v>
      </c>
      <c r="P103" s="93" t="s">
        <v>37</v>
      </c>
      <c r="Q103" s="8"/>
      <c r="R103" s="99" t="s">
        <v>114</v>
      </c>
      <c r="S103" s="27">
        <v>46170</v>
      </c>
      <c r="T103" t="s">
        <v>5</v>
      </c>
      <c r="U103" s="2" t="s">
        <v>37</v>
      </c>
    </row>
    <row r="104" spans="1:21" x14ac:dyDescent="0.3">
      <c r="A104" s="54">
        <f t="shared" si="3"/>
        <v>103</v>
      </c>
      <c r="B104" s="153" t="s">
        <v>73</v>
      </c>
      <c r="C104" s="18" t="s">
        <v>210</v>
      </c>
      <c r="D104" s="8"/>
      <c r="E104" s="8">
        <v>1</v>
      </c>
      <c r="F104" s="8">
        <v>13</v>
      </c>
      <c r="G104" s="8">
        <v>2</v>
      </c>
      <c r="H104" s="8">
        <v>1</v>
      </c>
      <c r="I104" s="8">
        <v>3</v>
      </c>
      <c r="J104" s="55">
        <f t="shared" si="2"/>
        <v>3</v>
      </c>
      <c r="K104" s="8"/>
      <c r="L104" s="8"/>
      <c r="M104" s="8"/>
      <c r="N104" s="8">
        <v>1</v>
      </c>
      <c r="O104" s="8" t="s">
        <v>12</v>
      </c>
      <c r="P104" s="2" t="s">
        <v>37</v>
      </c>
      <c r="Q104" s="8"/>
      <c r="R104" s="99" t="s">
        <v>114</v>
      </c>
      <c r="S104" s="27">
        <v>46170</v>
      </c>
      <c r="T104" t="s">
        <v>5</v>
      </c>
      <c r="U104" s="2" t="s">
        <v>37</v>
      </c>
    </row>
    <row r="105" spans="1:21" x14ac:dyDescent="0.3">
      <c r="A105" s="54">
        <f t="shared" si="3"/>
        <v>104</v>
      </c>
      <c r="B105" s="153" t="s">
        <v>74</v>
      </c>
      <c r="C105" s="9" t="s">
        <v>211</v>
      </c>
      <c r="D105" s="8"/>
      <c r="E105" s="8">
        <v>1</v>
      </c>
      <c r="F105" s="8"/>
      <c r="G105" s="8"/>
      <c r="H105" s="8">
        <v>1</v>
      </c>
      <c r="I105" s="8">
        <v>3</v>
      </c>
      <c r="J105" s="55">
        <f t="shared" si="2"/>
        <v>3</v>
      </c>
      <c r="K105" s="8"/>
      <c r="L105" s="8"/>
      <c r="M105" s="8">
        <v>1</v>
      </c>
      <c r="N105" s="8"/>
      <c r="O105" s="8" t="s">
        <v>35</v>
      </c>
      <c r="P105" s="2" t="s">
        <v>37</v>
      </c>
      <c r="Q105" s="8"/>
      <c r="R105" s="116" t="s">
        <v>53</v>
      </c>
      <c r="S105" s="27">
        <v>46170</v>
      </c>
      <c r="T105" t="s">
        <v>5</v>
      </c>
      <c r="U105" s="2" t="s">
        <v>37</v>
      </c>
    </row>
    <row r="106" spans="1:21" x14ac:dyDescent="0.3">
      <c r="A106" s="54">
        <f t="shared" si="3"/>
        <v>105</v>
      </c>
      <c r="B106" s="153" t="s">
        <v>77</v>
      </c>
      <c r="C106" s="11" t="s">
        <v>212</v>
      </c>
      <c r="D106" s="8"/>
      <c r="E106" s="8">
        <v>1</v>
      </c>
      <c r="F106" s="8"/>
      <c r="G106" s="8"/>
      <c r="H106" s="8">
        <v>1</v>
      </c>
      <c r="I106" s="8">
        <v>3</v>
      </c>
      <c r="J106" s="55">
        <f t="shared" si="2"/>
        <v>3</v>
      </c>
      <c r="K106" s="8"/>
      <c r="L106" s="8"/>
      <c r="M106" s="8">
        <v>1</v>
      </c>
      <c r="N106" s="8"/>
      <c r="O106" s="8" t="s">
        <v>12</v>
      </c>
      <c r="P106" s="2" t="s">
        <v>37</v>
      </c>
      <c r="Q106" s="8"/>
      <c r="R106" s="99" t="s">
        <v>114</v>
      </c>
      <c r="S106" s="27">
        <v>46170</v>
      </c>
      <c r="T106" t="s">
        <v>5</v>
      </c>
      <c r="U106" s="2" t="s">
        <v>37</v>
      </c>
    </row>
    <row r="107" spans="1:21" x14ac:dyDescent="0.3">
      <c r="A107" s="54">
        <f t="shared" si="3"/>
        <v>106</v>
      </c>
      <c r="B107" s="153" t="s">
        <v>75</v>
      </c>
      <c r="C107" s="10" t="s">
        <v>213</v>
      </c>
      <c r="D107" s="8"/>
      <c r="E107" s="8">
        <v>1</v>
      </c>
      <c r="F107" s="8">
        <v>3</v>
      </c>
      <c r="G107" s="8">
        <v>1</v>
      </c>
      <c r="H107" s="8">
        <v>1</v>
      </c>
      <c r="I107" s="8">
        <v>3</v>
      </c>
      <c r="J107" s="55">
        <f t="shared" si="2"/>
        <v>3</v>
      </c>
      <c r="K107" s="8"/>
      <c r="L107" s="8"/>
      <c r="M107" s="8"/>
      <c r="N107" s="8">
        <v>1</v>
      </c>
      <c r="O107" s="8" t="s">
        <v>12</v>
      </c>
      <c r="P107" s="2" t="s">
        <v>37</v>
      </c>
      <c r="Q107" s="8"/>
      <c r="R107" s="116" t="s">
        <v>53</v>
      </c>
      <c r="S107" s="27">
        <v>46170</v>
      </c>
      <c r="T107" t="s">
        <v>5</v>
      </c>
      <c r="U107" s="2" t="s">
        <v>37</v>
      </c>
    </row>
    <row r="108" spans="1:21" x14ac:dyDescent="0.3">
      <c r="A108" s="54">
        <f t="shared" si="3"/>
        <v>107</v>
      </c>
      <c r="B108" s="153" t="s">
        <v>77</v>
      </c>
      <c r="C108" s="11" t="s">
        <v>214</v>
      </c>
      <c r="D108" s="8"/>
      <c r="E108" s="8">
        <v>1</v>
      </c>
      <c r="F108" s="8">
        <v>8</v>
      </c>
      <c r="G108" s="8">
        <v>3</v>
      </c>
      <c r="H108" s="8">
        <v>1</v>
      </c>
      <c r="I108" s="8">
        <v>3</v>
      </c>
      <c r="J108" s="55">
        <f t="shared" si="2"/>
        <v>3</v>
      </c>
      <c r="K108" s="8"/>
      <c r="L108" s="8"/>
      <c r="M108" s="8"/>
      <c r="N108" s="8">
        <v>1</v>
      </c>
      <c r="O108" s="45" t="s">
        <v>17</v>
      </c>
      <c r="P108" s="2" t="s">
        <v>37</v>
      </c>
      <c r="Q108" s="8"/>
      <c r="R108" s="116" t="s">
        <v>53</v>
      </c>
      <c r="S108" s="27">
        <v>46170</v>
      </c>
      <c r="T108" t="s">
        <v>5</v>
      </c>
      <c r="U108" s="2" t="s">
        <v>37</v>
      </c>
    </row>
    <row r="109" spans="1:21" x14ac:dyDescent="0.3">
      <c r="A109" s="54">
        <f t="shared" si="3"/>
        <v>108</v>
      </c>
      <c r="B109" s="153" t="s">
        <v>72</v>
      </c>
      <c r="C109" s="11" t="s">
        <v>215</v>
      </c>
      <c r="D109" s="8"/>
      <c r="E109" s="8">
        <v>1</v>
      </c>
      <c r="F109" s="8"/>
      <c r="G109" s="8"/>
      <c r="H109" s="8">
        <v>1</v>
      </c>
      <c r="I109" s="8">
        <v>3</v>
      </c>
      <c r="J109" s="55">
        <f t="shared" si="2"/>
        <v>3</v>
      </c>
      <c r="K109" s="8"/>
      <c r="L109" s="8"/>
      <c r="M109" s="8"/>
      <c r="N109" s="8"/>
      <c r="O109" s="45" t="s">
        <v>17</v>
      </c>
      <c r="P109" s="93" t="s">
        <v>37</v>
      </c>
      <c r="Q109" s="8"/>
      <c r="R109" s="116" t="s">
        <v>53</v>
      </c>
      <c r="S109" s="27">
        <v>46170</v>
      </c>
      <c r="T109" t="s">
        <v>5</v>
      </c>
      <c r="U109" s="2" t="s">
        <v>37</v>
      </c>
    </row>
    <row r="110" spans="1:21" x14ac:dyDescent="0.3">
      <c r="A110" s="54">
        <f t="shared" si="3"/>
        <v>109</v>
      </c>
      <c r="B110" s="153" t="s">
        <v>73</v>
      </c>
      <c r="C110" s="10" t="s">
        <v>216</v>
      </c>
      <c r="D110" s="8"/>
      <c r="E110" s="8">
        <v>1</v>
      </c>
      <c r="F110" s="8"/>
      <c r="G110" s="8"/>
      <c r="H110" s="8">
        <v>1</v>
      </c>
      <c r="I110" s="8">
        <v>3</v>
      </c>
      <c r="J110" s="55">
        <f t="shared" si="2"/>
        <v>3</v>
      </c>
      <c r="K110" s="8"/>
      <c r="L110" s="8"/>
      <c r="M110" s="8"/>
      <c r="N110" s="8"/>
      <c r="O110" s="45" t="s">
        <v>17</v>
      </c>
      <c r="P110" s="8" t="s">
        <v>37</v>
      </c>
      <c r="Q110" s="8"/>
      <c r="R110" s="116" t="s">
        <v>53</v>
      </c>
      <c r="S110" s="27">
        <v>46170</v>
      </c>
      <c r="T110" t="s">
        <v>5</v>
      </c>
      <c r="U110" s="2" t="s">
        <v>37</v>
      </c>
    </row>
    <row r="111" spans="1:21" x14ac:dyDescent="0.3">
      <c r="A111" s="54">
        <f t="shared" si="3"/>
        <v>110</v>
      </c>
      <c r="B111" s="153" t="s">
        <v>76</v>
      </c>
      <c r="C111" s="11" t="s">
        <v>217</v>
      </c>
      <c r="D111" s="8"/>
      <c r="E111" s="8">
        <v>1</v>
      </c>
      <c r="F111" s="8"/>
      <c r="G111" s="8"/>
      <c r="H111" s="8">
        <v>1</v>
      </c>
      <c r="I111" s="8">
        <v>2</v>
      </c>
      <c r="J111" s="55">
        <f t="shared" si="2"/>
        <v>2</v>
      </c>
      <c r="K111" s="8"/>
      <c r="L111" s="8"/>
      <c r="M111" s="8"/>
      <c r="N111" s="8"/>
      <c r="O111" s="8" t="s">
        <v>12</v>
      </c>
      <c r="P111" s="2" t="s">
        <v>37</v>
      </c>
      <c r="Q111" s="8"/>
      <c r="R111" s="116" t="s">
        <v>53</v>
      </c>
      <c r="S111" s="27">
        <v>46170</v>
      </c>
      <c r="T111" t="s">
        <v>5</v>
      </c>
      <c r="U111" s="2" t="s">
        <v>37</v>
      </c>
    </row>
    <row r="112" spans="1:21" x14ac:dyDescent="0.3">
      <c r="A112" s="54">
        <f t="shared" si="3"/>
        <v>111</v>
      </c>
      <c r="B112" s="153" t="s">
        <v>83</v>
      </c>
      <c r="C112" s="10" t="s">
        <v>218</v>
      </c>
      <c r="D112" s="8"/>
      <c r="E112" s="8">
        <v>1</v>
      </c>
      <c r="F112" s="8"/>
      <c r="G112" s="8"/>
      <c r="H112" s="8">
        <v>1</v>
      </c>
      <c r="I112" s="8">
        <v>3</v>
      </c>
      <c r="J112" s="55">
        <f t="shared" si="2"/>
        <v>3</v>
      </c>
      <c r="K112" s="8"/>
      <c r="L112" s="8"/>
      <c r="M112" s="8">
        <v>1</v>
      </c>
      <c r="N112" s="25"/>
      <c r="O112" s="67" t="s">
        <v>13</v>
      </c>
      <c r="P112" s="8" t="s">
        <v>37</v>
      </c>
      <c r="Q112" s="8"/>
      <c r="R112" s="116" t="s">
        <v>53</v>
      </c>
      <c r="S112" s="27">
        <v>46170</v>
      </c>
      <c r="T112" t="s">
        <v>5</v>
      </c>
      <c r="U112" s="8" t="s">
        <v>121</v>
      </c>
    </row>
    <row r="113" spans="1:21" x14ac:dyDescent="0.3">
      <c r="A113" s="54">
        <f t="shared" si="3"/>
        <v>112</v>
      </c>
      <c r="B113" s="153" t="s">
        <v>73</v>
      </c>
      <c r="C113" s="18" t="s">
        <v>219</v>
      </c>
      <c r="D113" s="8"/>
      <c r="E113" s="8">
        <v>1</v>
      </c>
      <c r="F113" s="8"/>
      <c r="G113" s="8"/>
      <c r="H113" s="8">
        <v>1</v>
      </c>
      <c r="I113" s="8">
        <v>2</v>
      </c>
      <c r="J113" s="55">
        <f t="shared" si="2"/>
        <v>2</v>
      </c>
      <c r="K113" s="8"/>
      <c r="L113" s="8"/>
      <c r="M113" s="8"/>
      <c r="N113" s="8">
        <v>1</v>
      </c>
      <c r="O113" s="45" t="s">
        <v>12</v>
      </c>
      <c r="P113" s="2" t="s">
        <v>37</v>
      </c>
      <c r="Q113" s="8"/>
      <c r="R113" s="116" t="s">
        <v>53</v>
      </c>
      <c r="S113" s="27">
        <v>46170</v>
      </c>
      <c r="T113" t="s">
        <v>5</v>
      </c>
      <c r="U113" s="2" t="s">
        <v>37</v>
      </c>
    </row>
    <row r="114" spans="1:21" x14ac:dyDescent="0.3">
      <c r="A114" s="54">
        <f t="shared" si="3"/>
        <v>113</v>
      </c>
      <c r="B114" s="153" t="s">
        <v>83</v>
      </c>
      <c r="C114" s="23" t="s">
        <v>220</v>
      </c>
      <c r="D114" s="8"/>
      <c r="E114" s="8">
        <v>1</v>
      </c>
      <c r="F114" s="8"/>
      <c r="G114" s="8"/>
      <c r="H114" s="8">
        <v>1</v>
      </c>
      <c r="I114" s="8">
        <v>2</v>
      </c>
      <c r="J114" s="55">
        <f t="shared" si="2"/>
        <v>2</v>
      </c>
      <c r="K114" s="8"/>
      <c r="L114" s="8"/>
      <c r="M114" s="8">
        <v>1</v>
      </c>
      <c r="N114" s="25"/>
      <c r="O114" s="118" t="s">
        <v>13</v>
      </c>
      <c r="P114" s="2" t="s">
        <v>37</v>
      </c>
      <c r="Q114" s="8" t="s">
        <v>221</v>
      </c>
      <c r="R114" s="116" t="s">
        <v>53</v>
      </c>
      <c r="S114" s="27">
        <v>46170</v>
      </c>
      <c r="T114" t="s">
        <v>5</v>
      </c>
      <c r="U114" s="8" t="s">
        <v>121</v>
      </c>
    </row>
    <row r="115" spans="1:21" x14ac:dyDescent="0.3">
      <c r="A115" s="54">
        <f t="shared" si="3"/>
        <v>114</v>
      </c>
      <c r="B115" s="153" t="s">
        <v>72</v>
      </c>
      <c r="C115" s="51" t="s">
        <v>222</v>
      </c>
      <c r="D115" s="8"/>
      <c r="E115" s="8">
        <v>1</v>
      </c>
      <c r="F115" s="8">
        <v>16</v>
      </c>
      <c r="G115" s="8">
        <v>5</v>
      </c>
      <c r="H115" s="8">
        <v>1</v>
      </c>
      <c r="I115" s="8">
        <v>3</v>
      </c>
      <c r="J115" s="55">
        <f t="shared" si="2"/>
        <v>3</v>
      </c>
      <c r="K115" s="8"/>
      <c r="L115" s="8"/>
      <c r="M115" s="8"/>
      <c r="N115" s="8">
        <v>1</v>
      </c>
      <c r="O115" s="15" t="s">
        <v>12</v>
      </c>
      <c r="P115" s="8" t="s">
        <v>37</v>
      </c>
      <c r="Q115" s="8"/>
      <c r="R115" s="116" t="s">
        <v>53</v>
      </c>
      <c r="S115" s="27">
        <v>46170</v>
      </c>
      <c r="T115" t="s">
        <v>5</v>
      </c>
      <c r="U115" s="2" t="s">
        <v>37</v>
      </c>
    </row>
    <row r="116" spans="1:21" x14ac:dyDescent="0.3">
      <c r="A116" s="54">
        <f t="shared" si="3"/>
        <v>115</v>
      </c>
      <c r="B116" s="153" t="s">
        <v>73</v>
      </c>
      <c r="C116" s="17" t="s">
        <v>223</v>
      </c>
      <c r="D116" s="8"/>
      <c r="E116" s="8">
        <v>1</v>
      </c>
      <c r="F116" s="8">
        <v>17</v>
      </c>
      <c r="G116" s="8">
        <v>3</v>
      </c>
      <c r="H116" s="8">
        <v>1</v>
      </c>
      <c r="I116" s="8">
        <v>3</v>
      </c>
      <c r="J116" s="55">
        <f t="shared" si="2"/>
        <v>3</v>
      </c>
      <c r="K116" s="8"/>
      <c r="L116" s="8"/>
      <c r="M116" s="8"/>
      <c r="N116" s="8">
        <v>1</v>
      </c>
      <c r="O116" s="8"/>
      <c r="P116" s="8" t="s">
        <v>37</v>
      </c>
      <c r="Q116" s="8"/>
      <c r="R116" s="116" t="s">
        <v>53</v>
      </c>
      <c r="S116" s="27">
        <v>46171</v>
      </c>
      <c r="T116" t="s">
        <v>5</v>
      </c>
      <c r="U116" s="2" t="s">
        <v>37</v>
      </c>
    </row>
    <row r="117" spans="1:21" x14ac:dyDescent="0.3">
      <c r="A117" s="54">
        <f t="shared" si="3"/>
        <v>116</v>
      </c>
      <c r="B117" s="153" t="s">
        <v>80</v>
      </c>
      <c r="C117" s="17" t="s">
        <v>224</v>
      </c>
      <c r="D117" s="8"/>
      <c r="E117" s="8">
        <v>1</v>
      </c>
      <c r="F117" s="8"/>
      <c r="G117" s="8"/>
      <c r="H117" s="8">
        <v>1</v>
      </c>
      <c r="I117" s="8">
        <v>4</v>
      </c>
      <c r="J117" s="55">
        <f t="shared" si="2"/>
        <v>4</v>
      </c>
      <c r="K117" s="8">
        <v>1</v>
      </c>
      <c r="L117" s="8"/>
      <c r="M117" s="8">
        <v>1</v>
      </c>
      <c r="N117" s="8"/>
      <c r="O117" s="8" t="s">
        <v>12</v>
      </c>
      <c r="P117" s="2" t="s">
        <v>37</v>
      </c>
      <c r="Q117" s="8"/>
      <c r="R117" s="116" t="s">
        <v>53</v>
      </c>
      <c r="S117" s="27">
        <v>46171</v>
      </c>
      <c r="T117" t="s">
        <v>5</v>
      </c>
      <c r="U117" s="8" t="s">
        <v>37</v>
      </c>
    </row>
    <row r="118" spans="1:21" x14ac:dyDescent="0.3">
      <c r="A118" s="54">
        <f t="shared" si="3"/>
        <v>117</v>
      </c>
      <c r="B118" s="153" t="s">
        <v>74</v>
      </c>
      <c r="C118" s="23" t="s">
        <v>225</v>
      </c>
      <c r="D118" s="8"/>
      <c r="E118" s="8">
        <v>1</v>
      </c>
      <c r="F118" s="8"/>
      <c r="G118" s="8"/>
      <c r="H118" s="8">
        <v>1</v>
      </c>
      <c r="I118" s="8">
        <v>3</v>
      </c>
      <c r="J118" s="55">
        <f t="shared" si="2"/>
        <v>3</v>
      </c>
      <c r="K118" s="8"/>
      <c r="L118" s="8"/>
      <c r="M118" s="8">
        <v>1</v>
      </c>
      <c r="N118" s="25"/>
      <c r="O118" s="45" t="s">
        <v>17</v>
      </c>
      <c r="P118" s="2" t="s">
        <v>37</v>
      </c>
      <c r="Q118" s="8"/>
      <c r="R118" s="116" t="s">
        <v>53</v>
      </c>
      <c r="S118" s="27">
        <v>46171</v>
      </c>
      <c r="T118" t="s">
        <v>5</v>
      </c>
      <c r="U118" s="8" t="s">
        <v>37</v>
      </c>
    </row>
    <row r="119" spans="1:21" x14ac:dyDescent="0.3">
      <c r="A119" s="54">
        <f t="shared" si="3"/>
        <v>118</v>
      </c>
      <c r="B119" s="153" t="s">
        <v>75</v>
      </c>
      <c r="C119" s="11" t="s">
        <v>226</v>
      </c>
      <c r="D119" s="8"/>
      <c r="E119" s="8">
        <v>1</v>
      </c>
      <c r="F119" s="8">
        <v>15</v>
      </c>
      <c r="G119" s="8">
        <v>1</v>
      </c>
      <c r="H119" s="8">
        <v>1</v>
      </c>
      <c r="I119" s="8">
        <v>3</v>
      </c>
      <c r="J119" s="55">
        <f t="shared" si="2"/>
        <v>3</v>
      </c>
      <c r="K119" s="8"/>
      <c r="L119" s="8"/>
      <c r="M119" s="8"/>
      <c r="N119" s="8">
        <v>1</v>
      </c>
      <c r="O119" s="8" t="s">
        <v>12</v>
      </c>
      <c r="P119" s="2" t="s">
        <v>37</v>
      </c>
      <c r="Q119" s="8"/>
      <c r="R119" s="116" t="s">
        <v>58</v>
      </c>
      <c r="S119" s="27">
        <v>46171</v>
      </c>
      <c r="T119" t="s">
        <v>5</v>
      </c>
      <c r="U119" s="2" t="s">
        <v>37</v>
      </c>
    </row>
    <row r="120" spans="1:21" x14ac:dyDescent="0.3">
      <c r="A120" s="54">
        <f t="shared" si="3"/>
        <v>119</v>
      </c>
      <c r="B120" s="153" t="s">
        <v>78</v>
      </c>
      <c r="C120" s="10" t="s">
        <v>227</v>
      </c>
      <c r="D120" s="8"/>
      <c r="E120" s="8">
        <v>1</v>
      </c>
      <c r="F120" s="8"/>
      <c r="G120" s="8"/>
      <c r="H120" s="8">
        <v>1</v>
      </c>
      <c r="I120" s="8">
        <v>1</v>
      </c>
      <c r="J120" s="55">
        <f t="shared" si="2"/>
        <v>1</v>
      </c>
      <c r="K120" s="8"/>
      <c r="L120" s="8"/>
      <c r="M120" s="8">
        <v>1</v>
      </c>
      <c r="N120" s="8"/>
      <c r="O120" s="8" t="s">
        <v>12</v>
      </c>
      <c r="P120" s="2" t="s">
        <v>37</v>
      </c>
      <c r="Q120" s="8"/>
      <c r="R120" s="116" t="s">
        <v>58</v>
      </c>
      <c r="S120" s="27">
        <v>46171</v>
      </c>
      <c r="T120" t="s">
        <v>5</v>
      </c>
      <c r="U120" s="2" t="s">
        <v>37</v>
      </c>
    </row>
    <row r="121" spans="1:21" x14ac:dyDescent="0.3">
      <c r="A121" s="54">
        <f t="shared" si="3"/>
        <v>120</v>
      </c>
      <c r="B121" s="153" t="s">
        <v>72</v>
      </c>
      <c r="C121" s="11" t="s">
        <v>228</v>
      </c>
      <c r="D121" s="8"/>
      <c r="E121" s="8">
        <v>1</v>
      </c>
      <c r="F121" s="8"/>
      <c r="G121" s="8"/>
      <c r="H121" s="8">
        <v>1</v>
      </c>
      <c r="I121" s="8">
        <v>3</v>
      </c>
      <c r="J121" s="55">
        <f t="shared" si="2"/>
        <v>3</v>
      </c>
      <c r="K121" s="8"/>
      <c r="L121" s="8"/>
      <c r="M121" s="8">
        <v>1</v>
      </c>
      <c r="N121" s="25"/>
      <c r="O121" s="45" t="s">
        <v>16</v>
      </c>
      <c r="P121" s="2" t="s">
        <v>37</v>
      </c>
      <c r="Q121" s="8"/>
      <c r="R121" s="116" t="s">
        <v>58</v>
      </c>
      <c r="S121" s="27">
        <v>46171</v>
      </c>
      <c r="T121" t="s">
        <v>5</v>
      </c>
      <c r="U121" s="2" t="s">
        <v>37</v>
      </c>
    </row>
    <row r="122" spans="1:21" x14ac:dyDescent="0.3">
      <c r="A122" s="54">
        <f t="shared" si="3"/>
        <v>121</v>
      </c>
      <c r="B122" s="153" t="s">
        <v>72</v>
      </c>
      <c r="C122" s="11" t="s">
        <v>229</v>
      </c>
      <c r="D122" s="8">
        <v>1</v>
      </c>
      <c r="E122" s="8"/>
      <c r="F122" s="8"/>
      <c r="G122" s="8"/>
      <c r="H122" s="8">
        <v>1</v>
      </c>
      <c r="I122" s="8">
        <v>1</v>
      </c>
      <c r="J122" s="55">
        <f t="shared" si="2"/>
        <v>1</v>
      </c>
      <c r="K122" s="8"/>
      <c r="L122" s="8"/>
      <c r="M122" s="8">
        <v>1</v>
      </c>
      <c r="N122" s="8"/>
      <c r="O122" s="45" t="s">
        <v>16</v>
      </c>
      <c r="P122" s="2" t="s">
        <v>37</v>
      </c>
      <c r="Q122" s="8"/>
      <c r="R122" s="116" t="s">
        <v>56</v>
      </c>
      <c r="S122" s="27">
        <v>46171</v>
      </c>
      <c r="T122" t="s">
        <v>5</v>
      </c>
      <c r="U122" s="2" t="s">
        <v>37</v>
      </c>
    </row>
    <row r="123" spans="1:21" x14ac:dyDescent="0.3">
      <c r="A123" s="54">
        <f t="shared" si="3"/>
        <v>122</v>
      </c>
      <c r="B123" s="153" t="s">
        <v>72</v>
      </c>
      <c r="C123" s="10" t="s">
        <v>230</v>
      </c>
      <c r="D123" s="8">
        <v>1</v>
      </c>
      <c r="E123" s="8"/>
      <c r="F123" s="8"/>
      <c r="G123" s="8"/>
      <c r="H123" s="8">
        <v>1</v>
      </c>
      <c r="I123" s="8">
        <v>2</v>
      </c>
      <c r="J123" s="55">
        <f t="shared" si="2"/>
        <v>2</v>
      </c>
      <c r="K123" s="8"/>
      <c r="L123" s="8"/>
      <c r="M123" s="8">
        <v>1</v>
      </c>
      <c r="N123" s="25"/>
      <c r="O123" s="45" t="s">
        <v>11</v>
      </c>
      <c r="P123" s="93" t="s">
        <v>37</v>
      </c>
      <c r="Q123" s="8"/>
      <c r="R123" t="s">
        <v>59</v>
      </c>
      <c r="S123" s="27">
        <v>46171</v>
      </c>
      <c r="T123" t="s">
        <v>5</v>
      </c>
      <c r="U123" s="2" t="s">
        <v>37</v>
      </c>
    </row>
    <row r="124" spans="1:21" x14ac:dyDescent="0.3">
      <c r="A124" s="54">
        <f t="shared" si="3"/>
        <v>123</v>
      </c>
      <c r="B124" s="153" t="s">
        <v>73</v>
      </c>
      <c r="C124" s="11" t="s">
        <v>231</v>
      </c>
      <c r="D124" s="8"/>
      <c r="E124" s="8">
        <v>1</v>
      </c>
      <c r="F124" s="8"/>
      <c r="G124" s="8"/>
      <c r="H124" s="8">
        <v>1</v>
      </c>
      <c r="I124" s="8">
        <v>1</v>
      </c>
      <c r="J124" s="55">
        <f t="shared" si="2"/>
        <v>1</v>
      </c>
      <c r="K124" s="8"/>
      <c r="L124" s="8"/>
      <c r="M124" s="8">
        <v>1</v>
      </c>
      <c r="N124" s="25"/>
      <c r="O124" s="45" t="s">
        <v>17</v>
      </c>
      <c r="P124" s="2" t="s">
        <v>37</v>
      </c>
      <c r="Q124" s="8"/>
      <c r="R124" s="116" t="s">
        <v>53</v>
      </c>
      <c r="S124" s="27">
        <v>46171</v>
      </c>
      <c r="T124" t="s">
        <v>5</v>
      </c>
      <c r="U124" s="2" t="s">
        <v>37</v>
      </c>
    </row>
    <row r="125" spans="1:21" x14ac:dyDescent="0.3">
      <c r="A125" s="54">
        <f t="shared" si="3"/>
        <v>124</v>
      </c>
      <c r="B125" s="153" t="s">
        <v>76</v>
      </c>
      <c r="C125" s="10" t="s">
        <v>232</v>
      </c>
      <c r="D125" s="8">
        <v>1</v>
      </c>
      <c r="E125" s="8"/>
      <c r="F125" s="8"/>
      <c r="G125" s="8"/>
      <c r="H125" s="8">
        <v>1</v>
      </c>
      <c r="I125" s="8">
        <v>3</v>
      </c>
      <c r="J125" s="55">
        <f t="shared" si="2"/>
        <v>3</v>
      </c>
      <c r="K125" s="8"/>
      <c r="L125" s="8"/>
      <c r="M125" s="8">
        <v>1</v>
      </c>
      <c r="N125" s="8"/>
      <c r="O125" s="8" t="s">
        <v>13</v>
      </c>
      <c r="P125" s="2" t="s">
        <v>37</v>
      </c>
      <c r="Q125" s="8"/>
      <c r="R125" t="s">
        <v>59</v>
      </c>
      <c r="S125" s="27">
        <v>46171</v>
      </c>
      <c r="T125" t="s">
        <v>5</v>
      </c>
      <c r="U125" s="2" t="s">
        <v>37</v>
      </c>
    </row>
    <row r="126" spans="1:21" x14ac:dyDescent="0.3">
      <c r="A126" s="54">
        <f t="shared" si="3"/>
        <v>125</v>
      </c>
      <c r="B126" s="153" t="s">
        <v>76</v>
      </c>
      <c r="C126" s="18" t="s">
        <v>233</v>
      </c>
      <c r="D126" s="8"/>
      <c r="E126" s="8">
        <v>1</v>
      </c>
      <c r="F126" s="8"/>
      <c r="G126" s="8"/>
      <c r="H126" s="8">
        <v>1</v>
      </c>
      <c r="I126" s="8">
        <v>3</v>
      </c>
      <c r="J126" s="55">
        <f t="shared" si="2"/>
        <v>3</v>
      </c>
      <c r="K126" s="8"/>
      <c r="L126" s="8"/>
      <c r="M126" s="8">
        <v>1</v>
      </c>
      <c r="N126" s="25"/>
      <c r="O126" s="45" t="s">
        <v>11</v>
      </c>
      <c r="P126" s="2" t="s">
        <v>37</v>
      </c>
      <c r="Q126" s="8"/>
      <c r="R126" s="116" t="s">
        <v>53</v>
      </c>
      <c r="S126" s="27">
        <v>46171</v>
      </c>
      <c r="T126" t="s">
        <v>5</v>
      </c>
      <c r="U126" s="2" t="s">
        <v>37</v>
      </c>
    </row>
    <row r="127" spans="1:21" x14ac:dyDescent="0.3">
      <c r="A127" s="54">
        <f t="shared" si="3"/>
        <v>126</v>
      </c>
      <c r="B127" s="153" t="s">
        <v>74</v>
      </c>
      <c r="C127" s="23" t="s">
        <v>234</v>
      </c>
      <c r="D127" s="8"/>
      <c r="E127" s="8">
        <v>1</v>
      </c>
      <c r="F127" s="8"/>
      <c r="G127" s="8"/>
      <c r="H127" s="8">
        <v>1</v>
      </c>
      <c r="I127" s="8">
        <v>2</v>
      </c>
      <c r="J127" s="55">
        <f t="shared" si="2"/>
        <v>2</v>
      </c>
      <c r="K127" s="8"/>
      <c r="L127" s="8"/>
      <c r="M127" s="8">
        <v>1</v>
      </c>
      <c r="N127" s="25"/>
      <c r="O127" s="45" t="s">
        <v>38</v>
      </c>
      <c r="P127" s="2" t="s">
        <v>37</v>
      </c>
      <c r="Q127" s="8"/>
      <c r="R127" s="116" t="s">
        <v>53</v>
      </c>
      <c r="S127" s="27">
        <v>46171</v>
      </c>
      <c r="T127" t="s">
        <v>5</v>
      </c>
      <c r="U127" s="2" t="s">
        <v>37</v>
      </c>
    </row>
    <row r="128" spans="1:21" x14ac:dyDescent="0.3">
      <c r="A128" s="54">
        <f t="shared" si="3"/>
        <v>127</v>
      </c>
      <c r="B128" s="153" t="s">
        <v>78</v>
      </c>
      <c r="C128" s="51" t="s">
        <v>235</v>
      </c>
      <c r="D128" s="8"/>
      <c r="E128" s="8">
        <v>1</v>
      </c>
      <c r="F128" s="8"/>
      <c r="G128" s="8"/>
      <c r="H128" s="8">
        <v>1</v>
      </c>
      <c r="I128" s="8">
        <v>3</v>
      </c>
      <c r="J128" s="55">
        <f t="shared" si="2"/>
        <v>3</v>
      </c>
      <c r="K128" s="8"/>
      <c r="L128" s="8"/>
      <c r="M128" s="8">
        <v>1</v>
      </c>
      <c r="N128" s="8"/>
      <c r="O128" s="22" t="s">
        <v>12</v>
      </c>
      <c r="P128" s="2" t="s">
        <v>37</v>
      </c>
      <c r="Q128" s="8"/>
      <c r="R128" s="116" t="s">
        <v>53</v>
      </c>
      <c r="S128" s="27">
        <v>46171</v>
      </c>
      <c r="T128" t="s">
        <v>5</v>
      </c>
      <c r="U128" s="2" t="s">
        <v>37</v>
      </c>
    </row>
    <row r="129" spans="1:21" x14ac:dyDescent="0.3">
      <c r="A129" s="54">
        <f t="shared" si="3"/>
        <v>128</v>
      </c>
      <c r="B129" s="153" t="s">
        <v>76</v>
      </c>
      <c r="C129" s="23" t="s">
        <v>236</v>
      </c>
      <c r="D129" s="8"/>
      <c r="E129" s="8">
        <v>1</v>
      </c>
      <c r="F129" s="8"/>
      <c r="G129" s="8"/>
      <c r="H129" s="8">
        <v>1</v>
      </c>
      <c r="I129" s="8">
        <v>2</v>
      </c>
      <c r="J129" s="55">
        <f t="shared" si="2"/>
        <v>2</v>
      </c>
      <c r="K129" s="8"/>
      <c r="L129" s="8"/>
      <c r="M129" s="8">
        <v>1</v>
      </c>
      <c r="N129" s="8"/>
      <c r="O129" s="8" t="s">
        <v>12</v>
      </c>
      <c r="P129" s="2" t="s">
        <v>37</v>
      </c>
      <c r="Q129" s="8"/>
      <c r="R129" s="116" t="s">
        <v>53</v>
      </c>
      <c r="S129" s="27">
        <v>46171</v>
      </c>
      <c r="T129" t="s">
        <v>5</v>
      </c>
      <c r="U129" s="2" t="s">
        <v>37</v>
      </c>
    </row>
    <row r="130" spans="1:21" x14ac:dyDescent="0.3">
      <c r="A130" s="54">
        <f t="shared" si="3"/>
        <v>129</v>
      </c>
      <c r="B130" s="153" t="s">
        <v>73</v>
      </c>
      <c r="C130" s="51" t="s">
        <v>237</v>
      </c>
      <c r="D130" s="8"/>
      <c r="E130" s="8">
        <v>1</v>
      </c>
      <c r="F130" s="8">
        <v>16</v>
      </c>
      <c r="G130" s="8">
        <v>1</v>
      </c>
      <c r="H130" s="8">
        <v>1</v>
      </c>
      <c r="I130" s="8">
        <v>1</v>
      </c>
      <c r="J130" s="55">
        <f t="shared" ref="J130:J193" si="4">I130*H130</f>
        <v>1</v>
      </c>
      <c r="K130" s="8"/>
      <c r="L130" s="8">
        <v>1</v>
      </c>
      <c r="M130" s="8"/>
      <c r="N130" s="8">
        <v>1</v>
      </c>
      <c r="O130" s="8" t="s">
        <v>12</v>
      </c>
      <c r="P130" s="93" t="s">
        <v>37</v>
      </c>
      <c r="Q130" s="8"/>
      <c r="R130" s="116" t="s">
        <v>53</v>
      </c>
      <c r="S130" s="27">
        <v>46171</v>
      </c>
      <c r="T130" t="s">
        <v>5</v>
      </c>
      <c r="U130" s="2" t="s">
        <v>37</v>
      </c>
    </row>
    <row r="131" spans="1:21" x14ac:dyDescent="0.3">
      <c r="A131" s="54">
        <f t="shared" ref="A131:A194" si="5">A130+1</f>
        <v>130</v>
      </c>
      <c r="B131" s="153" t="s">
        <v>75</v>
      </c>
      <c r="C131" s="17" t="s">
        <v>238</v>
      </c>
      <c r="D131" s="8"/>
      <c r="E131" s="8">
        <v>1</v>
      </c>
      <c r="F131" s="8">
        <v>6</v>
      </c>
      <c r="G131" s="8">
        <v>1</v>
      </c>
      <c r="H131" s="8">
        <v>1</v>
      </c>
      <c r="I131" s="8">
        <v>3</v>
      </c>
      <c r="J131" s="55">
        <f t="shared" si="4"/>
        <v>3</v>
      </c>
      <c r="K131" s="8"/>
      <c r="L131" s="8"/>
      <c r="M131" s="8"/>
      <c r="N131" s="8">
        <v>1</v>
      </c>
      <c r="O131" s="45" t="s">
        <v>17</v>
      </c>
      <c r="P131" s="8" t="s">
        <v>37</v>
      </c>
      <c r="Q131" s="8"/>
      <c r="R131" s="99" t="s">
        <v>114</v>
      </c>
      <c r="S131" s="27">
        <v>46171</v>
      </c>
      <c r="T131" t="s">
        <v>5</v>
      </c>
      <c r="U131" s="2" t="s">
        <v>37</v>
      </c>
    </row>
    <row r="132" spans="1:21" x14ac:dyDescent="0.3">
      <c r="A132" s="54">
        <f t="shared" si="5"/>
        <v>131</v>
      </c>
      <c r="B132" s="153" t="s">
        <v>72</v>
      </c>
      <c r="C132" s="18" t="s">
        <v>239</v>
      </c>
      <c r="D132" s="8"/>
      <c r="E132" s="8">
        <v>1</v>
      </c>
      <c r="F132" s="8"/>
      <c r="G132" s="8"/>
      <c r="H132" s="8">
        <v>1</v>
      </c>
      <c r="I132" s="8">
        <v>3</v>
      </c>
      <c r="J132" s="55">
        <f t="shared" si="4"/>
        <v>3</v>
      </c>
      <c r="K132" s="8"/>
      <c r="L132" s="8"/>
      <c r="M132" s="8">
        <v>1</v>
      </c>
      <c r="N132" s="8"/>
      <c r="O132" s="8" t="s">
        <v>12</v>
      </c>
      <c r="P132" s="2" t="s">
        <v>37</v>
      </c>
      <c r="Q132" s="8"/>
      <c r="R132" s="116" t="s">
        <v>53</v>
      </c>
      <c r="S132" s="27">
        <v>46171</v>
      </c>
      <c r="T132" t="s">
        <v>5</v>
      </c>
      <c r="U132" s="2" t="s">
        <v>37</v>
      </c>
    </row>
    <row r="133" spans="1:21" x14ac:dyDescent="0.3">
      <c r="A133" s="54">
        <f t="shared" si="5"/>
        <v>132</v>
      </c>
      <c r="B133" s="153" t="s">
        <v>75</v>
      </c>
      <c r="C133" s="18" t="s">
        <v>240</v>
      </c>
      <c r="D133" s="8"/>
      <c r="E133" s="8">
        <v>1</v>
      </c>
      <c r="F133" s="8"/>
      <c r="G133" s="8"/>
      <c r="H133" s="8">
        <v>1</v>
      </c>
      <c r="I133" s="8">
        <v>2</v>
      </c>
      <c r="J133" s="55">
        <f t="shared" si="4"/>
        <v>2</v>
      </c>
      <c r="K133" s="8"/>
      <c r="L133" s="8"/>
      <c r="M133" s="8">
        <v>1</v>
      </c>
      <c r="N133" s="25"/>
      <c r="O133" s="66" t="s">
        <v>9</v>
      </c>
      <c r="P133" s="2" t="s">
        <v>37</v>
      </c>
      <c r="Q133" s="8"/>
      <c r="R133" s="116" t="s">
        <v>56</v>
      </c>
      <c r="S133" s="27">
        <v>46171</v>
      </c>
      <c r="T133" t="s">
        <v>5</v>
      </c>
      <c r="U133" s="8" t="s">
        <v>37</v>
      </c>
    </row>
    <row r="134" spans="1:21" x14ac:dyDescent="0.3">
      <c r="A134" s="54">
        <f t="shared" si="5"/>
        <v>133</v>
      </c>
      <c r="B134" s="153" t="s">
        <v>74</v>
      </c>
      <c r="C134" s="13" t="s">
        <v>241</v>
      </c>
      <c r="D134" s="8"/>
      <c r="E134" s="18">
        <v>1</v>
      </c>
      <c r="F134" s="8"/>
      <c r="G134" s="25"/>
      <c r="H134" s="24">
        <v>1</v>
      </c>
      <c r="I134" s="25">
        <v>3</v>
      </c>
      <c r="J134" s="55">
        <f t="shared" si="4"/>
        <v>3</v>
      </c>
      <c r="K134" s="8"/>
      <c r="L134" s="8"/>
      <c r="M134" s="8">
        <v>1</v>
      </c>
      <c r="N134" s="8"/>
      <c r="O134" s="117" t="s">
        <v>9</v>
      </c>
      <c r="P134" s="2" t="s">
        <v>37</v>
      </c>
      <c r="Q134" s="8"/>
      <c r="R134" s="116" t="s">
        <v>56</v>
      </c>
      <c r="S134" s="27">
        <v>46172</v>
      </c>
      <c r="T134" t="s">
        <v>5</v>
      </c>
      <c r="U134" s="2" t="s">
        <v>37</v>
      </c>
    </row>
    <row r="135" spans="1:21" x14ac:dyDescent="0.3">
      <c r="A135" s="54">
        <f t="shared" si="5"/>
        <v>134</v>
      </c>
      <c r="B135" s="153" t="s">
        <v>73</v>
      </c>
      <c r="C135" s="13" t="s">
        <v>242</v>
      </c>
      <c r="D135" s="8"/>
      <c r="E135" s="18">
        <v>1</v>
      </c>
      <c r="F135" s="8">
        <v>10</v>
      </c>
      <c r="G135" s="8">
        <v>2</v>
      </c>
      <c r="H135" s="24">
        <v>2</v>
      </c>
      <c r="I135" s="25">
        <v>1</v>
      </c>
      <c r="J135" s="55">
        <f t="shared" si="4"/>
        <v>2</v>
      </c>
      <c r="K135" s="8"/>
      <c r="L135" s="8">
        <v>1</v>
      </c>
      <c r="M135" s="8"/>
      <c r="N135" s="8">
        <v>1</v>
      </c>
      <c r="O135" s="117" t="s">
        <v>9</v>
      </c>
      <c r="P135" s="2" t="s">
        <v>37</v>
      </c>
      <c r="Q135" s="8"/>
      <c r="R135" s="116" t="s">
        <v>56</v>
      </c>
      <c r="S135" s="27">
        <v>46172</v>
      </c>
      <c r="T135" t="s">
        <v>5</v>
      </c>
      <c r="U135" s="2" t="s">
        <v>37</v>
      </c>
    </row>
    <row r="136" spans="1:21" x14ac:dyDescent="0.3">
      <c r="A136" s="54">
        <f t="shared" si="5"/>
        <v>135</v>
      </c>
      <c r="B136" s="153" t="s">
        <v>72</v>
      </c>
      <c r="C136" s="23" t="s">
        <v>243</v>
      </c>
      <c r="D136" s="8"/>
      <c r="E136" s="8">
        <v>1</v>
      </c>
      <c r="F136" s="22"/>
      <c r="G136" s="22"/>
      <c r="H136" s="8">
        <v>1</v>
      </c>
      <c r="I136" s="8">
        <v>3</v>
      </c>
      <c r="J136" s="55">
        <f t="shared" si="4"/>
        <v>3</v>
      </c>
      <c r="K136" s="8"/>
      <c r="L136" s="8"/>
      <c r="M136" s="8">
        <v>1</v>
      </c>
      <c r="N136" s="25"/>
      <c r="O136" s="45" t="s">
        <v>17</v>
      </c>
      <c r="P136" s="2" t="s">
        <v>37</v>
      </c>
      <c r="Q136" s="8"/>
      <c r="R136" s="21" t="s">
        <v>114</v>
      </c>
      <c r="S136" s="27">
        <v>46172</v>
      </c>
      <c r="T136" t="s">
        <v>5</v>
      </c>
      <c r="U136" s="2" t="s">
        <v>37</v>
      </c>
    </row>
    <row r="137" spans="1:21" x14ac:dyDescent="0.3">
      <c r="A137" s="54">
        <f t="shared" si="5"/>
        <v>136</v>
      </c>
      <c r="B137" s="153" t="s">
        <v>76</v>
      </c>
      <c r="C137" s="11" t="s">
        <v>244</v>
      </c>
      <c r="D137" s="8"/>
      <c r="E137" s="8">
        <v>1</v>
      </c>
      <c r="F137" s="20">
        <v>7</v>
      </c>
      <c r="G137" s="20">
        <v>3</v>
      </c>
      <c r="H137" s="8">
        <v>1</v>
      </c>
      <c r="I137" s="8">
        <v>3</v>
      </c>
      <c r="J137" s="55">
        <f t="shared" si="4"/>
        <v>3</v>
      </c>
      <c r="K137" s="8"/>
      <c r="L137" s="8"/>
      <c r="M137" s="8">
        <v>1</v>
      </c>
      <c r="N137" s="8"/>
      <c r="O137" s="19" t="s">
        <v>12</v>
      </c>
      <c r="P137" s="8" t="s">
        <v>37</v>
      </c>
      <c r="Q137" s="8"/>
      <c r="R137" s="116" t="s">
        <v>53</v>
      </c>
      <c r="S137" s="27">
        <v>46172</v>
      </c>
      <c r="T137" t="s">
        <v>5</v>
      </c>
      <c r="U137" s="2" t="s">
        <v>37</v>
      </c>
    </row>
    <row r="138" spans="1:21" x14ac:dyDescent="0.3">
      <c r="A138" s="54">
        <f t="shared" si="5"/>
        <v>137</v>
      </c>
      <c r="B138" s="153" t="s">
        <v>77</v>
      </c>
      <c r="C138" s="10" t="s">
        <v>245</v>
      </c>
      <c r="D138" s="8"/>
      <c r="E138" s="8">
        <v>1</v>
      </c>
      <c r="F138" s="21"/>
      <c r="G138" s="21"/>
      <c r="H138" s="8">
        <v>1</v>
      </c>
      <c r="I138" s="8">
        <v>2</v>
      </c>
      <c r="J138" s="55">
        <f t="shared" si="4"/>
        <v>2</v>
      </c>
      <c r="K138" s="8"/>
      <c r="L138" s="8"/>
      <c r="M138" s="8"/>
      <c r="N138" s="8">
        <v>1</v>
      </c>
      <c r="O138" s="45" t="s">
        <v>17</v>
      </c>
      <c r="P138" s="2" t="s">
        <v>37</v>
      </c>
      <c r="Q138" s="8"/>
      <c r="R138" s="99" t="s">
        <v>114</v>
      </c>
      <c r="S138" s="27">
        <v>46172</v>
      </c>
      <c r="T138" t="s">
        <v>5</v>
      </c>
      <c r="U138" s="2" t="s">
        <v>37</v>
      </c>
    </row>
    <row r="139" spans="1:21" x14ac:dyDescent="0.3">
      <c r="A139" s="54">
        <f t="shared" si="5"/>
        <v>138</v>
      </c>
      <c r="B139" s="153" t="s">
        <v>75</v>
      </c>
      <c r="C139" s="11" t="s">
        <v>246</v>
      </c>
      <c r="D139" s="8"/>
      <c r="E139" s="8">
        <v>1</v>
      </c>
      <c r="F139" s="20"/>
      <c r="G139" s="20"/>
      <c r="H139" s="8">
        <v>1</v>
      </c>
      <c r="I139" s="8">
        <v>3</v>
      </c>
      <c r="J139" s="55">
        <f t="shared" si="4"/>
        <v>3</v>
      </c>
      <c r="K139" s="8"/>
      <c r="L139" s="8"/>
      <c r="M139" s="8">
        <v>1</v>
      </c>
      <c r="N139" s="25"/>
      <c r="O139" s="66" t="s">
        <v>9</v>
      </c>
      <c r="P139" s="2" t="s">
        <v>37</v>
      </c>
      <c r="Q139" s="8"/>
      <c r="R139" s="116" t="s">
        <v>56</v>
      </c>
      <c r="S139" s="27">
        <v>46172</v>
      </c>
      <c r="T139" t="s">
        <v>5</v>
      </c>
      <c r="U139" s="8" t="s">
        <v>121</v>
      </c>
    </row>
    <row r="140" spans="1:21" x14ac:dyDescent="0.3">
      <c r="A140" s="54">
        <f t="shared" si="5"/>
        <v>139</v>
      </c>
      <c r="B140" s="153" t="s">
        <v>74</v>
      </c>
      <c r="C140" s="10" t="s">
        <v>247</v>
      </c>
      <c r="D140" s="8"/>
      <c r="E140" s="8">
        <v>1</v>
      </c>
      <c r="F140" s="21"/>
      <c r="G140" s="21"/>
      <c r="H140" s="8">
        <v>1</v>
      </c>
      <c r="I140" s="8">
        <v>4</v>
      </c>
      <c r="J140" s="55">
        <f t="shared" si="4"/>
        <v>4</v>
      </c>
      <c r="K140" s="8">
        <v>1</v>
      </c>
      <c r="L140" s="8"/>
      <c r="M140" s="8">
        <v>1</v>
      </c>
      <c r="N140" s="8"/>
      <c r="O140" s="117" t="s">
        <v>9</v>
      </c>
      <c r="P140" s="2" t="s">
        <v>37</v>
      </c>
      <c r="Q140" s="8"/>
      <c r="R140" s="116" t="s">
        <v>56</v>
      </c>
      <c r="S140" s="27">
        <v>46172</v>
      </c>
      <c r="T140" t="s">
        <v>5</v>
      </c>
      <c r="U140" s="2" t="s">
        <v>37</v>
      </c>
    </row>
    <row r="141" spans="1:21" x14ac:dyDescent="0.3">
      <c r="A141" s="54">
        <f t="shared" si="5"/>
        <v>140</v>
      </c>
      <c r="B141" s="153" t="s">
        <v>72</v>
      </c>
      <c r="C141" s="11" t="s">
        <v>248</v>
      </c>
      <c r="D141" s="8"/>
      <c r="E141" s="8">
        <v>1</v>
      </c>
      <c r="F141" s="20">
        <v>30</v>
      </c>
      <c r="G141" s="20">
        <v>4</v>
      </c>
      <c r="H141" s="8">
        <v>1</v>
      </c>
      <c r="I141" s="8">
        <v>3</v>
      </c>
      <c r="J141" s="55">
        <f t="shared" si="4"/>
        <v>3</v>
      </c>
      <c r="K141" s="8"/>
      <c r="L141" s="8"/>
      <c r="M141" s="8"/>
      <c r="N141" s="8"/>
      <c r="O141" s="45" t="s">
        <v>17</v>
      </c>
      <c r="P141" s="2" t="s">
        <v>37</v>
      </c>
      <c r="Q141" s="8"/>
      <c r="R141" s="116" t="s">
        <v>53</v>
      </c>
      <c r="S141" s="27">
        <v>46172</v>
      </c>
      <c r="T141" t="s">
        <v>5</v>
      </c>
      <c r="U141" s="2" t="s">
        <v>37</v>
      </c>
    </row>
    <row r="142" spans="1:21" x14ac:dyDescent="0.3">
      <c r="A142" s="54">
        <f t="shared" si="5"/>
        <v>141</v>
      </c>
      <c r="B142" s="153" t="s">
        <v>75</v>
      </c>
      <c r="C142" s="10" t="s">
        <v>249</v>
      </c>
      <c r="D142" s="8"/>
      <c r="E142" s="8">
        <v>1</v>
      </c>
      <c r="F142" s="21">
        <v>0</v>
      </c>
      <c r="G142" s="21">
        <v>2</v>
      </c>
      <c r="H142" s="8">
        <v>1</v>
      </c>
      <c r="I142" s="8">
        <v>4</v>
      </c>
      <c r="J142" s="55">
        <f t="shared" si="4"/>
        <v>4</v>
      </c>
      <c r="K142" s="8">
        <v>1</v>
      </c>
      <c r="L142" s="8"/>
      <c r="M142" s="8">
        <v>1</v>
      </c>
      <c r="N142" s="8"/>
      <c r="O142" s="117" t="s">
        <v>9</v>
      </c>
      <c r="P142" s="2" t="s">
        <v>37</v>
      </c>
      <c r="Q142" s="8"/>
      <c r="R142" s="116" t="s">
        <v>56</v>
      </c>
      <c r="S142" s="27">
        <v>46172</v>
      </c>
      <c r="T142" t="s">
        <v>5</v>
      </c>
      <c r="U142" s="2" t="s">
        <v>37</v>
      </c>
    </row>
    <row r="143" spans="1:21" x14ac:dyDescent="0.3">
      <c r="A143" s="54">
        <f t="shared" si="5"/>
        <v>142</v>
      </c>
      <c r="B143" s="153" t="s">
        <v>82</v>
      </c>
      <c r="C143" s="11" t="s">
        <v>250</v>
      </c>
      <c r="D143" s="8"/>
      <c r="E143" s="8">
        <v>1</v>
      </c>
      <c r="F143" s="20">
        <v>15</v>
      </c>
      <c r="G143" s="20">
        <v>1</v>
      </c>
      <c r="H143" s="8">
        <v>1</v>
      </c>
      <c r="I143" s="8">
        <v>4</v>
      </c>
      <c r="J143" s="55">
        <f t="shared" si="4"/>
        <v>4</v>
      </c>
      <c r="K143" s="8"/>
      <c r="L143" s="8"/>
      <c r="M143" s="8"/>
      <c r="N143" s="8">
        <v>1</v>
      </c>
      <c r="O143" s="20" t="s">
        <v>12</v>
      </c>
      <c r="P143" s="2" t="s">
        <v>37</v>
      </c>
      <c r="Q143" s="8"/>
      <c r="R143" s="116" t="s">
        <v>53</v>
      </c>
      <c r="S143" s="27">
        <v>46172</v>
      </c>
      <c r="T143" t="s">
        <v>5</v>
      </c>
      <c r="U143" s="2" t="s">
        <v>37</v>
      </c>
    </row>
    <row r="144" spans="1:21" x14ac:dyDescent="0.3">
      <c r="A144" s="54">
        <f t="shared" si="5"/>
        <v>143</v>
      </c>
      <c r="B144" s="153" t="s">
        <v>86</v>
      </c>
      <c r="C144" s="10" t="s">
        <v>251</v>
      </c>
      <c r="D144" s="8"/>
      <c r="E144" s="8">
        <v>1</v>
      </c>
      <c r="F144" s="8"/>
      <c r="G144" s="8"/>
      <c r="H144" s="8">
        <v>1</v>
      </c>
      <c r="I144" s="8">
        <v>3</v>
      </c>
      <c r="J144" s="55">
        <f t="shared" si="4"/>
        <v>3</v>
      </c>
      <c r="K144" s="8"/>
      <c r="L144" s="8"/>
      <c r="M144" s="8"/>
      <c r="N144" s="8">
        <v>1</v>
      </c>
      <c r="O144" s="45" t="s">
        <v>17</v>
      </c>
      <c r="P144" s="2" t="s">
        <v>37</v>
      </c>
      <c r="Q144" s="8"/>
      <c r="R144" s="99" t="s">
        <v>114</v>
      </c>
      <c r="S144" s="27">
        <v>46172</v>
      </c>
      <c r="T144" t="s">
        <v>5</v>
      </c>
      <c r="U144" s="2" t="s">
        <v>37</v>
      </c>
    </row>
    <row r="145" spans="1:21" x14ac:dyDescent="0.3">
      <c r="A145" s="54">
        <f t="shared" si="5"/>
        <v>144</v>
      </c>
      <c r="B145" s="153" t="s">
        <v>81</v>
      </c>
      <c r="C145" s="11" t="s">
        <v>252</v>
      </c>
      <c r="D145" s="8"/>
      <c r="E145" s="8">
        <v>1</v>
      </c>
      <c r="F145" s="8"/>
      <c r="G145" s="8"/>
      <c r="H145" s="8">
        <v>1</v>
      </c>
      <c r="I145" s="8">
        <v>3</v>
      </c>
      <c r="J145" s="55">
        <f t="shared" si="4"/>
        <v>3</v>
      </c>
      <c r="K145" s="8"/>
      <c r="L145" s="8"/>
      <c r="M145" s="8">
        <v>1</v>
      </c>
      <c r="N145" s="8"/>
      <c r="O145" s="117" t="s">
        <v>9</v>
      </c>
      <c r="P145" s="2" t="s">
        <v>37</v>
      </c>
      <c r="Q145" s="8"/>
      <c r="R145" s="116" t="s">
        <v>56</v>
      </c>
      <c r="S145" s="27">
        <v>46172</v>
      </c>
      <c r="T145" t="s">
        <v>5</v>
      </c>
      <c r="U145" s="2" t="s">
        <v>37</v>
      </c>
    </row>
    <row r="146" spans="1:21" x14ac:dyDescent="0.3">
      <c r="A146" s="54">
        <f t="shared" si="5"/>
        <v>145</v>
      </c>
      <c r="B146" s="153" t="s">
        <v>74</v>
      </c>
      <c r="C146" s="10" t="s">
        <v>253</v>
      </c>
      <c r="D146" s="8"/>
      <c r="E146" s="8">
        <v>1</v>
      </c>
      <c r="F146" s="8"/>
      <c r="G146" s="8"/>
      <c r="H146" s="8">
        <v>1</v>
      </c>
      <c r="I146" s="8">
        <v>4</v>
      </c>
      <c r="J146" s="55">
        <f t="shared" si="4"/>
        <v>4</v>
      </c>
      <c r="K146" s="8">
        <v>1</v>
      </c>
      <c r="L146" s="8"/>
      <c r="M146" s="8">
        <v>1</v>
      </c>
      <c r="N146" s="25"/>
      <c r="O146" s="45" t="s">
        <v>11</v>
      </c>
      <c r="P146" s="2" t="s">
        <v>37</v>
      </c>
      <c r="Q146" s="8"/>
      <c r="R146" s="116" t="s">
        <v>56</v>
      </c>
      <c r="S146" s="27">
        <v>46172</v>
      </c>
      <c r="T146" t="s">
        <v>5</v>
      </c>
      <c r="U146" s="2" t="s">
        <v>37</v>
      </c>
    </row>
    <row r="147" spans="1:21" x14ac:dyDescent="0.3">
      <c r="A147" s="54">
        <f t="shared" si="5"/>
        <v>146</v>
      </c>
      <c r="B147" s="153" t="s">
        <v>75</v>
      </c>
      <c r="C147" s="10" t="s">
        <v>254</v>
      </c>
      <c r="D147" s="8"/>
      <c r="E147" s="8">
        <v>1</v>
      </c>
      <c r="F147" s="8">
        <v>8</v>
      </c>
      <c r="G147" s="8">
        <v>1</v>
      </c>
      <c r="H147" s="8">
        <v>1</v>
      </c>
      <c r="I147" s="8">
        <v>2</v>
      </c>
      <c r="J147" s="55">
        <f t="shared" si="4"/>
        <v>2</v>
      </c>
      <c r="K147" s="8"/>
      <c r="L147" s="8"/>
      <c r="M147" s="8">
        <v>1</v>
      </c>
      <c r="N147" s="25"/>
      <c r="O147" s="45" t="s">
        <v>16</v>
      </c>
      <c r="P147" s="2" t="s">
        <v>37</v>
      </c>
      <c r="Q147" s="8"/>
      <c r="R147" s="116" t="s">
        <v>56</v>
      </c>
      <c r="S147" s="27">
        <v>46172</v>
      </c>
      <c r="T147" t="s">
        <v>5</v>
      </c>
      <c r="U147" s="2" t="s">
        <v>37</v>
      </c>
    </row>
    <row r="148" spans="1:21" x14ac:dyDescent="0.3">
      <c r="A148" s="54">
        <f t="shared" si="5"/>
        <v>147</v>
      </c>
      <c r="B148" s="153" t="s">
        <v>73</v>
      </c>
      <c r="C148" s="11" t="s">
        <v>255</v>
      </c>
      <c r="D148" s="8"/>
      <c r="E148" s="8">
        <v>1</v>
      </c>
      <c r="F148" s="8">
        <v>8</v>
      </c>
      <c r="G148" s="8"/>
      <c r="H148" s="8"/>
      <c r="I148" s="8"/>
      <c r="J148" s="55">
        <f t="shared" si="4"/>
        <v>0</v>
      </c>
      <c r="K148" s="8"/>
      <c r="L148" s="8"/>
      <c r="M148" s="8"/>
      <c r="N148" s="8"/>
      <c r="O148" s="117" t="s">
        <v>9</v>
      </c>
      <c r="P148" s="8" t="s">
        <v>37</v>
      </c>
      <c r="Q148" s="8"/>
      <c r="R148" s="116" t="s">
        <v>56</v>
      </c>
      <c r="S148" s="27">
        <v>46172</v>
      </c>
      <c r="T148" t="s">
        <v>5</v>
      </c>
      <c r="U148" s="2" t="s">
        <v>37</v>
      </c>
    </row>
    <row r="149" spans="1:21" x14ac:dyDescent="0.3">
      <c r="A149" s="54">
        <f t="shared" si="5"/>
        <v>148</v>
      </c>
      <c r="B149" s="153" t="s">
        <v>76</v>
      </c>
      <c r="C149" s="10" t="s">
        <v>256</v>
      </c>
      <c r="D149" s="8"/>
      <c r="E149" s="8">
        <v>1</v>
      </c>
      <c r="F149" s="8"/>
      <c r="G149" s="8"/>
      <c r="H149" s="8">
        <v>1</v>
      </c>
      <c r="I149" s="8">
        <v>3</v>
      </c>
      <c r="J149" s="55">
        <f t="shared" si="4"/>
        <v>3</v>
      </c>
      <c r="K149" s="8"/>
      <c r="L149" s="8"/>
      <c r="M149" s="8">
        <v>1</v>
      </c>
      <c r="N149" s="8"/>
      <c r="O149" s="117" t="s">
        <v>9</v>
      </c>
      <c r="P149" s="2" t="s">
        <v>37</v>
      </c>
      <c r="Q149" s="8"/>
      <c r="R149" s="116" t="s">
        <v>56</v>
      </c>
      <c r="S149" s="27">
        <v>46172</v>
      </c>
      <c r="T149" t="s">
        <v>5</v>
      </c>
      <c r="U149" s="2" t="s">
        <v>37</v>
      </c>
    </row>
    <row r="150" spans="1:21" x14ac:dyDescent="0.3">
      <c r="A150" s="54">
        <f t="shared" si="5"/>
        <v>149</v>
      </c>
      <c r="B150" s="153" t="s">
        <v>80</v>
      </c>
      <c r="C150" s="10" t="s">
        <v>257</v>
      </c>
      <c r="D150" s="8"/>
      <c r="E150" s="8">
        <v>1</v>
      </c>
      <c r="F150" s="8"/>
      <c r="G150" s="8"/>
      <c r="H150" s="8">
        <v>1</v>
      </c>
      <c r="I150" s="8">
        <v>2</v>
      </c>
      <c r="J150" s="55">
        <f t="shared" si="4"/>
        <v>2</v>
      </c>
      <c r="K150" s="8"/>
      <c r="L150" s="8"/>
      <c r="M150" s="8">
        <v>1</v>
      </c>
      <c r="N150" s="25"/>
      <c r="O150" s="45" t="s">
        <v>17</v>
      </c>
      <c r="P150" s="2" t="s">
        <v>37</v>
      </c>
      <c r="Q150" s="8"/>
      <c r="R150" s="116" t="s">
        <v>53</v>
      </c>
      <c r="S150" s="27">
        <v>46172</v>
      </c>
      <c r="T150" t="s">
        <v>5</v>
      </c>
      <c r="U150" s="8" t="s">
        <v>121</v>
      </c>
    </row>
    <row r="151" spans="1:21" x14ac:dyDescent="0.3">
      <c r="A151" s="54">
        <f t="shared" si="5"/>
        <v>150</v>
      </c>
      <c r="B151" s="153" t="s">
        <v>74</v>
      </c>
      <c r="C151" s="11" t="s">
        <v>258</v>
      </c>
      <c r="D151" s="8"/>
      <c r="E151" s="8">
        <v>1</v>
      </c>
      <c r="F151" s="8"/>
      <c r="G151" s="8"/>
      <c r="H151" s="8">
        <v>1</v>
      </c>
      <c r="I151" s="8">
        <v>4</v>
      </c>
      <c r="J151" s="55">
        <f t="shared" si="4"/>
        <v>4</v>
      </c>
      <c r="K151" s="8">
        <v>1</v>
      </c>
      <c r="L151" s="8"/>
      <c r="M151" s="8">
        <v>1</v>
      </c>
      <c r="N151" s="8"/>
      <c r="O151" s="117" t="s">
        <v>9</v>
      </c>
      <c r="P151" s="2" t="s">
        <v>37</v>
      </c>
      <c r="Q151" s="8"/>
      <c r="R151" s="116" t="s">
        <v>56</v>
      </c>
      <c r="S151" s="27">
        <v>46172</v>
      </c>
      <c r="T151" t="s">
        <v>5</v>
      </c>
      <c r="U151" s="2" t="s">
        <v>37</v>
      </c>
    </row>
    <row r="152" spans="1:21" x14ac:dyDescent="0.3">
      <c r="A152" s="54">
        <f t="shared" si="5"/>
        <v>151</v>
      </c>
      <c r="B152" s="153" t="s">
        <v>75</v>
      </c>
      <c r="C152" s="11" t="s">
        <v>259</v>
      </c>
      <c r="D152" s="8"/>
      <c r="E152" s="8">
        <v>1</v>
      </c>
      <c r="F152" s="8">
        <v>3</v>
      </c>
      <c r="G152" s="8">
        <v>8</v>
      </c>
      <c r="H152" s="8">
        <v>1</v>
      </c>
      <c r="I152" s="8">
        <v>3</v>
      </c>
      <c r="J152" s="55">
        <f t="shared" si="4"/>
        <v>3</v>
      </c>
      <c r="K152" s="8"/>
      <c r="L152" s="8"/>
      <c r="M152" s="8"/>
      <c r="N152" s="8">
        <v>1</v>
      </c>
      <c r="O152" s="26" t="s">
        <v>12</v>
      </c>
      <c r="P152" s="8" t="s">
        <v>37</v>
      </c>
      <c r="Q152" s="8"/>
      <c r="R152" s="116" t="s">
        <v>58</v>
      </c>
      <c r="S152" s="27">
        <v>46172</v>
      </c>
      <c r="T152" t="s">
        <v>5</v>
      </c>
      <c r="U152" s="2" t="s">
        <v>37</v>
      </c>
    </row>
    <row r="153" spans="1:21" x14ac:dyDescent="0.3">
      <c r="A153" s="54">
        <f t="shared" si="5"/>
        <v>152</v>
      </c>
      <c r="B153" s="153" t="s">
        <v>73</v>
      </c>
      <c r="C153" s="11" t="s">
        <v>260</v>
      </c>
      <c r="D153" s="8"/>
      <c r="E153" s="8">
        <v>1</v>
      </c>
      <c r="F153" s="8">
        <v>8</v>
      </c>
      <c r="G153" s="8">
        <v>1</v>
      </c>
      <c r="H153" s="8">
        <v>1</v>
      </c>
      <c r="I153" s="8">
        <v>3</v>
      </c>
      <c r="J153" s="55">
        <f t="shared" si="4"/>
        <v>3</v>
      </c>
      <c r="K153" s="8"/>
      <c r="L153" s="8"/>
      <c r="M153" s="8"/>
      <c r="N153" s="8">
        <v>1</v>
      </c>
      <c r="O153" s="26" t="s">
        <v>12</v>
      </c>
      <c r="P153" s="8" t="s">
        <v>37</v>
      </c>
      <c r="Q153" s="8"/>
      <c r="R153" s="116" t="s">
        <v>58</v>
      </c>
      <c r="S153" s="27">
        <v>46172</v>
      </c>
      <c r="T153" t="s">
        <v>5</v>
      </c>
      <c r="U153" s="2" t="s">
        <v>37</v>
      </c>
    </row>
    <row r="154" spans="1:21" x14ac:dyDescent="0.3">
      <c r="A154" s="54">
        <f t="shared" si="5"/>
        <v>153</v>
      </c>
      <c r="B154" s="153" t="s">
        <v>80</v>
      </c>
      <c r="C154" s="18" t="s">
        <v>261</v>
      </c>
      <c r="D154" s="8"/>
      <c r="E154" s="8">
        <v>1</v>
      </c>
      <c r="F154" s="8"/>
      <c r="G154" s="8"/>
      <c r="H154" s="8">
        <v>1</v>
      </c>
      <c r="I154" s="8">
        <v>3</v>
      </c>
      <c r="J154" s="55">
        <f t="shared" si="4"/>
        <v>3</v>
      </c>
      <c r="K154" s="8"/>
      <c r="L154" s="8"/>
      <c r="M154" s="8">
        <v>1</v>
      </c>
      <c r="N154" s="8"/>
      <c r="O154" s="26" t="s">
        <v>18</v>
      </c>
      <c r="P154" s="8" t="s">
        <v>121</v>
      </c>
      <c r="Q154" s="8"/>
      <c r="R154" s="116" t="s">
        <v>58</v>
      </c>
      <c r="S154" s="27">
        <v>46172</v>
      </c>
      <c r="T154" t="s">
        <v>5</v>
      </c>
      <c r="U154" s="8" t="s">
        <v>121</v>
      </c>
    </row>
    <row r="155" spans="1:21" x14ac:dyDescent="0.3">
      <c r="A155" s="54">
        <f t="shared" si="5"/>
        <v>154</v>
      </c>
      <c r="B155" s="153" t="s">
        <v>80</v>
      </c>
      <c r="C155" s="18" t="s">
        <v>262</v>
      </c>
      <c r="D155" s="8"/>
      <c r="E155" s="8">
        <v>1</v>
      </c>
      <c r="F155" s="8"/>
      <c r="G155" s="8"/>
      <c r="H155" s="8">
        <v>1</v>
      </c>
      <c r="I155" s="8">
        <v>3</v>
      </c>
      <c r="J155" s="55">
        <f t="shared" si="4"/>
        <v>3</v>
      </c>
      <c r="K155" s="8"/>
      <c r="L155" s="8"/>
      <c r="M155" s="8">
        <v>1</v>
      </c>
      <c r="N155" s="25"/>
      <c r="O155" s="45" t="s">
        <v>16</v>
      </c>
      <c r="P155" s="8" t="s">
        <v>37</v>
      </c>
      <c r="Q155" s="8"/>
      <c r="R155" s="116" t="s">
        <v>56</v>
      </c>
      <c r="S155" s="27">
        <v>46174</v>
      </c>
      <c r="T155" t="s">
        <v>54</v>
      </c>
      <c r="U155" s="8" t="s">
        <v>121</v>
      </c>
    </row>
    <row r="156" spans="1:21" x14ac:dyDescent="0.3">
      <c r="A156" s="54">
        <f t="shared" si="5"/>
        <v>155</v>
      </c>
      <c r="B156" s="153" t="s">
        <v>80</v>
      </c>
      <c r="C156" s="18" t="s">
        <v>263</v>
      </c>
      <c r="D156" s="8"/>
      <c r="E156" s="8">
        <v>1</v>
      </c>
      <c r="F156" s="8"/>
      <c r="G156" s="8"/>
      <c r="H156" s="8">
        <v>1</v>
      </c>
      <c r="I156" s="8">
        <v>3</v>
      </c>
      <c r="J156" s="55">
        <f t="shared" si="4"/>
        <v>3</v>
      </c>
      <c r="K156" s="8"/>
      <c r="L156" s="8"/>
      <c r="M156" s="8">
        <v>1</v>
      </c>
      <c r="N156" s="25"/>
      <c r="O156" s="45" t="s">
        <v>16</v>
      </c>
      <c r="P156" s="8" t="s">
        <v>37</v>
      </c>
      <c r="Q156" s="8"/>
      <c r="R156" s="116" t="s">
        <v>53</v>
      </c>
      <c r="S156" s="27">
        <v>46174</v>
      </c>
      <c r="T156" t="s">
        <v>54</v>
      </c>
      <c r="U156" s="8" t="s">
        <v>121</v>
      </c>
    </row>
    <row r="157" spans="1:21" x14ac:dyDescent="0.3">
      <c r="A157" s="54">
        <f t="shared" si="5"/>
        <v>156</v>
      </c>
      <c r="B157" s="153" t="s">
        <v>77</v>
      </c>
      <c r="C157" s="23" t="s">
        <v>264</v>
      </c>
      <c r="D157" s="8"/>
      <c r="E157" s="8">
        <v>1</v>
      </c>
      <c r="F157" s="8"/>
      <c r="G157" s="8"/>
      <c r="H157" s="8">
        <v>1</v>
      </c>
      <c r="I157" s="8">
        <v>1</v>
      </c>
      <c r="J157" s="55">
        <f t="shared" si="4"/>
        <v>1</v>
      </c>
      <c r="K157" s="8"/>
      <c r="L157" s="8"/>
      <c r="M157" s="8">
        <v>1</v>
      </c>
      <c r="N157" s="25"/>
      <c r="O157" s="66" t="s">
        <v>9</v>
      </c>
      <c r="P157" s="2" t="s">
        <v>37</v>
      </c>
      <c r="Q157" s="8"/>
      <c r="R157" s="116" t="s">
        <v>56</v>
      </c>
      <c r="S157" s="27">
        <v>46174</v>
      </c>
      <c r="T157" t="s">
        <v>54</v>
      </c>
      <c r="U157" s="8" t="s">
        <v>37</v>
      </c>
    </row>
    <row r="158" spans="1:21" x14ac:dyDescent="0.3">
      <c r="A158" s="54">
        <f t="shared" si="5"/>
        <v>157</v>
      </c>
      <c r="B158" s="153" t="s">
        <v>76</v>
      </c>
      <c r="C158" s="11" t="s">
        <v>265</v>
      </c>
      <c r="D158" s="8"/>
      <c r="E158" s="8">
        <v>1</v>
      </c>
      <c r="F158" s="8"/>
      <c r="G158" s="8"/>
      <c r="H158" s="8">
        <v>1</v>
      </c>
      <c r="I158" s="8">
        <v>2</v>
      </c>
      <c r="J158" s="55">
        <f t="shared" si="4"/>
        <v>2</v>
      </c>
      <c r="K158" s="8"/>
      <c r="L158" s="8"/>
      <c r="M158" s="8">
        <v>1</v>
      </c>
      <c r="N158" s="8"/>
      <c r="O158" s="116" t="s">
        <v>13</v>
      </c>
      <c r="P158" s="2" t="s">
        <v>37</v>
      </c>
      <c r="Q158" s="8"/>
      <c r="R158" s="116" t="s">
        <v>58</v>
      </c>
      <c r="S158" s="27">
        <v>46174</v>
      </c>
      <c r="T158" t="s">
        <v>54</v>
      </c>
      <c r="U158" s="8" t="s">
        <v>121</v>
      </c>
    </row>
    <row r="159" spans="1:21" x14ac:dyDescent="0.3">
      <c r="A159" s="54">
        <f t="shared" si="5"/>
        <v>158</v>
      </c>
      <c r="B159" s="153" t="s">
        <v>72</v>
      </c>
      <c r="C159" s="10" t="s">
        <v>266</v>
      </c>
      <c r="D159" s="8"/>
      <c r="E159" s="8">
        <v>1</v>
      </c>
      <c r="F159" s="8"/>
      <c r="G159" s="8"/>
      <c r="H159" s="8">
        <v>1</v>
      </c>
      <c r="I159" s="8">
        <v>2</v>
      </c>
      <c r="J159" s="55">
        <f t="shared" si="4"/>
        <v>2</v>
      </c>
      <c r="K159" s="8"/>
      <c r="L159" s="8"/>
      <c r="M159" s="8">
        <v>1</v>
      </c>
      <c r="N159" s="8"/>
      <c r="O159" s="117" t="s">
        <v>9</v>
      </c>
      <c r="P159" s="8" t="s">
        <v>37</v>
      </c>
      <c r="Q159" s="8"/>
      <c r="R159" s="116" t="s">
        <v>53</v>
      </c>
      <c r="S159" s="27">
        <v>46174</v>
      </c>
      <c r="T159" t="s">
        <v>54</v>
      </c>
      <c r="U159" s="2" t="s">
        <v>37</v>
      </c>
    </row>
    <row r="160" spans="1:21" x14ac:dyDescent="0.3">
      <c r="A160" s="54">
        <f t="shared" si="5"/>
        <v>159</v>
      </c>
      <c r="B160" s="153" t="s">
        <v>73</v>
      </c>
      <c r="C160" s="11" t="s">
        <v>267</v>
      </c>
      <c r="D160" s="8"/>
      <c r="E160" s="8">
        <v>1</v>
      </c>
      <c r="F160" s="8">
        <v>3</v>
      </c>
      <c r="G160" s="8">
        <v>2</v>
      </c>
      <c r="H160" s="8">
        <v>1</v>
      </c>
      <c r="I160" s="8">
        <v>2</v>
      </c>
      <c r="J160" s="55">
        <f t="shared" si="4"/>
        <v>2</v>
      </c>
      <c r="K160" s="8"/>
      <c r="L160" s="8"/>
      <c r="M160" s="8"/>
      <c r="N160" s="8">
        <v>1</v>
      </c>
      <c r="O160" s="45" t="s">
        <v>17</v>
      </c>
      <c r="P160" s="2" t="s">
        <v>37</v>
      </c>
      <c r="Q160" s="8"/>
      <c r="R160" s="99" t="s">
        <v>114</v>
      </c>
      <c r="S160" s="27">
        <v>46174</v>
      </c>
      <c r="T160" t="s">
        <v>54</v>
      </c>
      <c r="U160" s="2" t="s">
        <v>37</v>
      </c>
    </row>
    <row r="161" spans="1:21" x14ac:dyDescent="0.3">
      <c r="A161" s="54">
        <f t="shared" si="5"/>
        <v>160</v>
      </c>
      <c r="B161" s="153" t="s">
        <v>72</v>
      </c>
      <c r="C161" s="10" t="s">
        <v>268</v>
      </c>
      <c r="D161" s="8"/>
      <c r="E161" s="8">
        <v>1</v>
      </c>
      <c r="F161" s="8"/>
      <c r="G161" s="8"/>
      <c r="H161" s="8">
        <v>1</v>
      </c>
      <c r="I161" s="8">
        <v>3</v>
      </c>
      <c r="J161" s="55">
        <f t="shared" si="4"/>
        <v>3</v>
      </c>
      <c r="K161" s="8"/>
      <c r="L161" s="8"/>
      <c r="M161" s="8">
        <v>1</v>
      </c>
      <c r="N161" s="25"/>
      <c r="O161" s="118" t="s">
        <v>13</v>
      </c>
      <c r="P161" s="8" t="s">
        <v>37</v>
      </c>
      <c r="Q161" s="8"/>
      <c r="R161" s="21" t="s">
        <v>114</v>
      </c>
      <c r="S161" s="27">
        <v>46174</v>
      </c>
      <c r="T161" t="s">
        <v>54</v>
      </c>
      <c r="U161" s="8" t="s">
        <v>37</v>
      </c>
    </row>
    <row r="162" spans="1:21" x14ac:dyDescent="0.3">
      <c r="A162" s="54">
        <f t="shared" si="5"/>
        <v>161</v>
      </c>
      <c r="B162" s="153" t="s">
        <v>73</v>
      </c>
      <c r="C162" s="11" t="s">
        <v>269</v>
      </c>
      <c r="D162" s="8"/>
      <c r="E162" s="8">
        <v>1</v>
      </c>
      <c r="F162" s="8"/>
      <c r="G162" s="8"/>
      <c r="H162" s="8">
        <v>1</v>
      </c>
      <c r="I162" s="8">
        <v>3</v>
      </c>
      <c r="J162" s="55">
        <f t="shared" si="4"/>
        <v>3</v>
      </c>
      <c r="K162" s="8"/>
      <c r="L162" s="8"/>
      <c r="M162" s="8"/>
      <c r="N162" s="8">
        <v>1</v>
      </c>
      <c r="O162" s="45" t="s">
        <v>17</v>
      </c>
      <c r="P162" s="2" t="s">
        <v>37</v>
      </c>
      <c r="Q162" s="8"/>
      <c r="R162" s="99" t="s">
        <v>114</v>
      </c>
      <c r="S162" s="27">
        <v>46174</v>
      </c>
      <c r="T162" t="s">
        <v>54</v>
      </c>
      <c r="U162" s="2" t="s">
        <v>37</v>
      </c>
    </row>
    <row r="163" spans="1:21" x14ac:dyDescent="0.3">
      <c r="A163" s="54">
        <f t="shared" si="5"/>
        <v>162</v>
      </c>
      <c r="B163" s="153" t="s">
        <v>77</v>
      </c>
      <c r="C163" s="10" t="s">
        <v>270</v>
      </c>
      <c r="D163" s="8"/>
      <c r="E163" s="8">
        <v>1</v>
      </c>
      <c r="F163" s="8"/>
      <c r="G163" s="8"/>
      <c r="H163" s="8">
        <v>1</v>
      </c>
      <c r="I163" s="8">
        <v>2</v>
      </c>
      <c r="J163" s="55">
        <f t="shared" si="4"/>
        <v>2</v>
      </c>
      <c r="K163" s="8"/>
      <c r="L163" s="8"/>
      <c r="M163" s="8">
        <v>1</v>
      </c>
      <c r="N163" s="8"/>
      <c r="O163" s="22" t="s">
        <v>12</v>
      </c>
      <c r="P163" s="8" t="s">
        <v>37</v>
      </c>
      <c r="Q163" s="8"/>
      <c r="R163" s="99" t="s">
        <v>114</v>
      </c>
      <c r="S163" s="27">
        <v>46174</v>
      </c>
      <c r="T163" t="s">
        <v>54</v>
      </c>
      <c r="U163" s="8" t="s">
        <v>37</v>
      </c>
    </row>
    <row r="164" spans="1:21" x14ac:dyDescent="0.3">
      <c r="A164" s="54">
        <f t="shared" si="5"/>
        <v>163</v>
      </c>
      <c r="B164" s="153" t="s">
        <v>73</v>
      </c>
      <c r="C164" s="10" t="s">
        <v>271</v>
      </c>
      <c r="D164" s="8"/>
      <c r="E164" s="8">
        <v>1</v>
      </c>
      <c r="F164" s="8">
        <v>2</v>
      </c>
      <c r="G164" s="8">
        <v>2</v>
      </c>
      <c r="H164" s="8">
        <v>1</v>
      </c>
      <c r="I164" s="8">
        <v>3</v>
      </c>
      <c r="J164" s="55">
        <f t="shared" si="4"/>
        <v>3</v>
      </c>
      <c r="K164" s="8"/>
      <c r="L164" s="8"/>
      <c r="M164" s="8"/>
      <c r="N164" s="8">
        <v>1</v>
      </c>
      <c r="O164" s="45" t="s">
        <v>16</v>
      </c>
      <c r="P164" s="2" t="s">
        <v>37</v>
      </c>
      <c r="Q164" s="8"/>
      <c r="R164" s="116" t="s">
        <v>56</v>
      </c>
      <c r="S164" s="27">
        <v>46174</v>
      </c>
      <c r="T164" t="s">
        <v>54</v>
      </c>
      <c r="U164" s="2" t="s">
        <v>37</v>
      </c>
    </row>
    <row r="165" spans="1:21" x14ac:dyDescent="0.3">
      <c r="A165" s="54">
        <f t="shared" si="5"/>
        <v>164</v>
      </c>
      <c r="B165" s="153" t="s">
        <v>76</v>
      </c>
      <c r="C165" s="11" t="s">
        <v>272</v>
      </c>
      <c r="D165" s="8"/>
      <c r="E165" s="8">
        <v>1</v>
      </c>
      <c r="F165" s="8"/>
      <c r="G165" s="8"/>
      <c r="H165" s="8">
        <v>1</v>
      </c>
      <c r="I165" s="8">
        <v>2</v>
      </c>
      <c r="J165" s="55">
        <f t="shared" si="4"/>
        <v>2</v>
      </c>
      <c r="K165" s="8"/>
      <c r="L165" s="8"/>
      <c r="M165" s="8">
        <v>1</v>
      </c>
      <c r="N165" s="8"/>
      <c r="O165" s="26" t="s">
        <v>14</v>
      </c>
      <c r="P165" s="2" t="s">
        <v>37</v>
      </c>
      <c r="Q165" s="8"/>
      <c r="R165" s="116" t="s">
        <v>53</v>
      </c>
      <c r="S165" s="27">
        <v>46174</v>
      </c>
      <c r="T165" t="s">
        <v>54</v>
      </c>
      <c r="U165" s="8" t="s">
        <v>37</v>
      </c>
    </row>
    <row r="166" spans="1:21" x14ac:dyDescent="0.3">
      <c r="A166" s="54">
        <f t="shared" si="5"/>
        <v>165</v>
      </c>
      <c r="B166" s="153" t="s">
        <v>85</v>
      </c>
      <c r="C166" s="10" t="s">
        <v>273</v>
      </c>
      <c r="D166" s="8"/>
      <c r="E166" s="8">
        <v>1</v>
      </c>
      <c r="F166" s="8">
        <v>1</v>
      </c>
      <c r="G166" s="8">
        <v>9</v>
      </c>
      <c r="H166" s="8">
        <v>1</v>
      </c>
      <c r="I166" s="8">
        <v>1</v>
      </c>
      <c r="J166" s="55">
        <f t="shared" si="4"/>
        <v>1</v>
      </c>
      <c r="K166" s="8"/>
      <c r="L166" s="8"/>
      <c r="M166" s="8"/>
      <c r="N166" s="8">
        <v>1</v>
      </c>
      <c r="O166" s="8" t="s">
        <v>274</v>
      </c>
      <c r="P166" s="2" t="s">
        <v>37</v>
      </c>
      <c r="Q166" s="8"/>
      <c r="R166" s="116" t="s">
        <v>56</v>
      </c>
      <c r="S166" s="27">
        <v>46174</v>
      </c>
      <c r="T166" t="s">
        <v>54</v>
      </c>
      <c r="U166" s="2" t="s">
        <v>37</v>
      </c>
    </row>
    <row r="167" spans="1:21" x14ac:dyDescent="0.3">
      <c r="A167" s="54">
        <f t="shared" si="5"/>
        <v>166</v>
      </c>
      <c r="B167" s="153" t="s">
        <v>72</v>
      </c>
      <c r="C167" s="10" t="s">
        <v>275</v>
      </c>
      <c r="D167" s="8"/>
      <c r="E167" s="8">
        <v>1</v>
      </c>
      <c r="F167" s="8">
        <v>2</v>
      </c>
      <c r="G167" s="8">
        <v>1</v>
      </c>
      <c r="H167" s="8">
        <v>1</v>
      </c>
      <c r="I167" s="8">
        <v>3</v>
      </c>
      <c r="J167" s="55">
        <f t="shared" si="4"/>
        <v>3</v>
      </c>
      <c r="K167" s="8"/>
      <c r="L167" s="8"/>
      <c r="M167" s="8"/>
      <c r="N167" s="8">
        <v>1</v>
      </c>
      <c r="O167" s="45" t="s">
        <v>38</v>
      </c>
      <c r="P167" s="8" t="s">
        <v>37</v>
      </c>
      <c r="Q167" s="8"/>
      <c r="R167" s="116" t="s">
        <v>53</v>
      </c>
      <c r="S167" s="27">
        <v>46174</v>
      </c>
      <c r="T167" t="s">
        <v>54</v>
      </c>
      <c r="U167" s="2" t="s">
        <v>37</v>
      </c>
    </row>
    <row r="168" spans="1:21" x14ac:dyDescent="0.3">
      <c r="A168" s="54">
        <f t="shared" si="5"/>
        <v>167</v>
      </c>
      <c r="B168" s="153" t="s">
        <v>74</v>
      </c>
      <c r="C168" s="10" t="s">
        <v>276</v>
      </c>
      <c r="D168" s="8"/>
      <c r="E168" s="8">
        <v>1</v>
      </c>
      <c r="F168" s="8">
        <v>3</v>
      </c>
      <c r="G168" s="8">
        <v>1</v>
      </c>
      <c r="H168" s="8">
        <v>1</v>
      </c>
      <c r="I168" s="8">
        <v>3</v>
      </c>
      <c r="J168" s="55">
        <f t="shared" si="4"/>
        <v>3</v>
      </c>
      <c r="K168" s="8"/>
      <c r="L168" s="8"/>
      <c r="M168" s="8"/>
      <c r="N168" s="8">
        <v>1</v>
      </c>
      <c r="O168" s="45" t="s">
        <v>16</v>
      </c>
      <c r="P168" s="2" t="s">
        <v>37</v>
      </c>
      <c r="Q168" s="8"/>
      <c r="R168" s="116" t="s">
        <v>56</v>
      </c>
      <c r="S168" s="27">
        <v>46174</v>
      </c>
      <c r="T168" t="s">
        <v>54</v>
      </c>
      <c r="U168" s="2" t="s">
        <v>37</v>
      </c>
    </row>
    <row r="169" spans="1:21" x14ac:dyDescent="0.3">
      <c r="A169" s="54">
        <f t="shared" si="5"/>
        <v>168</v>
      </c>
      <c r="B169" s="153" t="s">
        <v>72</v>
      </c>
      <c r="C169" s="11" t="s">
        <v>277</v>
      </c>
      <c r="D169" s="8"/>
      <c r="E169" s="8">
        <v>1</v>
      </c>
      <c r="F169" s="8"/>
      <c r="G169" s="8"/>
      <c r="H169" s="8">
        <v>1</v>
      </c>
      <c r="I169" s="8">
        <v>3</v>
      </c>
      <c r="J169" s="55">
        <f t="shared" si="4"/>
        <v>3</v>
      </c>
      <c r="K169" s="8"/>
      <c r="L169" s="8"/>
      <c r="M169" s="8">
        <v>1</v>
      </c>
      <c r="N169" s="25"/>
      <c r="O169" s="45" t="s">
        <v>17</v>
      </c>
      <c r="P169" s="8" t="s">
        <v>37</v>
      </c>
      <c r="Q169" s="8"/>
      <c r="R169" s="21" t="s">
        <v>114</v>
      </c>
      <c r="S169" s="27">
        <v>46174</v>
      </c>
      <c r="T169" t="s">
        <v>54</v>
      </c>
      <c r="U169" s="8" t="s">
        <v>37</v>
      </c>
    </row>
    <row r="170" spans="1:21" x14ac:dyDescent="0.3">
      <c r="A170" s="54">
        <f t="shared" si="5"/>
        <v>169</v>
      </c>
      <c r="B170" s="153" t="s">
        <v>77</v>
      </c>
      <c r="C170" s="10" t="s">
        <v>278</v>
      </c>
      <c r="D170" s="8"/>
      <c r="E170" s="8">
        <v>1</v>
      </c>
      <c r="F170" s="8"/>
      <c r="G170" s="8"/>
      <c r="H170" s="8">
        <v>1</v>
      </c>
      <c r="I170" s="8">
        <v>4</v>
      </c>
      <c r="J170" s="55">
        <f t="shared" si="4"/>
        <v>4</v>
      </c>
      <c r="K170" s="8">
        <v>1</v>
      </c>
      <c r="L170" s="8"/>
      <c r="M170" s="8">
        <v>1</v>
      </c>
      <c r="N170" s="8"/>
      <c r="O170" s="22" t="s">
        <v>18</v>
      </c>
      <c r="P170" s="8" t="s">
        <v>37</v>
      </c>
      <c r="Q170" s="8"/>
      <c r="R170" s="116" t="s">
        <v>56</v>
      </c>
      <c r="S170" s="27">
        <v>46174</v>
      </c>
      <c r="T170" t="s">
        <v>54</v>
      </c>
      <c r="U170" s="2" t="s">
        <v>37</v>
      </c>
    </row>
    <row r="171" spans="1:21" x14ac:dyDescent="0.3">
      <c r="A171" s="54">
        <f t="shared" si="5"/>
        <v>170</v>
      </c>
      <c r="B171" s="153" t="s">
        <v>80</v>
      </c>
      <c r="C171" s="10" t="s">
        <v>279</v>
      </c>
      <c r="D171" s="8"/>
      <c r="E171" s="8">
        <v>1</v>
      </c>
      <c r="F171" s="8"/>
      <c r="G171" s="8"/>
      <c r="H171" s="8">
        <v>1</v>
      </c>
      <c r="I171" s="8">
        <v>3</v>
      </c>
      <c r="J171" s="55">
        <f t="shared" si="4"/>
        <v>3</v>
      </c>
      <c r="K171" s="8"/>
      <c r="L171" s="8"/>
      <c r="M171" s="8">
        <v>1</v>
      </c>
      <c r="N171" s="25"/>
      <c r="O171" s="45" t="s">
        <v>17</v>
      </c>
      <c r="P171" s="8" t="s">
        <v>37</v>
      </c>
      <c r="Q171" s="8"/>
      <c r="R171" s="21" t="s">
        <v>114</v>
      </c>
      <c r="S171" s="27">
        <v>46174</v>
      </c>
      <c r="T171" t="s">
        <v>54</v>
      </c>
      <c r="U171" s="8" t="s">
        <v>37</v>
      </c>
    </row>
    <row r="172" spans="1:21" x14ac:dyDescent="0.3">
      <c r="A172" s="54">
        <f t="shared" si="5"/>
        <v>171</v>
      </c>
      <c r="B172" s="153" t="s">
        <v>78</v>
      </c>
      <c r="C172" s="10" t="s">
        <v>280</v>
      </c>
      <c r="D172" s="8"/>
      <c r="E172" s="8">
        <v>1</v>
      </c>
      <c r="F172" s="8"/>
      <c r="G172" s="8"/>
      <c r="H172" s="8">
        <v>1</v>
      </c>
      <c r="I172" s="8">
        <v>3</v>
      </c>
      <c r="J172" s="55">
        <f t="shared" si="4"/>
        <v>3</v>
      </c>
      <c r="K172" s="8"/>
      <c r="L172" s="8"/>
      <c r="M172" s="8">
        <v>1</v>
      </c>
      <c r="N172" s="25"/>
      <c r="O172" s="66" t="s">
        <v>9</v>
      </c>
      <c r="P172" s="2" t="s">
        <v>37</v>
      </c>
      <c r="Q172" s="8"/>
      <c r="R172" s="116" t="s">
        <v>56</v>
      </c>
      <c r="S172" s="27">
        <v>46174</v>
      </c>
      <c r="T172" t="s">
        <v>54</v>
      </c>
      <c r="U172" s="8" t="s">
        <v>37</v>
      </c>
    </row>
    <row r="173" spans="1:21" x14ac:dyDescent="0.3">
      <c r="A173" s="54">
        <f t="shared" si="5"/>
        <v>172</v>
      </c>
      <c r="B173" s="153" t="s">
        <v>78</v>
      </c>
      <c r="C173" s="10" t="s">
        <v>281</v>
      </c>
      <c r="D173" s="8"/>
      <c r="E173" s="8">
        <v>1</v>
      </c>
      <c r="F173" s="8"/>
      <c r="G173" s="8"/>
      <c r="H173" s="8">
        <v>1</v>
      </c>
      <c r="I173" s="8">
        <v>2</v>
      </c>
      <c r="J173" s="55">
        <f t="shared" si="4"/>
        <v>2</v>
      </c>
      <c r="K173" s="8"/>
      <c r="L173" s="8"/>
      <c r="M173" s="8">
        <v>1</v>
      </c>
      <c r="N173" s="25"/>
      <c r="O173" s="45" t="s">
        <v>17</v>
      </c>
      <c r="P173" s="8" t="s">
        <v>37</v>
      </c>
      <c r="Q173" s="8"/>
      <c r="R173" s="99" t="s">
        <v>114</v>
      </c>
      <c r="S173" s="27">
        <v>46174</v>
      </c>
      <c r="T173" t="s">
        <v>54</v>
      </c>
      <c r="U173" s="8" t="s">
        <v>121</v>
      </c>
    </row>
    <row r="174" spans="1:21" x14ac:dyDescent="0.3">
      <c r="A174" s="54">
        <f t="shared" si="5"/>
        <v>173</v>
      </c>
      <c r="B174" s="153" t="s">
        <v>74</v>
      </c>
      <c r="C174" s="9" t="s">
        <v>282</v>
      </c>
      <c r="D174" s="8"/>
      <c r="E174" s="8">
        <v>1</v>
      </c>
      <c r="F174" s="8"/>
      <c r="G174" s="8"/>
      <c r="H174" s="8">
        <v>1</v>
      </c>
      <c r="I174" s="8">
        <v>2</v>
      </c>
      <c r="J174" s="55">
        <f t="shared" si="4"/>
        <v>2</v>
      </c>
      <c r="K174" s="8"/>
      <c r="L174" s="8"/>
      <c r="M174" s="8">
        <v>1</v>
      </c>
      <c r="N174" s="8"/>
      <c r="O174" s="45" t="s">
        <v>38</v>
      </c>
      <c r="P174" s="2" t="s">
        <v>37</v>
      </c>
      <c r="Q174" s="8"/>
      <c r="R174" s="116" t="s">
        <v>53</v>
      </c>
      <c r="S174" s="27">
        <v>46174</v>
      </c>
      <c r="T174" t="s">
        <v>54</v>
      </c>
      <c r="U174" s="2" t="s">
        <v>37</v>
      </c>
    </row>
    <row r="175" spans="1:21" x14ac:dyDescent="0.3">
      <c r="A175" s="54">
        <f t="shared" si="5"/>
        <v>174</v>
      </c>
      <c r="B175" s="153" t="s">
        <v>80</v>
      </c>
      <c r="C175" s="11" t="s">
        <v>283</v>
      </c>
      <c r="D175" s="8"/>
      <c r="E175" s="8">
        <v>1</v>
      </c>
      <c r="F175" s="8"/>
      <c r="G175" s="8"/>
      <c r="H175" s="8">
        <v>1</v>
      </c>
      <c r="I175" s="8">
        <v>2</v>
      </c>
      <c r="J175" s="55">
        <f t="shared" si="4"/>
        <v>2</v>
      </c>
      <c r="K175" s="8"/>
      <c r="L175" s="8"/>
      <c r="M175" s="8">
        <v>1</v>
      </c>
      <c r="N175" s="8"/>
      <c r="O175" s="19" t="s">
        <v>14</v>
      </c>
      <c r="P175" s="8" t="s">
        <v>121</v>
      </c>
      <c r="Q175" s="8"/>
      <c r="R175" s="116" t="s">
        <v>53</v>
      </c>
      <c r="S175" s="27">
        <v>46174</v>
      </c>
      <c r="T175" t="s">
        <v>54</v>
      </c>
      <c r="U175" s="8" t="s">
        <v>121</v>
      </c>
    </row>
    <row r="176" spans="1:21" x14ac:dyDescent="0.3">
      <c r="A176" s="54">
        <f t="shared" si="5"/>
        <v>175</v>
      </c>
      <c r="B176" s="153" t="s">
        <v>75</v>
      </c>
      <c r="C176" s="10" t="s">
        <v>284</v>
      </c>
      <c r="D176" s="8"/>
      <c r="E176" s="8">
        <v>1</v>
      </c>
      <c r="F176" s="8"/>
      <c r="G176" s="8"/>
      <c r="H176" s="8">
        <v>1</v>
      </c>
      <c r="I176" s="8">
        <v>2</v>
      </c>
      <c r="J176" s="55">
        <f t="shared" si="4"/>
        <v>2</v>
      </c>
      <c r="K176" s="39"/>
      <c r="L176" s="8"/>
      <c r="M176" s="8">
        <v>1</v>
      </c>
      <c r="N176" s="25"/>
      <c r="O176" s="45" t="s">
        <v>17</v>
      </c>
      <c r="P176" s="8" t="s">
        <v>37</v>
      </c>
      <c r="Q176" s="8"/>
      <c r="R176" s="21" t="s">
        <v>114</v>
      </c>
      <c r="S176" s="27">
        <v>46174</v>
      </c>
      <c r="T176" t="s">
        <v>54</v>
      </c>
      <c r="U176" s="2" t="s">
        <v>37</v>
      </c>
    </row>
    <row r="177" spans="1:21" x14ac:dyDescent="0.3">
      <c r="A177" s="54">
        <f t="shared" si="5"/>
        <v>176</v>
      </c>
      <c r="B177" s="153" t="s">
        <v>76</v>
      </c>
      <c r="C177" s="10" t="s">
        <v>285</v>
      </c>
      <c r="D177" s="8"/>
      <c r="E177" s="8">
        <v>1</v>
      </c>
      <c r="F177" s="8"/>
      <c r="G177" s="8"/>
      <c r="H177" s="8">
        <v>1</v>
      </c>
      <c r="I177" s="8">
        <v>1</v>
      </c>
      <c r="J177" s="55">
        <f t="shared" si="4"/>
        <v>1</v>
      </c>
      <c r="K177" s="40"/>
      <c r="L177" s="8"/>
      <c r="M177" s="8">
        <v>1</v>
      </c>
      <c r="N177" s="25"/>
      <c r="O177" s="66" t="s">
        <v>16</v>
      </c>
      <c r="P177" s="2" t="s">
        <v>37</v>
      </c>
      <c r="Q177" s="8"/>
      <c r="R177" s="21" t="s">
        <v>114</v>
      </c>
      <c r="S177" s="27">
        <v>46174</v>
      </c>
      <c r="T177" t="s">
        <v>54</v>
      </c>
      <c r="U177" s="8" t="s">
        <v>121</v>
      </c>
    </row>
    <row r="178" spans="1:21" x14ac:dyDescent="0.3">
      <c r="A178" s="54">
        <f t="shared" si="5"/>
        <v>177</v>
      </c>
      <c r="B178" s="153" t="s">
        <v>74</v>
      </c>
      <c r="C178" s="10" t="s">
        <v>286</v>
      </c>
      <c r="D178" s="8"/>
      <c r="E178" s="18">
        <v>1</v>
      </c>
      <c r="G178" s="81"/>
      <c r="H178" s="24">
        <v>1</v>
      </c>
      <c r="I178" s="25">
        <v>3</v>
      </c>
      <c r="J178" s="55">
        <f t="shared" si="4"/>
        <v>3</v>
      </c>
      <c r="K178" s="40"/>
      <c r="L178" s="41"/>
      <c r="M178" s="42">
        <v>1</v>
      </c>
      <c r="N178" s="43"/>
      <c r="O178" s="45" t="s">
        <v>16</v>
      </c>
      <c r="P178" s="2" t="s">
        <v>37</v>
      </c>
      <c r="Q178" s="8"/>
      <c r="R178" s="116" t="s">
        <v>58</v>
      </c>
      <c r="S178" s="27">
        <v>46175</v>
      </c>
      <c r="T178" t="s">
        <v>54</v>
      </c>
      <c r="U178" s="8" t="s">
        <v>121</v>
      </c>
    </row>
    <row r="179" spans="1:21" x14ac:dyDescent="0.3">
      <c r="A179" s="54">
        <f t="shared" si="5"/>
        <v>178</v>
      </c>
      <c r="B179" s="153" t="s">
        <v>77</v>
      </c>
      <c r="C179" s="10" t="s">
        <v>287</v>
      </c>
      <c r="D179" s="8"/>
      <c r="E179" s="18">
        <v>1</v>
      </c>
      <c r="F179" s="82"/>
      <c r="G179" s="83"/>
      <c r="H179" s="24">
        <v>1</v>
      </c>
      <c r="I179" s="25">
        <v>3</v>
      </c>
      <c r="J179" s="55">
        <f t="shared" si="4"/>
        <v>3</v>
      </c>
      <c r="K179" s="40"/>
      <c r="L179" s="44"/>
      <c r="M179" s="42">
        <v>1</v>
      </c>
      <c r="N179" s="45"/>
      <c r="O179" s="117" t="s">
        <v>9</v>
      </c>
      <c r="P179" s="8" t="s">
        <v>37</v>
      </c>
      <c r="Q179" s="8"/>
      <c r="R179" s="116" t="s">
        <v>56</v>
      </c>
      <c r="S179" s="27">
        <v>46175</v>
      </c>
      <c r="T179" t="s">
        <v>54</v>
      </c>
      <c r="U179" s="2" t="s">
        <v>37</v>
      </c>
    </row>
    <row r="180" spans="1:21" x14ac:dyDescent="0.3">
      <c r="A180" s="54">
        <f t="shared" si="5"/>
        <v>179</v>
      </c>
      <c r="B180" s="153" t="s">
        <v>73</v>
      </c>
      <c r="C180" s="84" t="s">
        <v>288</v>
      </c>
      <c r="D180" s="8"/>
      <c r="E180" s="8">
        <v>1</v>
      </c>
      <c r="F180" s="85">
        <v>15</v>
      </c>
      <c r="G180" s="85">
        <v>2</v>
      </c>
      <c r="H180" s="8">
        <v>1</v>
      </c>
      <c r="I180" s="8">
        <v>1</v>
      </c>
      <c r="J180" s="55">
        <f t="shared" si="4"/>
        <v>1</v>
      </c>
      <c r="K180" s="8"/>
      <c r="L180" s="8">
        <v>1</v>
      </c>
      <c r="M180" s="8"/>
      <c r="N180" s="8">
        <v>1</v>
      </c>
      <c r="O180" s="45" t="s">
        <v>17</v>
      </c>
      <c r="P180" s="8" t="s">
        <v>37</v>
      </c>
      <c r="Q180" s="8"/>
      <c r="R180" s="116" t="s">
        <v>53</v>
      </c>
      <c r="S180" s="27">
        <v>46175</v>
      </c>
      <c r="T180" t="s">
        <v>54</v>
      </c>
      <c r="U180" s="2" t="s">
        <v>37</v>
      </c>
    </row>
    <row r="181" spans="1:21" x14ac:dyDescent="0.3">
      <c r="A181" s="54">
        <f t="shared" si="5"/>
        <v>180</v>
      </c>
      <c r="B181" s="153" t="s">
        <v>81</v>
      </c>
      <c r="C181" s="51" t="s">
        <v>289</v>
      </c>
      <c r="D181" s="8"/>
      <c r="E181" s="8">
        <v>1</v>
      </c>
      <c r="F181" s="8"/>
      <c r="G181" s="15"/>
      <c r="H181" s="8">
        <v>1</v>
      </c>
      <c r="I181" s="8">
        <v>4</v>
      </c>
      <c r="J181" s="55">
        <f t="shared" si="4"/>
        <v>4</v>
      </c>
      <c r="K181" s="8">
        <v>1</v>
      </c>
      <c r="L181" s="8"/>
      <c r="M181" s="8">
        <v>1</v>
      </c>
      <c r="N181" s="8"/>
      <c r="O181" s="118" t="s">
        <v>13</v>
      </c>
      <c r="P181" s="2" t="s">
        <v>37</v>
      </c>
      <c r="Q181" s="8"/>
      <c r="R181" s="116" t="s">
        <v>53</v>
      </c>
      <c r="S181" s="27">
        <v>46175</v>
      </c>
      <c r="T181" t="s">
        <v>54</v>
      </c>
      <c r="U181" s="8" t="s">
        <v>121</v>
      </c>
    </row>
    <row r="182" spans="1:21" x14ac:dyDescent="0.3">
      <c r="A182" s="54">
        <f t="shared" si="5"/>
        <v>181</v>
      </c>
      <c r="B182" s="153" t="s">
        <v>74</v>
      </c>
      <c r="C182" s="84" t="s">
        <v>290</v>
      </c>
      <c r="D182" s="8"/>
      <c r="E182" s="8">
        <v>1</v>
      </c>
      <c r="F182" s="85">
        <v>6</v>
      </c>
      <c r="G182" s="85">
        <v>3</v>
      </c>
      <c r="H182" s="8">
        <v>1</v>
      </c>
      <c r="I182" s="8">
        <v>3</v>
      </c>
      <c r="J182" s="55">
        <f t="shared" si="4"/>
        <v>3</v>
      </c>
      <c r="K182" s="8"/>
      <c r="L182" s="8"/>
      <c r="M182" s="8">
        <v>1</v>
      </c>
      <c r="N182" s="8"/>
      <c r="O182" s="118" t="s">
        <v>13</v>
      </c>
      <c r="P182" s="2" t="s">
        <v>37</v>
      </c>
      <c r="Q182" s="8"/>
      <c r="R182" s="116" t="s">
        <v>56</v>
      </c>
      <c r="S182" s="27">
        <v>46175</v>
      </c>
      <c r="T182" t="s">
        <v>54</v>
      </c>
      <c r="U182" s="8" t="s">
        <v>121</v>
      </c>
    </row>
    <row r="183" spans="1:21" x14ac:dyDescent="0.3">
      <c r="A183" s="54">
        <f t="shared" si="5"/>
        <v>182</v>
      </c>
      <c r="B183" s="153" t="s">
        <v>74</v>
      </c>
      <c r="C183" s="51" t="s">
        <v>291</v>
      </c>
      <c r="D183" s="8"/>
      <c r="E183" s="8">
        <v>1</v>
      </c>
      <c r="F183" s="8"/>
      <c r="G183" s="15"/>
      <c r="H183" s="8">
        <v>1</v>
      </c>
      <c r="I183" s="8">
        <v>4</v>
      </c>
      <c r="J183" s="55">
        <f t="shared" si="4"/>
        <v>4</v>
      </c>
      <c r="K183" s="8">
        <v>1</v>
      </c>
      <c r="L183" s="8"/>
      <c r="M183" s="8">
        <v>1</v>
      </c>
      <c r="N183" s="8"/>
      <c r="O183" s="15" t="s">
        <v>12</v>
      </c>
      <c r="P183" s="2" t="s">
        <v>37</v>
      </c>
      <c r="Q183" s="8"/>
      <c r="R183" s="116" t="s">
        <v>53</v>
      </c>
      <c r="S183" s="27">
        <v>46175</v>
      </c>
      <c r="T183" t="s">
        <v>54</v>
      </c>
      <c r="U183" s="2" t="s">
        <v>37</v>
      </c>
    </row>
    <row r="184" spans="1:21" x14ac:dyDescent="0.3">
      <c r="A184" s="54">
        <f t="shared" si="5"/>
        <v>183</v>
      </c>
      <c r="B184" s="153" t="s">
        <v>73</v>
      </c>
      <c r="C184" s="84" t="s">
        <v>292</v>
      </c>
      <c r="D184" s="8"/>
      <c r="E184" s="8">
        <v>1</v>
      </c>
      <c r="F184" s="85">
        <v>3</v>
      </c>
      <c r="G184" s="85">
        <v>2</v>
      </c>
      <c r="H184" s="8">
        <v>1</v>
      </c>
      <c r="I184" s="8">
        <v>3</v>
      </c>
      <c r="J184" s="55">
        <f t="shared" si="4"/>
        <v>3</v>
      </c>
      <c r="K184" s="8"/>
      <c r="L184" s="8">
        <v>1</v>
      </c>
      <c r="M184" s="8"/>
      <c r="N184" s="8">
        <v>1</v>
      </c>
      <c r="O184" s="45" t="s">
        <v>16</v>
      </c>
      <c r="P184" s="2" t="s">
        <v>37</v>
      </c>
      <c r="Q184" s="8"/>
      <c r="R184" s="85" t="s">
        <v>114</v>
      </c>
      <c r="S184" s="27">
        <v>46175</v>
      </c>
      <c r="T184" t="s">
        <v>54</v>
      </c>
      <c r="U184" s="2" t="s">
        <v>37</v>
      </c>
    </row>
    <row r="185" spans="1:21" x14ac:dyDescent="0.3">
      <c r="A185" s="54">
        <f t="shared" si="5"/>
        <v>184</v>
      </c>
      <c r="B185" s="153" t="s">
        <v>74</v>
      </c>
      <c r="C185" s="51" t="s">
        <v>293</v>
      </c>
      <c r="D185" s="8"/>
      <c r="E185" s="8">
        <v>1</v>
      </c>
      <c r="F185" s="8"/>
      <c r="G185" s="15"/>
      <c r="H185" s="8">
        <v>1</v>
      </c>
      <c r="I185" s="8">
        <v>4</v>
      </c>
      <c r="J185" s="55">
        <f t="shared" si="4"/>
        <v>4</v>
      </c>
      <c r="K185" s="8">
        <v>1</v>
      </c>
      <c r="L185" s="8"/>
      <c r="M185" s="8">
        <v>1</v>
      </c>
      <c r="N185" s="8"/>
      <c r="O185" s="45" t="s">
        <v>17</v>
      </c>
      <c r="P185" s="2" t="s">
        <v>37</v>
      </c>
      <c r="Q185" s="8"/>
      <c r="R185" s="116" t="s">
        <v>53</v>
      </c>
      <c r="S185" s="27">
        <v>46175</v>
      </c>
      <c r="T185" t="s">
        <v>54</v>
      </c>
      <c r="U185" s="2" t="s">
        <v>37</v>
      </c>
    </row>
    <row r="186" spans="1:21" x14ac:dyDescent="0.3">
      <c r="A186" s="54">
        <f t="shared" si="5"/>
        <v>185</v>
      </c>
      <c r="B186" s="153" t="s">
        <v>85</v>
      </c>
      <c r="C186" s="84" t="s">
        <v>294</v>
      </c>
      <c r="D186" s="8"/>
      <c r="E186" s="8">
        <v>1</v>
      </c>
      <c r="F186" s="85">
        <v>10</v>
      </c>
      <c r="G186" s="85">
        <v>2</v>
      </c>
      <c r="H186" s="8">
        <v>1</v>
      </c>
      <c r="I186" s="8">
        <v>3</v>
      </c>
      <c r="J186" s="55">
        <f t="shared" si="4"/>
        <v>3</v>
      </c>
      <c r="K186" s="8"/>
      <c r="L186" s="8"/>
      <c r="M186" s="8"/>
      <c r="N186" s="8">
        <v>1</v>
      </c>
      <c r="O186" s="85" t="s">
        <v>12</v>
      </c>
      <c r="P186" s="2" t="s">
        <v>37</v>
      </c>
      <c r="Q186" s="8"/>
      <c r="R186" s="116" t="s">
        <v>58</v>
      </c>
      <c r="S186" s="27">
        <v>46175</v>
      </c>
      <c r="T186" t="s">
        <v>54</v>
      </c>
      <c r="U186" s="2" t="s">
        <v>37</v>
      </c>
    </row>
    <row r="187" spans="1:21" x14ac:dyDescent="0.3">
      <c r="A187" s="54">
        <f t="shared" si="5"/>
        <v>186</v>
      </c>
      <c r="B187" s="153" t="s">
        <v>87</v>
      </c>
      <c r="C187" s="51" t="s">
        <v>295</v>
      </c>
      <c r="D187" s="8"/>
      <c r="E187" s="8">
        <v>1</v>
      </c>
      <c r="F187" s="15">
        <v>0</v>
      </c>
      <c r="G187" s="15">
        <v>2</v>
      </c>
      <c r="H187" s="8">
        <v>1</v>
      </c>
      <c r="I187" s="8">
        <v>3</v>
      </c>
      <c r="J187" s="55">
        <f t="shared" si="4"/>
        <v>3</v>
      </c>
      <c r="K187" s="8"/>
      <c r="L187" s="8"/>
      <c r="M187" s="8"/>
      <c r="N187" s="8">
        <v>1</v>
      </c>
      <c r="O187" s="45" t="s">
        <v>11</v>
      </c>
      <c r="P187" s="8" t="s">
        <v>37</v>
      </c>
      <c r="Q187" s="8"/>
      <c r="R187" s="116" t="s">
        <v>53</v>
      </c>
      <c r="S187" s="27">
        <v>46175</v>
      </c>
      <c r="T187" t="s">
        <v>54</v>
      </c>
      <c r="U187" s="2" t="s">
        <v>37</v>
      </c>
    </row>
    <row r="188" spans="1:21" x14ac:dyDescent="0.3">
      <c r="A188" s="54">
        <f t="shared" si="5"/>
        <v>187</v>
      </c>
      <c r="B188" s="153" t="s">
        <v>76</v>
      </c>
      <c r="C188" s="84" t="s">
        <v>296</v>
      </c>
      <c r="D188" s="8"/>
      <c r="E188" s="8">
        <v>1</v>
      </c>
      <c r="F188" s="8"/>
      <c r="G188" s="85"/>
      <c r="H188" s="8">
        <v>1</v>
      </c>
      <c r="I188" s="8">
        <v>1</v>
      </c>
      <c r="J188" s="55">
        <f t="shared" si="4"/>
        <v>1</v>
      </c>
      <c r="K188" s="8"/>
      <c r="L188" s="8"/>
      <c r="M188" s="8">
        <v>1</v>
      </c>
      <c r="N188" s="8"/>
      <c r="O188" s="45" t="s">
        <v>16</v>
      </c>
      <c r="P188" s="8" t="s">
        <v>37</v>
      </c>
      <c r="Q188" s="8"/>
      <c r="R188" s="116" t="s">
        <v>58</v>
      </c>
      <c r="S188" s="27">
        <v>46175</v>
      </c>
      <c r="T188" t="s">
        <v>54</v>
      </c>
      <c r="U188" s="2" t="s">
        <v>37</v>
      </c>
    </row>
    <row r="189" spans="1:21" x14ac:dyDescent="0.3">
      <c r="A189" s="54">
        <f t="shared" si="5"/>
        <v>188</v>
      </c>
      <c r="B189" s="153" t="s">
        <v>76</v>
      </c>
      <c r="C189" s="51" t="s">
        <v>297</v>
      </c>
      <c r="D189" s="8"/>
      <c r="E189" s="8">
        <v>1</v>
      </c>
      <c r="F189" s="8"/>
      <c r="G189" s="15"/>
      <c r="H189" s="8">
        <v>1</v>
      </c>
      <c r="I189" s="8">
        <v>3</v>
      </c>
      <c r="J189" s="55">
        <f t="shared" si="4"/>
        <v>3</v>
      </c>
      <c r="K189" s="8"/>
      <c r="L189" s="8"/>
      <c r="M189" s="8">
        <v>1</v>
      </c>
      <c r="N189" s="8"/>
      <c r="O189" s="45" t="s">
        <v>38</v>
      </c>
      <c r="P189" s="2" t="s">
        <v>37</v>
      </c>
      <c r="Q189" s="8"/>
      <c r="R189" t="s">
        <v>59</v>
      </c>
      <c r="S189" s="27">
        <v>46175</v>
      </c>
      <c r="T189" t="s">
        <v>54</v>
      </c>
      <c r="U189" s="8" t="s">
        <v>37</v>
      </c>
    </row>
    <row r="190" spans="1:21" x14ac:dyDescent="0.3">
      <c r="A190" s="54">
        <f t="shared" si="5"/>
        <v>189</v>
      </c>
      <c r="B190" s="153" t="s">
        <v>72</v>
      </c>
      <c r="C190" s="84" t="s">
        <v>298</v>
      </c>
      <c r="D190" s="8"/>
      <c r="E190" s="8">
        <v>1</v>
      </c>
      <c r="F190" s="8"/>
      <c r="G190" s="8"/>
      <c r="H190" s="8">
        <v>1</v>
      </c>
      <c r="I190" s="8">
        <v>2</v>
      </c>
      <c r="J190" s="55">
        <f t="shared" si="4"/>
        <v>2</v>
      </c>
      <c r="K190" s="8"/>
      <c r="L190" s="8"/>
      <c r="M190" s="8">
        <v>1</v>
      </c>
      <c r="N190" s="8"/>
      <c r="O190" s="45" t="s">
        <v>17</v>
      </c>
      <c r="P190" s="8" t="s">
        <v>121</v>
      </c>
      <c r="Q190" s="8"/>
      <c r="R190" s="116" t="s">
        <v>58</v>
      </c>
      <c r="S190" s="27">
        <v>46175</v>
      </c>
      <c r="T190" t="s">
        <v>54</v>
      </c>
      <c r="U190" s="8" t="s">
        <v>121</v>
      </c>
    </row>
    <row r="191" spans="1:21" x14ac:dyDescent="0.3">
      <c r="A191" s="54">
        <f t="shared" si="5"/>
        <v>190</v>
      </c>
      <c r="B191" s="153" t="s">
        <v>74</v>
      </c>
      <c r="C191" s="51" t="s">
        <v>299</v>
      </c>
      <c r="D191" s="8"/>
      <c r="E191" s="8">
        <v>1</v>
      </c>
      <c r="F191" s="8"/>
      <c r="G191" s="8"/>
      <c r="H191" s="8">
        <v>1</v>
      </c>
      <c r="I191" s="8">
        <v>2</v>
      </c>
      <c r="J191" s="55">
        <f t="shared" si="4"/>
        <v>2</v>
      </c>
      <c r="K191" s="8"/>
      <c r="L191" s="8"/>
      <c r="M191" s="8">
        <v>1</v>
      </c>
      <c r="N191" s="8"/>
      <c r="O191" s="45" t="s">
        <v>38</v>
      </c>
      <c r="P191" s="2" t="s">
        <v>37</v>
      </c>
      <c r="Q191" s="8"/>
      <c r="R191" s="116" t="s">
        <v>53</v>
      </c>
      <c r="S191" s="27">
        <v>46175</v>
      </c>
      <c r="T191" t="s">
        <v>54</v>
      </c>
      <c r="U191" s="2" t="s">
        <v>37</v>
      </c>
    </row>
    <row r="192" spans="1:21" x14ac:dyDescent="0.3">
      <c r="A192" s="54">
        <f t="shared" si="5"/>
        <v>191</v>
      </c>
      <c r="B192" s="153" t="s">
        <v>76</v>
      </c>
      <c r="C192" s="84" t="s">
        <v>300</v>
      </c>
      <c r="D192" s="8"/>
      <c r="E192" s="8">
        <v>1</v>
      </c>
      <c r="F192" s="8"/>
      <c r="G192" s="8"/>
      <c r="H192" s="8">
        <v>1</v>
      </c>
      <c r="I192" s="8">
        <v>1</v>
      </c>
      <c r="J192" s="55">
        <f t="shared" si="4"/>
        <v>1</v>
      </c>
      <c r="K192" s="8"/>
      <c r="L192" s="8"/>
      <c r="M192" s="8">
        <v>1</v>
      </c>
      <c r="N192" s="25"/>
      <c r="O192" s="66" t="s">
        <v>9</v>
      </c>
      <c r="P192" s="2" t="s">
        <v>37</v>
      </c>
      <c r="Q192" s="8"/>
      <c r="R192" s="116" t="s">
        <v>56</v>
      </c>
      <c r="S192" s="27">
        <v>46175</v>
      </c>
      <c r="T192" t="s">
        <v>54</v>
      </c>
      <c r="U192" s="8" t="s">
        <v>37</v>
      </c>
    </row>
    <row r="193" spans="1:21" x14ac:dyDescent="0.3">
      <c r="A193" s="54">
        <f t="shared" si="5"/>
        <v>192</v>
      </c>
      <c r="B193" s="153" t="s">
        <v>76</v>
      </c>
      <c r="C193" s="51" t="s">
        <v>301</v>
      </c>
      <c r="D193" s="8"/>
      <c r="E193" s="8">
        <v>1</v>
      </c>
      <c r="F193" s="8"/>
      <c r="G193" s="8"/>
      <c r="H193" s="8">
        <v>1</v>
      </c>
      <c r="I193" s="8">
        <v>3</v>
      </c>
      <c r="J193" s="55">
        <f t="shared" si="4"/>
        <v>3</v>
      </c>
      <c r="K193" s="8"/>
      <c r="L193" s="8"/>
      <c r="M193" s="8">
        <v>1</v>
      </c>
      <c r="N193" s="8"/>
      <c r="O193" s="15" t="s">
        <v>12</v>
      </c>
      <c r="P193" s="2" t="s">
        <v>37</v>
      </c>
      <c r="Q193" s="8"/>
      <c r="R193" s="116" t="s">
        <v>58</v>
      </c>
      <c r="S193" s="27">
        <v>46175</v>
      </c>
      <c r="T193" t="s">
        <v>54</v>
      </c>
      <c r="U193" s="2" t="s">
        <v>37</v>
      </c>
    </row>
    <row r="194" spans="1:21" x14ac:dyDescent="0.3">
      <c r="A194" s="54">
        <f t="shared" si="5"/>
        <v>193</v>
      </c>
      <c r="B194" s="153" t="s">
        <v>77</v>
      </c>
      <c r="C194" s="84" t="s">
        <v>302</v>
      </c>
      <c r="D194" s="8"/>
      <c r="E194" s="8">
        <v>1</v>
      </c>
      <c r="F194" s="8">
        <v>7</v>
      </c>
      <c r="G194" s="8">
        <v>2</v>
      </c>
      <c r="H194" s="8">
        <v>1</v>
      </c>
      <c r="I194" s="8">
        <v>3</v>
      </c>
      <c r="J194" s="55">
        <f t="shared" ref="J194:J257" si="6">I194*H194</f>
        <v>3</v>
      </c>
      <c r="K194" s="8"/>
      <c r="L194" s="8"/>
      <c r="M194" s="8"/>
      <c r="N194" s="8">
        <v>1</v>
      </c>
      <c r="O194" s="85" t="s">
        <v>12</v>
      </c>
      <c r="P194" s="8" t="s">
        <v>37</v>
      </c>
      <c r="Q194" s="8"/>
      <c r="R194" s="99" t="s">
        <v>114</v>
      </c>
      <c r="S194" s="27">
        <v>46175</v>
      </c>
      <c r="T194" t="s">
        <v>54</v>
      </c>
      <c r="U194" s="2" t="s">
        <v>37</v>
      </c>
    </row>
    <row r="195" spans="1:21" x14ac:dyDescent="0.3">
      <c r="A195" s="54">
        <f t="shared" ref="A195:A258" si="7">A194+1</f>
        <v>194</v>
      </c>
      <c r="B195" s="153" t="s">
        <v>76</v>
      </c>
      <c r="C195" s="84" t="s">
        <v>303</v>
      </c>
      <c r="D195" s="8"/>
      <c r="E195" s="8">
        <v>1</v>
      </c>
      <c r="F195" s="8"/>
      <c r="G195" s="8"/>
      <c r="H195" s="8">
        <v>1</v>
      </c>
      <c r="I195" s="8">
        <v>2</v>
      </c>
      <c r="J195" s="55">
        <f t="shared" si="6"/>
        <v>2</v>
      </c>
      <c r="K195" s="8"/>
      <c r="L195" s="8"/>
      <c r="M195" s="8"/>
      <c r="N195" s="8"/>
      <c r="O195" s="45" t="s">
        <v>38</v>
      </c>
      <c r="P195" s="8" t="s">
        <v>37</v>
      </c>
      <c r="Q195" s="8"/>
      <c r="R195" s="116" t="s">
        <v>58</v>
      </c>
      <c r="S195" s="27">
        <v>46175</v>
      </c>
      <c r="T195" t="s">
        <v>54</v>
      </c>
      <c r="U195" s="2" t="s">
        <v>37</v>
      </c>
    </row>
    <row r="196" spans="1:21" ht="30" customHeight="1" x14ac:dyDescent="0.3">
      <c r="A196" s="54">
        <f t="shared" si="7"/>
        <v>195</v>
      </c>
      <c r="B196" s="153" t="s">
        <v>72</v>
      </c>
      <c r="C196" s="51" t="s">
        <v>304</v>
      </c>
      <c r="D196" s="8"/>
      <c r="E196" s="8">
        <v>1</v>
      </c>
      <c r="F196" s="8"/>
      <c r="G196" s="8"/>
      <c r="H196" s="8">
        <v>1</v>
      </c>
      <c r="I196" s="8">
        <v>4</v>
      </c>
      <c r="J196" s="55">
        <f t="shared" si="6"/>
        <v>4</v>
      </c>
      <c r="K196" s="8">
        <v>1</v>
      </c>
      <c r="L196" s="8"/>
      <c r="M196" s="8"/>
      <c r="N196" s="8">
        <v>1</v>
      </c>
      <c r="O196" s="118" t="s">
        <v>13</v>
      </c>
      <c r="P196" s="2" t="s">
        <v>37</v>
      </c>
      <c r="Q196" s="8"/>
      <c r="R196" s="116" t="s">
        <v>58</v>
      </c>
      <c r="S196" s="27">
        <v>46175</v>
      </c>
      <c r="T196" t="s">
        <v>54</v>
      </c>
      <c r="U196" s="8" t="s">
        <v>37</v>
      </c>
    </row>
    <row r="197" spans="1:21" x14ac:dyDescent="0.3">
      <c r="A197" s="54">
        <f t="shared" si="7"/>
        <v>196</v>
      </c>
      <c r="B197" s="153" t="s">
        <v>72</v>
      </c>
      <c r="C197" s="84" t="s">
        <v>305</v>
      </c>
      <c r="D197" s="8"/>
      <c r="E197" s="8">
        <v>1</v>
      </c>
      <c r="F197" s="8"/>
      <c r="G197" s="8"/>
      <c r="H197" s="8">
        <v>1</v>
      </c>
      <c r="I197" s="8">
        <v>3</v>
      </c>
      <c r="J197" s="55">
        <f t="shared" si="6"/>
        <v>3</v>
      </c>
      <c r="K197" s="8"/>
      <c r="L197" s="8"/>
      <c r="M197" s="8">
        <v>1</v>
      </c>
      <c r="N197" s="8"/>
      <c r="O197" s="45" t="s">
        <v>17</v>
      </c>
      <c r="P197" s="8" t="s">
        <v>37</v>
      </c>
      <c r="Q197" s="8"/>
      <c r="R197" s="85" t="s">
        <v>114</v>
      </c>
      <c r="S197" s="27">
        <v>46175</v>
      </c>
      <c r="T197" t="s">
        <v>54</v>
      </c>
      <c r="U197" s="8" t="s">
        <v>37</v>
      </c>
    </row>
    <row r="198" spans="1:21" x14ac:dyDescent="0.3">
      <c r="A198" s="54">
        <f t="shared" si="7"/>
        <v>197</v>
      </c>
      <c r="B198" s="153" t="s">
        <v>73</v>
      </c>
      <c r="C198" s="51" t="s">
        <v>306</v>
      </c>
      <c r="D198" s="8"/>
      <c r="E198" s="8">
        <v>1</v>
      </c>
      <c r="F198" s="8">
        <v>1</v>
      </c>
      <c r="G198" s="8">
        <v>2</v>
      </c>
      <c r="H198" s="8">
        <v>1</v>
      </c>
      <c r="I198" s="8">
        <v>1</v>
      </c>
      <c r="J198" s="55">
        <f t="shared" si="6"/>
        <v>1</v>
      </c>
      <c r="K198" s="8"/>
      <c r="L198" s="8"/>
      <c r="M198" s="8">
        <v>1</v>
      </c>
      <c r="N198" s="8"/>
      <c r="O198" s="45" t="s">
        <v>38</v>
      </c>
      <c r="P198" s="8" t="s">
        <v>37</v>
      </c>
      <c r="Q198" s="8"/>
      <c r="R198" s="116" t="s">
        <v>58</v>
      </c>
      <c r="S198" s="27">
        <v>46175</v>
      </c>
      <c r="T198" t="s">
        <v>54</v>
      </c>
      <c r="U198" s="2" t="s">
        <v>37</v>
      </c>
    </row>
    <row r="199" spans="1:21" x14ac:dyDescent="0.3">
      <c r="A199" s="54">
        <f t="shared" si="7"/>
        <v>198</v>
      </c>
      <c r="B199" s="153" t="s">
        <v>77</v>
      </c>
      <c r="C199" s="84" t="s">
        <v>307</v>
      </c>
      <c r="D199" s="8"/>
      <c r="E199" s="8">
        <v>1</v>
      </c>
      <c r="F199" s="8"/>
      <c r="G199" s="8"/>
      <c r="H199" s="8">
        <v>1</v>
      </c>
      <c r="I199" s="8">
        <v>2</v>
      </c>
      <c r="J199" s="55">
        <f t="shared" si="6"/>
        <v>2</v>
      </c>
      <c r="K199" s="8"/>
      <c r="L199" s="8"/>
      <c r="M199" s="8">
        <v>1</v>
      </c>
      <c r="N199" s="8"/>
      <c r="O199" s="85" t="s">
        <v>12</v>
      </c>
      <c r="P199" s="8" t="s">
        <v>37</v>
      </c>
      <c r="Q199" s="8"/>
      <c r="R199" s="116" t="s">
        <v>53</v>
      </c>
      <c r="S199" s="27">
        <v>46175</v>
      </c>
      <c r="T199" t="s">
        <v>54</v>
      </c>
      <c r="U199" s="8" t="s">
        <v>121</v>
      </c>
    </row>
    <row r="200" spans="1:21" x14ac:dyDescent="0.3">
      <c r="A200" s="54">
        <f t="shared" si="7"/>
        <v>199</v>
      </c>
      <c r="B200" s="153" t="s">
        <v>72</v>
      </c>
      <c r="C200" s="84" t="s">
        <v>308</v>
      </c>
      <c r="D200" s="8"/>
      <c r="E200" s="8">
        <v>1</v>
      </c>
      <c r="F200" s="8"/>
      <c r="G200" s="8"/>
      <c r="H200" s="8">
        <v>1</v>
      </c>
      <c r="I200" s="8">
        <v>3</v>
      </c>
      <c r="J200" s="55">
        <f t="shared" si="6"/>
        <v>3</v>
      </c>
      <c r="K200" s="8"/>
      <c r="L200" s="8"/>
      <c r="M200" s="8">
        <v>1</v>
      </c>
      <c r="N200" s="8"/>
      <c r="O200" s="45" t="s">
        <v>17</v>
      </c>
      <c r="P200" s="2" t="s">
        <v>37</v>
      </c>
      <c r="Q200" s="8"/>
      <c r="R200" s="116" t="s">
        <v>58</v>
      </c>
      <c r="S200" s="27">
        <v>46175</v>
      </c>
      <c r="T200" t="s">
        <v>54</v>
      </c>
      <c r="U200" s="8" t="s">
        <v>121</v>
      </c>
    </row>
    <row r="201" spans="1:21" x14ac:dyDescent="0.3">
      <c r="A201" s="54">
        <f t="shared" si="7"/>
        <v>200</v>
      </c>
      <c r="B201" s="153" t="s">
        <v>76</v>
      </c>
      <c r="C201" s="51" t="s">
        <v>309</v>
      </c>
      <c r="D201" s="8"/>
      <c r="E201" s="8">
        <v>1</v>
      </c>
      <c r="F201" s="8"/>
      <c r="G201" s="8"/>
      <c r="H201" s="8">
        <v>1</v>
      </c>
      <c r="I201" s="8">
        <v>3</v>
      </c>
      <c r="J201" s="55">
        <f t="shared" si="6"/>
        <v>3</v>
      </c>
      <c r="K201" s="8"/>
      <c r="L201" s="8"/>
      <c r="M201" s="8">
        <v>1</v>
      </c>
      <c r="N201" s="8"/>
      <c r="O201" s="118" t="s">
        <v>13</v>
      </c>
      <c r="P201" s="2" t="s">
        <v>37</v>
      </c>
      <c r="Q201" s="8"/>
      <c r="R201" s="116" t="s">
        <v>58</v>
      </c>
      <c r="S201" s="27">
        <v>46175</v>
      </c>
      <c r="T201" t="s">
        <v>54</v>
      </c>
      <c r="U201" s="8" t="s">
        <v>121</v>
      </c>
    </row>
    <row r="202" spans="1:21" x14ac:dyDescent="0.3">
      <c r="A202" s="54">
        <f t="shared" si="7"/>
        <v>201</v>
      </c>
      <c r="B202" s="153" t="s">
        <v>73</v>
      </c>
      <c r="C202" s="84" t="s">
        <v>310</v>
      </c>
      <c r="D202" s="86"/>
      <c r="E202" s="86">
        <v>1</v>
      </c>
      <c r="F202" s="86">
        <v>12</v>
      </c>
      <c r="G202" s="86">
        <v>1</v>
      </c>
      <c r="H202" s="86">
        <v>1</v>
      </c>
      <c r="I202" s="86">
        <v>1</v>
      </c>
      <c r="J202" s="55">
        <f t="shared" si="6"/>
        <v>1</v>
      </c>
      <c r="K202" s="86"/>
      <c r="L202" s="86">
        <v>1</v>
      </c>
      <c r="M202" s="86"/>
      <c r="N202" s="86">
        <v>1</v>
      </c>
      <c r="O202" s="45" t="s">
        <v>16</v>
      </c>
      <c r="P202" s="8" t="s">
        <v>37</v>
      </c>
      <c r="R202" s="116" t="s">
        <v>58</v>
      </c>
      <c r="S202" s="27">
        <v>46175</v>
      </c>
      <c r="T202" t="s">
        <v>54</v>
      </c>
      <c r="U202" s="2" t="s">
        <v>37</v>
      </c>
    </row>
    <row r="203" spans="1:21" x14ac:dyDescent="0.3">
      <c r="A203" s="54">
        <f t="shared" si="7"/>
        <v>202</v>
      </c>
      <c r="B203" s="153" t="s">
        <v>75</v>
      </c>
      <c r="C203" s="51" t="s">
        <v>311</v>
      </c>
      <c r="D203" s="86"/>
      <c r="E203" s="86">
        <v>1</v>
      </c>
      <c r="F203" s="86"/>
      <c r="G203" s="86"/>
      <c r="H203" s="86">
        <v>1</v>
      </c>
      <c r="I203" s="86">
        <v>3</v>
      </c>
      <c r="J203" s="55">
        <f t="shared" si="6"/>
        <v>3</v>
      </c>
      <c r="K203" s="86"/>
      <c r="L203" s="86"/>
      <c r="M203" s="86">
        <v>1</v>
      </c>
      <c r="N203" s="86"/>
      <c r="O203" s="45" t="s">
        <v>13</v>
      </c>
      <c r="P203" s="8" t="s">
        <v>37</v>
      </c>
      <c r="R203" t="s">
        <v>59</v>
      </c>
      <c r="S203" s="27">
        <v>46175</v>
      </c>
      <c r="T203" t="s">
        <v>54</v>
      </c>
      <c r="U203" s="2" t="s">
        <v>37</v>
      </c>
    </row>
    <row r="204" spans="1:21" x14ac:dyDescent="0.3">
      <c r="A204" s="54">
        <f t="shared" si="7"/>
        <v>203</v>
      </c>
      <c r="B204" s="153" t="s">
        <v>72</v>
      </c>
      <c r="C204" s="84" t="s">
        <v>312</v>
      </c>
      <c r="D204" s="86">
        <v>1</v>
      </c>
      <c r="E204" s="86"/>
      <c r="F204" s="86"/>
      <c r="G204" s="86"/>
      <c r="H204" s="86">
        <v>1</v>
      </c>
      <c r="I204" s="86">
        <v>2</v>
      </c>
      <c r="J204" s="55">
        <f t="shared" si="6"/>
        <v>2</v>
      </c>
      <c r="K204" s="86"/>
      <c r="L204" s="86"/>
      <c r="M204" s="86">
        <v>1</v>
      </c>
      <c r="N204" s="86"/>
      <c r="O204" s="118" t="s">
        <v>13</v>
      </c>
      <c r="P204" s="8" t="s">
        <v>121</v>
      </c>
      <c r="R204" s="116" t="s">
        <v>58</v>
      </c>
      <c r="S204" s="27">
        <v>46175</v>
      </c>
      <c r="T204" t="s">
        <v>54</v>
      </c>
      <c r="U204" s="8" t="s">
        <v>121</v>
      </c>
    </row>
    <row r="205" spans="1:21" x14ac:dyDescent="0.3">
      <c r="A205" s="54">
        <f t="shared" si="7"/>
        <v>204</v>
      </c>
      <c r="B205" s="153" t="s">
        <v>78</v>
      </c>
      <c r="C205" s="51" t="s">
        <v>313</v>
      </c>
      <c r="D205" s="86"/>
      <c r="E205" s="86">
        <v>1</v>
      </c>
      <c r="F205" s="86"/>
      <c r="G205" s="86"/>
      <c r="H205" s="86">
        <v>1</v>
      </c>
      <c r="I205" s="86">
        <v>3</v>
      </c>
      <c r="J205" s="55">
        <f t="shared" si="6"/>
        <v>3</v>
      </c>
      <c r="K205" s="86"/>
      <c r="L205" s="86"/>
      <c r="M205" s="86">
        <v>1</v>
      </c>
      <c r="N205" s="86"/>
      <c r="O205" s="45" t="s">
        <v>13</v>
      </c>
      <c r="P205" s="8" t="s">
        <v>37</v>
      </c>
      <c r="R205" t="s">
        <v>59</v>
      </c>
      <c r="S205" s="27">
        <v>46175</v>
      </c>
      <c r="T205" t="s">
        <v>54</v>
      </c>
      <c r="U205" s="8" t="s">
        <v>37</v>
      </c>
    </row>
    <row r="206" spans="1:21" x14ac:dyDescent="0.3">
      <c r="A206" s="54">
        <f t="shared" si="7"/>
        <v>205</v>
      </c>
      <c r="B206" s="153" t="s">
        <v>72</v>
      </c>
      <c r="C206" s="84" t="s">
        <v>314</v>
      </c>
      <c r="D206" s="86"/>
      <c r="E206" s="86">
        <v>1</v>
      </c>
      <c r="F206" s="86"/>
      <c r="G206" s="86"/>
      <c r="H206" s="86">
        <v>1</v>
      </c>
      <c r="I206" s="86">
        <v>3</v>
      </c>
      <c r="J206" s="55">
        <f t="shared" si="6"/>
        <v>3</v>
      </c>
      <c r="K206" s="86"/>
      <c r="L206" s="86"/>
      <c r="M206" s="86">
        <v>1</v>
      </c>
      <c r="N206" s="94"/>
      <c r="O206" s="45" t="s">
        <v>16</v>
      </c>
      <c r="P206" s="86" t="s">
        <v>37</v>
      </c>
      <c r="R206" s="116" t="s">
        <v>56</v>
      </c>
      <c r="S206" s="27">
        <v>46176</v>
      </c>
      <c r="T206" t="s">
        <v>54</v>
      </c>
      <c r="U206" s="8" t="s">
        <v>121</v>
      </c>
    </row>
    <row r="207" spans="1:21" x14ac:dyDescent="0.3">
      <c r="A207" s="54">
        <f t="shared" si="7"/>
        <v>206</v>
      </c>
      <c r="B207" s="153" t="s">
        <v>72</v>
      </c>
      <c r="C207" s="51" t="s">
        <v>315</v>
      </c>
      <c r="D207" s="86"/>
      <c r="E207" s="86">
        <v>1</v>
      </c>
      <c r="F207" s="86"/>
      <c r="G207" s="86"/>
      <c r="H207" s="86">
        <v>1</v>
      </c>
      <c r="I207" s="86">
        <v>3</v>
      </c>
      <c r="J207" s="55">
        <f t="shared" si="6"/>
        <v>3</v>
      </c>
      <c r="K207" s="86"/>
      <c r="L207" s="86"/>
      <c r="M207" s="86">
        <v>1</v>
      </c>
      <c r="N207" s="86"/>
      <c r="O207" s="45" t="s">
        <v>38</v>
      </c>
      <c r="P207" s="2" t="s">
        <v>37</v>
      </c>
      <c r="R207" s="116" t="s">
        <v>53</v>
      </c>
      <c r="S207" s="27">
        <v>46176</v>
      </c>
      <c r="T207" t="s">
        <v>54</v>
      </c>
      <c r="U207" s="8" t="s">
        <v>121</v>
      </c>
    </row>
    <row r="208" spans="1:21" x14ac:dyDescent="0.3">
      <c r="A208" s="54">
        <f t="shared" si="7"/>
        <v>207</v>
      </c>
      <c r="B208" s="153" t="s">
        <v>84</v>
      </c>
      <c r="C208" s="51" t="s">
        <v>316</v>
      </c>
      <c r="D208" s="86"/>
      <c r="E208" s="86">
        <v>1</v>
      </c>
      <c r="F208" s="86">
        <v>4</v>
      </c>
      <c r="G208" s="86">
        <v>8</v>
      </c>
      <c r="H208" s="86">
        <v>1</v>
      </c>
      <c r="I208" s="86">
        <v>3</v>
      </c>
      <c r="J208" s="55">
        <f t="shared" si="6"/>
        <v>3</v>
      </c>
      <c r="K208" s="86"/>
      <c r="L208" s="86"/>
      <c r="M208" s="86">
        <v>1</v>
      </c>
      <c r="N208" s="86"/>
      <c r="O208" s="86" t="s">
        <v>13</v>
      </c>
      <c r="P208" s="2" t="s">
        <v>37</v>
      </c>
      <c r="R208" s="116" t="s">
        <v>56</v>
      </c>
      <c r="S208" s="27">
        <v>46176</v>
      </c>
      <c r="T208" t="s">
        <v>54</v>
      </c>
      <c r="U208" t="s">
        <v>37</v>
      </c>
    </row>
    <row r="209" spans="1:21" x14ac:dyDescent="0.3">
      <c r="A209" s="54">
        <f t="shared" si="7"/>
        <v>208</v>
      </c>
      <c r="B209" s="153" t="s">
        <v>79</v>
      </c>
      <c r="C209" s="84" t="s">
        <v>317</v>
      </c>
      <c r="D209" s="86"/>
      <c r="E209" s="86">
        <v>1</v>
      </c>
      <c r="F209" s="86">
        <v>3</v>
      </c>
      <c r="G209" s="86">
        <v>2</v>
      </c>
      <c r="H209" s="86">
        <v>1</v>
      </c>
      <c r="I209" s="86">
        <v>3</v>
      </c>
      <c r="J209" s="55">
        <f t="shared" si="6"/>
        <v>3</v>
      </c>
      <c r="K209" s="86"/>
      <c r="L209" s="86"/>
      <c r="M209" s="86">
        <v>1</v>
      </c>
      <c r="N209" s="86"/>
      <c r="O209" s="45" t="s">
        <v>17</v>
      </c>
      <c r="P209" s="86" t="s">
        <v>37</v>
      </c>
      <c r="R209" s="116" t="s">
        <v>53</v>
      </c>
      <c r="S209" s="27">
        <v>46176</v>
      </c>
      <c r="T209" t="s">
        <v>54</v>
      </c>
      <c r="U209" s="2" t="s">
        <v>37</v>
      </c>
    </row>
    <row r="210" spans="1:21" x14ac:dyDescent="0.3">
      <c r="A210" s="54">
        <f t="shared" si="7"/>
        <v>209</v>
      </c>
      <c r="B210" s="153" t="s">
        <v>73</v>
      </c>
      <c r="C210" s="84" t="s">
        <v>318</v>
      </c>
      <c r="D210" s="86"/>
      <c r="E210" s="86">
        <v>1</v>
      </c>
      <c r="F210" s="86">
        <v>10</v>
      </c>
      <c r="G210" s="86">
        <v>1</v>
      </c>
      <c r="H210" s="86">
        <v>1</v>
      </c>
      <c r="I210" s="86">
        <v>3</v>
      </c>
      <c r="J210" s="55">
        <f t="shared" si="6"/>
        <v>3</v>
      </c>
      <c r="K210" s="86"/>
      <c r="L210" s="86"/>
      <c r="M210" s="86"/>
      <c r="N210" s="86">
        <v>1</v>
      </c>
      <c r="O210" s="45" t="s">
        <v>17</v>
      </c>
      <c r="P210" s="2" t="s">
        <v>37</v>
      </c>
      <c r="R210" s="116" t="s">
        <v>53</v>
      </c>
      <c r="S210" s="27">
        <v>46176</v>
      </c>
      <c r="T210" t="s">
        <v>54</v>
      </c>
      <c r="U210" s="2" t="s">
        <v>37</v>
      </c>
    </row>
    <row r="211" spans="1:21" x14ac:dyDescent="0.3">
      <c r="A211" s="54">
        <f t="shared" si="7"/>
        <v>210</v>
      </c>
      <c r="B211" s="153" t="s">
        <v>75</v>
      </c>
      <c r="C211" s="87" t="s">
        <v>319</v>
      </c>
      <c r="D211" s="86"/>
      <c r="E211" s="86">
        <v>1</v>
      </c>
      <c r="F211" s="86">
        <v>8</v>
      </c>
      <c r="G211" s="86">
        <v>3</v>
      </c>
      <c r="H211" s="86">
        <v>1</v>
      </c>
      <c r="I211" s="86">
        <v>3</v>
      </c>
      <c r="J211" s="55">
        <f t="shared" si="6"/>
        <v>3</v>
      </c>
      <c r="K211" s="86"/>
      <c r="L211" s="86"/>
      <c r="M211" s="86">
        <v>1</v>
      </c>
      <c r="N211" s="94"/>
      <c r="O211" s="66" t="s">
        <v>9</v>
      </c>
      <c r="P211" s="86" t="s">
        <v>37</v>
      </c>
      <c r="R211" s="116" t="s">
        <v>56</v>
      </c>
      <c r="S211" s="27">
        <v>46176</v>
      </c>
      <c r="T211" t="s">
        <v>54</v>
      </c>
      <c r="U211" t="s">
        <v>37</v>
      </c>
    </row>
    <row r="212" spans="1:21" x14ac:dyDescent="0.3">
      <c r="A212" s="54">
        <f t="shared" si="7"/>
        <v>211</v>
      </c>
      <c r="B212" s="153" t="s">
        <v>79</v>
      </c>
      <c r="C212" s="87" t="s">
        <v>320</v>
      </c>
      <c r="D212" s="86"/>
      <c r="E212" s="86">
        <v>1</v>
      </c>
      <c r="F212" s="86"/>
      <c r="G212" s="86"/>
      <c r="H212" s="86">
        <v>1</v>
      </c>
      <c r="I212" s="86">
        <v>4</v>
      </c>
      <c r="J212" s="55">
        <f t="shared" si="6"/>
        <v>4</v>
      </c>
      <c r="K212" s="86">
        <v>1</v>
      </c>
      <c r="L212" s="86"/>
      <c r="M212" s="86">
        <v>1</v>
      </c>
      <c r="N212" s="86"/>
      <c r="O212" s="45" t="s">
        <v>17</v>
      </c>
      <c r="P212" s="2" t="s">
        <v>37</v>
      </c>
      <c r="R212" s="116" t="s">
        <v>53</v>
      </c>
      <c r="S212" s="27">
        <v>46176</v>
      </c>
      <c r="T212" t="s">
        <v>54</v>
      </c>
      <c r="U212" s="2" t="s">
        <v>37</v>
      </c>
    </row>
    <row r="213" spans="1:21" x14ac:dyDescent="0.3">
      <c r="A213" s="54">
        <f t="shared" si="7"/>
        <v>212</v>
      </c>
      <c r="B213" s="153" t="s">
        <v>72</v>
      </c>
      <c r="C213" s="87" t="s">
        <v>321</v>
      </c>
      <c r="D213" s="86"/>
      <c r="E213" s="86">
        <v>1</v>
      </c>
      <c r="F213" s="86"/>
      <c r="G213" s="86"/>
      <c r="H213" s="86">
        <v>1</v>
      </c>
      <c r="I213" s="86">
        <v>3</v>
      </c>
      <c r="J213" s="55">
        <f t="shared" si="6"/>
        <v>3</v>
      </c>
      <c r="K213" s="86"/>
      <c r="L213" s="86"/>
      <c r="M213" s="86">
        <v>1</v>
      </c>
      <c r="N213" s="86"/>
      <c r="O213" s="45" t="s">
        <v>17</v>
      </c>
      <c r="P213" s="86" t="s">
        <v>37</v>
      </c>
      <c r="R213" s="116" t="s">
        <v>53</v>
      </c>
      <c r="S213" s="27">
        <v>46176</v>
      </c>
      <c r="T213" t="s">
        <v>54</v>
      </c>
      <c r="U213" t="s">
        <v>37</v>
      </c>
    </row>
    <row r="214" spans="1:21" x14ac:dyDescent="0.3">
      <c r="A214" s="54">
        <f t="shared" si="7"/>
        <v>213</v>
      </c>
      <c r="B214" s="153" t="s">
        <v>77</v>
      </c>
      <c r="C214" s="87" t="s">
        <v>322</v>
      </c>
      <c r="D214" s="86"/>
      <c r="E214" s="86">
        <v>1</v>
      </c>
      <c r="F214" s="86"/>
      <c r="G214" s="86"/>
      <c r="H214" s="86">
        <v>1</v>
      </c>
      <c r="I214" s="86">
        <v>2</v>
      </c>
      <c r="J214" s="55">
        <f t="shared" si="6"/>
        <v>2</v>
      </c>
      <c r="K214" s="86"/>
      <c r="L214" s="86"/>
      <c r="M214" s="86">
        <v>1</v>
      </c>
      <c r="N214" s="86"/>
      <c r="O214" s="45" t="s">
        <v>11</v>
      </c>
      <c r="P214" s="86" t="s">
        <v>37</v>
      </c>
      <c r="R214" s="116" t="s">
        <v>53</v>
      </c>
      <c r="S214" s="27">
        <v>46176</v>
      </c>
      <c r="T214" t="s">
        <v>54</v>
      </c>
      <c r="U214" s="2" t="s">
        <v>37</v>
      </c>
    </row>
    <row r="215" spans="1:21" ht="30" customHeight="1" x14ac:dyDescent="0.3">
      <c r="A215" s="54">
        <f t="shared" si="7"/>
        <v>214</v>
      </c>
      <c r="B215" s="153" t="s">
        <v>75</v>
      </c>
      <c r="C215" s="88" t="s">
        <v>323</v>
      </c>
      <c r="D215" s="86"/>
      <c r="E215" s="86">
        <v>1</v>
      </c>
      <c r="F215" s="86"/>
      <c r="G215" s="86"/>
      <c r="H215" s="86">
        <v>1</v>
      </c>
      <c r="I215" s="86">
        <v>3</v>
      </c>
      <c r="J215" s="55">
        <f t="shared" si="6"/>
        <v>3</v>
      </c>
      <c r="K215" s="86"/>
      <c r="L215" s="86"/>
      <c r="M215" s="86">
        <v>1</v>
      </c>
      <c r="N215" s="86"/>
      <c r="O215" s="95" t="s">
        <v>12</v>
      </c>
      <c r="P215" s="86" t="s">
        <v>37</v>
      </c>
      <c r="R215" s="116" t="s">
        <v>53</v>
      </c>
      <c r="S215" s="27">
        <v>46176</v>
      </c>
      <c r="T215" t="s">
        <v>54</v>
      </c>
      <c r="U215" t="s">
        <v>37</v>
      </c>
    </row>
    <row r="216" spans="1:21" x14ac:dyDescent="0.3">
      <c r="A216" s="54">
        <f t="shared" si="7"/>
        <v>215</v>
      </c>
      <c r="B216" s="153" t="s">
        <v>80</v>
      </c>
      <c r="C216" s="88" t="s">
        <v>324</v>
      </c>
      <c r="D216" s="86"/>
      <c r="E216" s="86">
        <v>1</v>
      </c>
      <c r="F216" s="86"/>
      <c r="G216" s="86"/>
      <c r="H216" s="86">
        <v>1</v>
      </c>
      <c r="I216" s="86">
        <v>2</v>
      </c>
      <c r="J216" s="55">
        <f t="shared" si="6"/>
        <v>2</v>
      </c>
      <c r="K216" s="86"/>
      <c r="L216" s="86"/>
      <c r="M216" s="86">
        <v>1</v>
      </c>
      <c r="N216" s="86"/>
      <c r="O216" s="96" t="s">
        <v>14</v>
      </c>
      <c r="P216" s="86" t="s">
        <v>37</v>
      </c>
      <c r="R216" s="116" t="s">
        <v>53</v>
      </c>
      <c r="S216" s="27">
        <v>46176</v>
      </c>
      <c r="T216" t="s">
        <v>54</v>
      </c>
      <c r="U216" t="s">
        <v>121</v>
      </c>
    </row>
    <row r="217" spans="1:21" x14ac:dyDescent="0.3">
      <c r="A217" s="54">
        <f t="shared" si="7"/>
        <v>216</v>
      </c>
      <c r="B217" s="153" t="s">
        <v>78</v>
      </c>
      <c r="C217" s="88" t="s">
        <v>325</v>
      </c>
      <c r="D217" s="86"/>
      <c r="E217" s="86">
        <v>1</v>
      </c>
      <c r="F217" s="86"/>
      <c r="G217" s="86"/>
      <c r="H217" s="86">
        <v>1</v>
      </c>
      <c r="I217" s="86">
        <v>2</v>
      </c>
      <c r="J217" s="55">
        <f t="shared" si="6"/>
        <v>2</v>
      </c>
      <c r="K217" s="86"/>
      <c r="L217" s="86"/>
      <c r="M217" s="86">
        <v>1</v>
      </c>
      <c r="N217" s="86"/>
      <c r="O217" s="118" t="s">
        <v>13</v>
      </c>
      <c r="P217" s="86" t="s">
        <v>37</v>
      </c>
      <c r="R217" s="116" t="s">
        <v>53</v>
      </c>
      <c r="S217" s="27">
        <v>46176</v>
      </c>
      <c r="T217" t="s">
        <v>54</v>
      </c>
      <c r="U217" t="s">
        <v>37</v>
      </c>
    </row>
    <row r="218" spans="1:21" x14ac:dyDescent="0.3">
      <c r="A218" s="54">
        <f t="shared" si="7"/>
        <v>217</v>
      </c>
      <c r="B218" s="153" t="s">
        <v>72</v>
      </c>
      <c r="C218" s="87" t="s">
        <v>326</v>
      </c>
      <c r="D218" s="86"/>
      <c r="E218" s="86">
        <v>1</v>
      </c>
      <c r="F218" s="86"/>
      <c r="G218" s="86"/>
      <c r="H218" s="86">
        <v>1</v>
      </c>
      <c r="I218" s="86">
        <v>4</v>
      </c>
      <c r="J218" s="55">
        <f t="shared" si="6"/>
        <v>4</v>
      </c>
      <c r="K218" s="86">
        <v>1</v>
      </c>
      <c r="L218" s="86"/>
      <c r="M218" s="86">
        <v>1</v>
      </c>
      <c r="N218" s="94"/>
      <c r="O218" s="66" t="s">
        <v>9</v>
      </c>
      <c r="P218" s="86" t="s">
        <v>37</v>
      </c>
      <c r="R218" s="116" t="s">
        <v>56</v>
      </c>
      <c r="S218" s="27">
        <v>46176</v>
      </c>
      <c r="T218" t="s">
        <v>54</v>
      </c>
      <c r="U218" t="s">
        <v>37</v>
      </c>
    </row>
    <row r="219" spans="1:21" ht="30" customHeight="1" x14ac:dyDescent="0.3">
      <c r="A219" s="54">
        <f t="shared" si="7"/>
        <v>218</v>
      </c>
      <c r="B219" s="153" t="s">
        <v>73</v>
      </c>
      <c r="C219" s="13" t="s">
        <v>327</v>
      </c>
      <c r="D219" s="86"/>
      <c r="E219" s="86"/>
      <c r="F219" s="86"/>
      <c r="G219" s="86"/>
      <c r="H219" s="86">
        <v>1</v>
      </c>
      <c r="I219" s="86">
        <v>3</v>
      </c>
      <c r="J219" s="55">
        <f t="shared" si="6"/>
        <v>3</v>
      </c>
      <c r="K219" s="86"/>
      <c r="L219" s="86"/>
      <c r="M219" s="86">
        <v>1</v>
      </c>
      <c r="N219" s="86"/>
      <c r="O219" s="86" t="s">
        <v>12</v>
      </c>
      <c r="P219" s="86" t="s">
        <v>37</v>
      </c>
      <c r="R219" s="116" t="s">
        <v>53</v>
      </c>
      <c r="S219" s="27">
        <v>46176</v>
      </c>
      <c r="T219" t="s">
        <v>54</v>
      </c>
      <c r="U219" t="s">
        <v>37</v>
      </c>
    </row>
    <row r="220" spans="1:21" ht="30" customHeight="1" x14ac:dyDescent="0.3">
      <c r="A220" s="54">
        <f t="shared" si="7"/>
        <v>219</v>
      </c>
      <c r="B220" s="153" t="s">
        <v>73</v>
      </c>
      <c r="C220" s="13" t="s">
        <v>328</v>
      </c>
      <c r="D220" s="86"/>
      <c r="E220" s="86"/>
      <c r="F220" s="86">
        <v>10</v>
      </c>
      <c r="G220" s="86">
        <v>0</v>
      </c>
      <c r="H220" s="86">
        <v>1</v>
      </c>
      <c r="I220" s="86">
        <v>1</v>
      </c>
      <c r="J220" s="55">
        <f t="shared" si="6"/>
        <v>1</v>
      </c>
      <c r="K220" s="86"/>
      <c r="L220" s="86"/>
      <c r="M220" s="86"/>
      <c r="N220" s="86">
        <v>1</v>
      </c>
      <c r="O220" s="86" t="s">
        <v>12</v>
      </c>
      <c r="P220" s="86" t="s">
        <v>37</v>
      </c>
      <c r="R220" s="116" t="s">
        <v>53</v>
      </c>
      <c r="S220" s="27">
        <v>46176</v>
      </c>
      <c r="T220" t="s">
        <v>54</v>
      </c>
      <c r="U220" t="s">
        <v>37</v>
      </c>
    </row>
    <row r="221" spans="1:21" x14ac:dyDescent="0.3">
      <c r="A221" s="54">
        <f t="shared" si="7"/>
        <v>220</v>
      </c>
      <c r="B221" s="153" t="s">
        <v>73</v>
      </c>
      <c r="C221" s="13" t="s">
        <v>329</v>
      </c>
      <c r="D221" s="86"/>
      <c r="E221" s="86"/>
      <c r="F221" s="86">
        <v>10</v>
      </c>
      <c r="G221" s="86">
        <v>1</v>
      </c>
      <c r="H221" s="86">
        <v>1</v>
      </c>
      <c r="I221" s="86">
        <v>3</v>
      </c>
      <c r="J221" s="55">
        <f t="shared" si="6"/>
        <v>3</v>
      </c>
      <c r="K221" s="86"/>
      <c r="L221" s="86">
        <v>1</v>
      </c>
      <c r="M221" s="86"/>
      <c r="N221" s="86">
        <v>1</v>
      </c>
      <c r="O221" s="45" t="s">
        <v>17</v>
      </c>
      <c r="P221" s="86" t="s">
        <v>37</v>
      </c>
      <c r="R221" s="116" t="s">
        <v>53</v>
      </c>
      <c r="S221" s="27">
        <v>46176</v>
      </c>
      <c r="T221" t="s">
        <v>54</v>
      </c>
      <c r="U221" t="s">
        <v>37</v>
      </c>
    </row>
    <row r="222" spans="1:21" x14ac:dyDescent="0.3">
      <c r="A222" s="54">
        <f t="shared" si="7"/>
        <v>221</v>
      </c>
      <c r="B222" s="153" t="s">
        <v>79</v>
      </c>
      <c r="C222" s="13" t="s">
        <v>330</v>
      </c>
      <c r="D222" s="86"/>
      <c r="E222" s="86"/>
      <c r="F222" s="86">
        <v>0</v>
      </c>
      <c r="G222" s="86">
        <v>0</v>
      </c>
      <c r="H222" s="86">
        <v>1</v>
      </c>
      <c r="I222" s="86">
        <v>3</v>
      </c>
      <c r="J222" s="55">
        <f t="shared" si="6"/>
        <v>3</v>
      </c>
      <c r="K222" s="86"/>
      <c r="L222" s="86"/>
      <c r="M222" s="86">
        <v>1</v>
      </c>
      <c r="N222" s="86"/>
      <c r="O222" s="45" t="s">
        <v>17</v>
      </c>
      <c r="P222" s="86" t="s">
        <v>37</v>
      </c>
      <c r="R222" s="116" t="s">
        <v>53</v>
      </c>
      <c r="S222" s="27">
        <v>46176</v>
      </c>
      <c r="T222" t="s">
        <v>54</v>
      </c>
      <c r="U222" t="s">
        <v>37</v>
      </c>
    </row>
    <row r="223" spans="1:21" x14ac:dyDescent="0.3">
      <c r="A223" s="54">
        <f t="shared" si="7"/>
        <v>222</v>
      </c>
      <c r="B223" s="153" t="s">
        <v>72</v>
      </c>
      <c r="C223" s="13" t="s">
        <v>331</v>
      </c>
      <c r="D223" s="86"/>
      <c r="E223" s="86"/>
      <c r="F223" s="86">
        <v>0</v>
      </c>
      <c r="G223" s="86">
        <v>0</v>
      </c>
      <c r="H223" s="86">
        <v>1</v>
      </c>
      <c r="I223" s="86">
        <v>4</v>
      </c>
      <c r="J223" s="55">
        <f t="shared" si="6"/>
        <v>4</v>
      </c>
      <c r="K223" s="86">
        <v>1</v>
      </c>
      <c r="L223" s="86"/>
      <c r="M223" s="86">
        <v>1</v>
      </c>
      <c r="N223" s="86"/>
      <c r="O223" s="45" t="s">
        <v>17</v>
      </c>
      <c r="P223" s="86" t="s">
        <v>37</v>
      </c>
      <c r="R223" s="116" t="s">
        <v>53</v>
      </c>
      <c r="S223" s="27">
        <v>46176</v>
      </c>
      <c r="T223" t="s">
        <v>54</v>
      </c>
      <c r="U223" t="s">
        <v>37</v>
      </c>
    </row>
    <row r="224" spans="1:21" x14ac:dyDescent="0.3">
      <c r="A224" s="54">
        <f t="shared" si="7"/>
        <v>223</v>
      </c>
      <c r="B224" s="153" t="s">
        <v>76</v>
      </c>
      <c r="C224" s="13" t="s">
        <v>332</v>
      </c>
      <c r="D224" s="86"/>
      <c r="E224" s="86"/>
      <c r="F224" s="86">
        <v>0</v>
      </c>
      <c r="G224" s="86">
        <v>0</v>
      </c>
      <c r="H224" s="86">
        <v>1</v>
      </c>
      <c r="I224" s="86">
        <v>1</v>
      </c>
      <c r="J224" s="55">
        <f t="shared" si="6"/>
        <v>1</v>
      </c>
      <c r="K224" s="86"/>
      <c r="L224" s="86"/>
      <c r="M224" s="86">
        <v>1</v>
      </c>
      <c r="N224" s="86"/>
      <c r="O224" s="117" t="s">
        <v>9</v>
      </c>
      <c r="P224" s="86" t="s">
        <v>37</v>
      </c>
      <c r="R224" s="116" t="s">
        <v>56</v>
      </c>
      <c r="S224" s="27">
        <v>46176</v>
      </c>
      <c r="T224" t="s">
        <v>54</v>
      </c>
      <c r="U224" t="s">
        <v>121</v>
      </c>
    </row>
    <row r="225" spans="1:21" x14ac:dyDescent="0.3">
      <c r="A225" s="54">
        <f t="shared" si="7"/>
        <v>224</v>
      </c>
      <c r="B225" s="153" t="s">
        <v>79</v>
      </c>
      <c r="C225" s="13" t="s">
        <v>333</v>
      </c>
      <c r="D225" s="86"/>
      <c r="E225" s="86"/>
      <c r="F225" s="86">
        <v>0</v>
      </c>
      <c r="G225" s="86">
        <v>0</v>
      </c>
      <c r="H225" s="86">
        <v>1</v>
      </c>
      <c r="I225" s="86">
        <v>3</v>
      </c>
      <c r="J225" s="55">
        <f t="shared" si="6"/>
        <v>3</v>
      </c>
      <c r="K225" s="86">
        <v>1</v>
      </c>
      <c r="L225" s="86"/>
      <c r="M225" s="86">
        <v>1</v>
      </c>
      <c r="N225" s="86"/>
      <c r="O225" s="45" t="s">
        <v>16</v>
      </c>
      <c r="P225" s="86" t="s">
        <v>37</v>
      </c>
      <c r="R225" s="116" t="s">
        <v>56</v>
      </c>
      <c r="S225" s="27">
        <v>46176</v>
      </c>
      <c r="T225" t="s">
        <v>54</v>
      </c>
      <c r="U225" t="s">
        <v>37</v>
      </c>
    </row>
    <row r="226" spans="1:21" x14ac:dyDescent="0.3">
      <c r="A226" s="54">
        <f t="shared" si="7"/>
        <v>225</v>
      </c>
      <c r="B226" s="153" t="s">
        <v>77</v>
      </c>
      <c r="C226" s="13" t="s">
        <v>334</v>
      </c>
      <c r="D226" s="86"/>
      <c r="E226" s="86"/>
      <c r="F226" s="86">
        <v>0</v>
      </c>
      <c r="G226" s="86">
        <v>0</v>
      </c>
      <c r="H226" s="86">
        <v>1</v>
      </c>
      <c r="I226" s="86">
        <v>2</v>
      </c>
      <c r="J226" s="55">
        <f t="shared" si="6"/>
        <v>2</v>
      </c>
      <c r="K226" s="86"/>
      <c r="L226" s="86"/>
      <c r="M226" s="86">
        <v>1</v>
      </c>
      <c r="N226" s="86"/>
      <c r="O226" s="45" t="s">
        <v>16</v>
      </c>
      <c r="P226" s="86" t="s">
        <v>37</v>
      </c>
      <c r="R226" s="116" t="s">
        <v>56</v>
      </c>
      <c r="S226" s="27">
        <v>46176</v>
      </c>
      <c r="T226" t="s">
        <v>54</v>
      </c>
      <c r="U226" t="s">
        <v>121</v>
      </c>
    </row>
    <row r="227" spans="1:21" x14ac:dyDescent="0.3">
      <c r="A227" s="54">
        <f t="shared" si="7"/>
        <v>226</v>
      </c>
      <c r="B227" s="153" t="s">
        <v>84</v>
      </c>
      <c r="C227" s="13" t="s">
        <v>335</v>
      </c>
      <c r="D227" s="86"/>
      <c r="E227" s="86"/>
      <c r="F227" s="86">
        <v>0</v>
      </c>
      <c r="G227" s="86">
        <v>0</v>
      </c>
      <c r="H227" s="86">
        <v>1</v>
      </c>
      <c r="I227" s="86">
        <v>4</v>
      </c>
      <c r="J227" s="55">
        <f t="shared" si="6"/>
        <v>4</v>
      </c>
      <c r="K227" s="86">
        <v>1</v>
      </c>
      <c r="L227" s="86"/>
      <c r="M227" s="86">
        <v>1</v>
      </c>
      <c r="N227" s="86"/>
      <c r="O227" s="117" t="s">
        <v>9</v>
      </c>
      <c r="P227" s="86" t="s">
        <v>37</v>
      </c>
      <c r="R227" s="116" t="s">
        <v>56</v>
      </c>
      <c r="S227" s="27">
        <v>46176</v>
      </c>
      <c r="T227" t="s">
        <v>54</v>
      </c>
      <c r="U227" t="s">
        <v>37</v>
      </c>
    </row>
    <row r="228" spans="1:21" x14ac:dyDescent="0.3">
      <c r="A228" s="54">
        <f t="shared" si="7"/>
        <v>227</v>
      </c>
      <c r="B228" s="153" t="s">
        <v>72</v>
      </c>
      <c r="C228" s="13" t="s">
        <v>336</v>
      </c>
      <c r="D228" s="86"/>
      <c r="E228" s="86"/>
      <c r="F228" s="86">
        <v>0</v>
      </c>
      <c r="G228" s="86">
        <v>0</v>
      </c>
      <c r="H228" s="86">
        <v>1</v>
      </c>
      <c r="I228" s="86">
        <v>4</v>
      </c>
      <c r="J228" s="55">
        <f t="shared" si="6"/>
        <v>4</v>
      </c>
      <c r="K228" s="86">
        <v>1</v>
      </c>
      <c r="L228" s="86"/>
      <c r="M228" s="86">
        <v>1</v>
      </c>
      <c r="N228" s="86"/>
      <c r="O228" s="117" t="s">
        <v>9</v>
      </c>
      <c r="P228" s="86" t="s">
        <v>37</v>
      </c>
      <c r="R228" s="116" t="s">
        <v>56</v>
      </c>
      <c r="S228" s="27">
        <v>46176</v>
      </c>
      <c r="T228" t="s">
        <v>54</v>
      </c>
      <c r="U228" t="s">
        <v>37</v>
      </c>
    </row>
    <row r="229" spans="1:21" ht="60" customHeight="1" x14ac:dyDescent="0.3">
      <c r="A229" s="54">
        <f t="shared" si="7"/>
        <v>228</v>
      </c>
      <c r="B229" s="153" t="s">
        <v>72</v>
      </c>
      <c r="C229" s="13" t="s">
        <v>337</v>
      </c>
      <c r="D229" s="86"/>
      <c r="E229" s="86"/>
      <c r="F229" s="86">
        <v>15</v>
      </c>
      <c r="G229" s="86">
        <v>5</v>
      </c>
      <c r="H229" s="86">
        <v>1</v>
      </c>
      <c r="I229" s="86">
        <v>5</v>
      </c>
      <c r="J229" s="55">
        <f t="shared" si="6"/>
        <v>5</v>
      </c>
      <c r="K229" s="86">
        <v>1</v>
      </c>
      <c r="L229" s="86"/>
      <c r="M229" s="86"/>
      <c r="N229" s="86">
        <v>1</v>
      </c>
      <c r="O229" s="45" t="s">
        <v>17</v>
      </c>
      <c r="P229" s="86" t="s">
        <v>37</v>
      </c>
      <c r="R229" s="116" t="s">
        <v>53</v>
      </c>
      <c r="S229" s="27">
        <v>46176</v>
      </c>
      <c r="T229" t="s">
        <v>54</v>
      </c>
      <c r="U229" t="s">
        <v>37</v>
      </c>
    </row>
    <row r="230" spans="1:21" ht="30" customHeight="1" x14ac:dyDescent="0.3">
      <c r="A230" s="54">
        <f t="shared" si="7"/>
        <v>229</v>
      </c>
      <c r="B230" s="153" t="s">
        <v>73</v>
      </c>
      <c r="C230" s="13" t="s">
        <v>338</v>
      </c>
      <c r="D230" s="86"/>
      <c r="E230" s="86"/>
      <c r="F230" s="86">
        <v>4</v>
      </c>
      <c r="G230" s="86">
        <v>1</v>
      </c>
      <c r="H230" s="86">
        <v>1</v>
      </c>
      <c r="I230" s="86">
        <v>5</v>
      </c>
      <c r="J230" s="55">
        <f t="shared" si="6"/>
        <v>5</v>
      </c>
      <c r="K230" s="86">
        <v>1</v>
      </c>
      <c r="L230" s="86">
        <v>1</v>
      </c>
      <c r="M230" s="86"/>
      <c r="N230" s="86">
        <v>1</v>
      </c>
      <c r="O230" s="45" t="s">
        <v>17</v>
      </c>
      <c r="P230" s="86" t="s">
        <v>37</v>
      </c>
      <c r="R230" s="86" t="s">
        <v>114</v>
      </c>
      <c r="S230" s="27">
        <v>46176</v>
      </c>
      <c r="T230" t="s">
        <v>54</v>
      </c>
      <c r="U230" t="s">
        <v>37</v>
      </c>
    </row>
    <row r="231" spans="1:21" ht="30" customHeight="1" x14ac:dyDescent="0.3">
      <c r="A231" s="54">
        <f t="shared" si="7"/>
        <v>230</v>
      </c>
      <c r="B231" s="153" t="s">
        <v>75</v>
      </c>
      <c r="C231" s="13" t="s">
        <v>323</v>
      </c>
      <c r="D231" s="86"/>
      <c r="E231" s="86"/>
      <c r="F231" s="86">
        <v>0</v>
      </c>
      <c r="G231" s="86">
        <v>0</v>
      </c>
      <c r="H231" s="86">
        <v>1</v>
      </c>
      <c r="I231" s="86">
        <v>4</v>
      </c>
      <c r="J231" s="55">
        <f t="shared" si="6"/>
        <v>4</v>
      </c>
      <c r="K231" s="86">
        <v>1</v>
      </c>
      <c r="L231" s="86"/>
      <c r="M231" s="86">
        <v>1</v>
      </c>
      <c r="N231" s="86"/>
      <c r="O231" s="86" t="s">
        <v>12</v>
      </c>
      <c r="P231" s="86" t="s">
        <v>37</v>
      </c>
      <c r="R231" s="86" t="s">
        <v>114</v>
      </c>
      <c r="S231" s="27">
        <v>46176</v>
      </c>
      <c r="T231" t="s">
        <v>54</v>
      </c>
      <c r="U231" t="s">
        <v>37</v>
      </c>
    </row>
    <row r="232" spans="1:21" x14ac:dyDescent="0.3">
      <c r="A232" s="54">
        <f t="shared" si="7"/>
        <v>231</v>
      </c>
      <c r="B232" s="153" t="s">
        <v>82</v>
      </c>
      <c r="C232" s="13" t="s">
        <v>339</v>
      </c>
      <c r="D232" s="86"/>
      <c r="E232" s="86"/>
      <c r="F232" s="86">
        <v>0</v>
      </c>
      <c r="G232" s="86">
        <v>0</v>
      </c>
      <c r="H232" s="86">
        <v>1</v>
      </c>
      <c r="I232" s="86">
        <v>3</v>
      </c>
      <c r="J232" s="55">
        <f t="shared" si="6"/>
        <v>3</v>
      </c>
      <c r="K232" s="86"/>
      <c r="L232" s="86"/>
      <c r="M232" s="86">
        <v>1</v>
      </c>
      <c r="N232" s="86"/>
      <c r="O232" s="86" t="s">
        <v>12</v>
      </c>
      <c r="P232" s="86" t="s">
        <v>37</v>
      </c>
      <c r="R232" s="86" t="s">
        <v>114</v>
      </c>
      <c r="S232" s="27">
        <v>46176</v>
      </c>
      <c r="T232" t="s">
        <v>54</v>
      </c>
      <c r="U232" t="s">
        <v>37</v>
      </c>
    </row>
    <row r="233" spans="1:21" x14ac:dyDescent="0.3">
      <c r="A233" s="54">
        <f t="shared" si="7"/>
        <v>232</v>
      </c>
      <c r="B233" s="153" t="s">
        <v>72</v>
      </c>
      <c r="C233" s="13" t="s">
        <v>340</v>
      </c>
      <c r="D233" s="86"/>
      <c r="E233" s="86"/>
      <c r="F233" s="86">
        <v>0</v>
      </c>
      <c r="G233" s="86">
        <v>0</v>
      </c>
      <c r="H233" s="86">
        <v>1</v>
      </c>
      <c r="I233" s="86">
        <v>3</v>
      </c>
      <c r="J233" s="55">
        <f t="shared" si="6"/>
        <v>3</v>
      </c>
      <c r="K233" s="86"/>
      <c r="L233" s="86"/>
      <c r="M233" s="86">
        <v>1</v>
      </c>
      <c r="N233" s="86"/>
      <c r="O233" s="45" t="s">
        <v>17</v>
      </c>
      <c r="P233" s="86" t="s">
        <v>37</v>
      </c>
      <c r="R233" s="99" t="s">
        <v>114</v>
      </c>
      <c r="S233" s="27">
        <v>46177</v>
      </c>
      <c r="T233" t="s">
        <v>54</v>
      </c>
      <c r="U233" t="s">
        <v>121</v>
      </c>
    </row>
    <row r="234" spans="1:21" x14ac:dyDescent="0.3">
      <c r="A234" s="54">
        <f t="shared" si="7"/>
        <v>233</v>
      </c>
      <c r="B234" s="153" t="s">
        <v>77</v>
      </c>
      <c r="C234" s="13" t="s">
        <v>341</v>
      </c>
      <c r="D234" s="86"/>
      <c r="E234" s="86"/>
      <c r="F234" s="86">
        <v>0</v>
      </c>
      <c r="G234" s="86">
        <v>0</v>
      </c>
      <c r="H234" s="86">
        <v>1</v>
      </c>
      <c r="I234" s="86">
        <v>2</v>
      </c>
      <c r="J234" s="55">
        <f t="shared" si="6"/>
        <v>2</v>
      </c>
      <c r="K234" s="86"/>
      <c r="L234" s="86"/>
      <c r="M234" s="86">
        <v>1</v>
      </c>
      <c r="N234" s="86"/>
      <c r="O234" s="86" t="s">
        <v>12</v>
      </c>
      <c r="P234" s="86" t="s">
        <v>37</v>
      </c>
      <c r="R234" s="99" t="s">
        <v>114</v>
      </c>
      <c r="S234" s="27">
        <v>46177</v>
      </c>
      <c r="T234" t="s">
        <v>54</v>
      </c>
      <c r="U234" t="s">
        <v>121</v>
      </c>
    </row>
    <row r="235" spans="1:21" x14ac:dyDescent="0.3">
      <c r="A235" s="54">
        <f t="shared" si="7"/>
        <v>234</v>
      </c>
      <c r="B235" s="153" t="s">
        <v>77</v>
      </c>
      <c r="C235" s="13" t="s">
        <v>342</v>
      </c>
      <c r="D235" s="86"/>
      <c r="E235" s="86"/>
      <c r="F235" s="86">
        <v>10</v>
      </c>
      <c r="G235" s="86">
        <v>3</v>
      </c>
      <c r="H235" s="86">
        <v>1</v>
      </c>
      <c r="I235" s="86">
        <v>3</v>
      </c>
      <c r="J235" s="55">
        <f t="shared" si="6"/>
        <v>3</v>
      </c>
      <c r="K235" s="86"/>
      <c r="L235" s="86"/>
      <c r="M235" s="86"/>
      <c r="N235" s="86">
        <v>1</v>
      </c>
      <c r="O235" s="45" t="s">
        <v>16</v>
      </c>
      <c r="P235" s="86" t="s">
        <v>37</v>
      </c>
      <c r="R235" s="116" t="s">
        <v>58</v>
      </c>
      <c r="S235" s="27">
        <v>46177</v>
      </c>
      <c r="T235" t="s">
        <v>54</v>
      </c>
      <c r="U235" t="s">
        <v>121</v>
      </c>
    </row>
    <row r="236" spans="1:21" x14ac:dyDescent="0.3">
      <c r="A236" s="54">
        <f t="shared" si="7"/>
        <v>235</v>
      </c>
      <c r="B236" s="153" t="s">
        <v>77</v>
      </c>
      <c r="C236" s="13" t="s">
        <v>343</v>
      </c>
      <c r="D236" s="86"/>
      <c r="E236" s="86"/>
      <c r="F236" s="86">
        <v>0</v>
      </c>
      <c r="G236" s="86">
        <v>0</v>
      </c>
      <c r="H236" s="86">
        <v>1</v>
      </c>
      <c r="I236" s="86">
        <v>3</v>
      </c>
      <c r="J236" s="55">
        <f t="shared" si="6"/>
        <v>3</v>
      </c>
      <c r="K236" s="86"/>
      <c r="L236" s="86"/>
      <c r="M236" s="86">
        <v>1</v>
      </c>
      <c r="N236" s="86"/>
      <c r="O236" s="86" t="s">
        <v>18</v>
      </c>
      <c r="P236" s="86" t="s">
        <v>37</v>
      </c>
      <c r="R236" s="116" t="s">
        <v>58</v>
      </c>
      <c r="S236" s="27">
        <v>46177</v>
      </c>
      <c r="T236" t="s">
        <v>54</v>
      </c>
      <c r="U236" t="s">
        <v>121</v>
      </c>
    </row>
    <row r="237" spans="1:21" ht="30" customHeight="1" x14ac:dyDescent="0.3">
      <c r="A237" s="54">
        <f t="shared" si="7"/>
        <v>236</v>
      </c>
      <c r="B237" s="153" t="s">
        <v>73</v>
      </c>
      <c r="C237" s="13" t="s">
        <v>344</v>
      </c>
      <c r="D237" s="86"/>
      <c r="E237" s="86"/>
      <c r="F237" s="86">
        <v>3</v>
      </c>
      <c r="G237" s="86">
        <v>2</v>
      </c>
      <c r="H237" s="86">
        <v>1</v>
      </c>
      <c r="I237" s="86">
        <v>3</v>
      </c>
      <c r="J237" s="55">
        <f t="shared" si="6"/>
        <v>3</v>
      </c>
      <c r="K237" s="86"/>
      <c r="L237" s="86">
        <v>1</v>
      </c>
      <c r="M237" s="86"/>
      <c r="N237" s="86">
        <v>1</v>
      </c>
      <c r="O237" s="86" t="s">
        <v>13</v>
      </c>
      <c r="P237" s="86" t="s">
        <v>37</v>
      </c>
      <c r="R237" s="116" t="s">
        <v>58</v>
      </c>
      <c r="S237" s="27">
        <v>46177</v>
      </c>
      <c r="T237" t="s">
        <v>54</v>
      </c>
      <c r="U237" t="s">
        <v>37</v>
      </c>
    </row>
    <row r="238" spans="1:21" x14ac:dyDescent="0.3">
      <c r="A238" s="54">
        <f t="shared" si="7"/>
        <v>237</v>
      </c>
      <c r="B238" s="153" t="s">
        <v>73</v>
      </c>
      <c r="C238" s="13" t="s">
        <v>345</v>
      </c>
      <c r="D238" s="86"/>
      <c r="E238" s="86"/>
      <c r="F238" s="86">
        <v>0</v>
      </c>
      <c r="G238" s="86">
        <v>0</v>
      </c>
      <c r="H238" s="86">
        <v>1</v>
      </c>
      <c r="I238" s="86">
        <v>1</v>
      </c>
      <c r="J238" s="55">
        <f t="shared" si="6"/>
        <v>1</v>
      </c>
      <c r="K238" s="86"/>
      <c r="L238" s="86"/>
      <c r="M238" s="86">
        <v>1</v>
      </c>
      <c r="N238" s="86"/>
      <c r="O238" s="86" t="s">
        <v>18</v>
      </c>
      <c r="P238" s="86" t="s">
        <v>37</v>
      </c>
      <c r="R238" s="116" t="s">
        <v>58</v>
      </c>
      <c r="S238" s="27">
        <v>46177</v>
      </c>
      <c r="T238" t="s">
        <v>54</v>
      </c>
      <c r="U238" t="s">
        <v>121</v>
      </c>
    </row>
    <row r="239" spans="1:21" x14ac:dyDescent="0.3">
      <c r="A239" s="54">
        <f t="shared" si="7"/>
        <v>238</v>
      </c>
      <c r="B239" s="153" t="s">
        <v>74</v>
      </c>
      <c r="C239" s="13" t="s">
        <v>346</v>
      </c>
      <c r="D239" s="86"/>
      <c r="E239" s="86"/>
      <c r="F239" s="86">
        <v>0</v>
      </c>
      <c r="G239" s="86">
        <v>0</v>
      </c>
      <c r="H239" s="86">
        <v>1</v>
      </c>
      <c r="I239" s="86">
        <v>3</v>
      </c>
      <c r="J239" s="55">
        <f t="shared" si="6"/>
        <v>3</v>
      </c>
      <c r="K239" s="86"/>
      <c r="L239" s="86"/>
      <c r="M239" s="86">
        <v>1</v>
      </c>
      <c r="N239" s="86"/>
      <c r="O239" s="45" t="s">
        <v>16</v>
      </c>
      <c r="P239" s="86" t="s">
        <v>37</v>
      </c>
      <c r="R239" s="116" t="s">
        <v>58</v>
      </c>
      <c r="S239" s="27">
        <v>46177</v>
      </c>
      <c r="T239" t="s">
        <v>54</v>
      </c>
      <c r="U239" t="s">
        <v>121</v>
      </c>
    </row>
    <row r="240" spans="1:21" x14ac:dyDescent="0.3">
      <c r="A240" s="54">
        <f t="shared" si="7"/>
        <v>239</v>
      </c>
      <c r="B240" s="153" t="s">
        <v>76</v>
      </c>
      <c r="C240" s="13" t="s">
        <v>347</v>
      </c>
      <c r="D240" s="86"/>
      <c r="E240" s="86"/>
      <c r="F240" s="86">
        <v>0</v>
      </c>
      <c r="G240" s="86">
        <v>0</v>
      </c>
      <c r="H240" s="86">
        <v>1</v>
      </c>
      <c r="I240" s="86">
        <v>2</v>
      </c>
      <c r="J240" s="55">
        <f t="shared" si="6"/>
        <v>2</v>
      </c>
      <c r="K240" s="86"/>
      <c r="L240" s="86"/>
      <c r="M240" s="86">
        <v>1</v>
      </c>
      <c r="N240" s="86"/>
      <c r="O240" s="45" t="s">
        <v>11</v>
      </c>
      <c r="P240" s="86" t="s">
        <v>37</v>
      </c>
      <c r="R240" s="116" t="s">
        <v>58</v>
      </c>
      <c r="S240" s="27">
        <v>46177</v>
      </c>
      <c r="T240" t="s">
        <v>54</v>
      </c>
      <c r="U240" t="s">
        <v>121</v>
      </c>
    </row>
    <row r="241" spans="1:21" x14ac:dyDescent="0.3">
      <c r="A241" s="54">
        <f t="shared" si="7"/>
        <v>240</v>
      </c>
      <c r="B241" s="153" t="s">
        <v>82</v>
      </c>
      <c r="C241" s="13" t="s">
        <v>348</v>
      </c>
      <c r="D241" s="86"/>
      <c r="E241" s="86"/>
      <c r="F241" s="86">
        <v>0</v>
      </c>
      <c r="G241" s="86">
        <v>0</v>
      </c>
      <c r="H241" s="86">
        <v>1</v>
      </c>
      <c r="I241" s="86">
        <v>3</v>
      </c>
      <c r="J241" s="55">
        <f t="shared" si="6"/>
        <v>3</v>
      </c>
      <c r="K241" s="86"/>
      <c r="L241" s="86"/>
      <c r="M241" s="86">
        <v>1</v>
      </c>
      <c r="N241" s="86"/>
      <c r="O241" s="45" t="s">
        <v>38</v>
      </c>
      <c r="P241" s="86" t="s">
        <v>37</v>
      </c>
      <c r="R241" s="116" t="s">
        <v>53</v>
      </c>
      <c r="S241" s="27">
        <v>46177</v>
      </c>
      <c r="T241" t="s">
        <v>54</v>
      </c>
      <c r="U241" t="s">
        <v>37</v>
      </c>
    </row>
    <row r="242" spans="1:21" x14ac:dyDescent="0.3">
      <c r="A242" s="54">
        <f t="shared" si="7"/>
        <v>241</v>
      </c>
      <c r="B242" s="153" t="s">
        <v>76</v>
      </c>
      <c r="C242" s="13" t="s">
        <v>349</v>
      </c>
      <c r="D242" s="86"/>
      <c r="E242" s="86"/>
      <c r="F242" s="86">
        <v>0</v>
      </c>
      <c r="G242" s="86">
        <v>0</v>
      </c>
      <c r="H242" s="86">
        <v>1</v>
      </c>
      <c r="I242" s="86">
        <v>2</v>
      </c>
      <c r="J242" s="55">
        <f t="shared" si="6"/>
        <v>2</v>
      </c>
      <c r="K242" s="86"/>
      <c r="L242" s="86"/>
      <c r="M242" s="86">
        <v>1</v>
      </c>
      <c r="N242" s="86"/>
      <c r="O242" s="45" t="s">
        <v>38</v>
      </c>
      <c r="P242" s="86" t="s">
        <v>37</v>
      </c>
      <c r="R242" s="116" t="s">
        <v>53</v>
      </c>
      <c r="S242" s="27">
        <v>46177</v>
      </c>
      <c r="T242" t="s">
        <v>54</v>
      </c>
      <c r="U242" t="s">
        <v>37</v>
      </c>
    </row>
    <row r="243" spans="1:21" ht="30" customHeight="1" x14ac:dyDescent="0.3">
      <c r="A243" s="54">
        <f t="shared" si="7"/>
        <v>242</v>
      </c>
      <c r="B243" s="153" t="s">
        <v>73</v>
      </c>
      <c r="C243" s="13" t="s">
        <v>350</v>
      </c>
      <c r="D243" s="86"/>
      <c r="E243" s="86"/>
      <c r="F243" s="86">
        <v>4</v>
      </c>
      <c r="G243" s="86">
        <v>1</v>
      </c>
      <c r="H243" s="86">
        <v>1</v>
      </c>
      <c r="I243" s="86">
        <v>3</v>
      </c>
      <c r="J243" s="55">
        <f t="shared" si="6"/>
        <v>3</v>
      </c>
      <c r="K243" s="86"/>
      <c r="L243" s="86">
        <v>1</v>
      </c>
      <c r="M243" s="86"/>
      <c r="N243" s="86">
        <v>1</v>
      </c>
      <c r="O243" s="86" t="s">
        <v>12</v>
      </c>
      <c r="P243" t="s">
        <v>37</v>
      </c>
      <c r="R243" s="86" t="s">
        <v>114</v>
      </c>
      <c r="S243" s="27">
        <v>46178</v>
      </c>
      <c r="T243" t="s">
        <v>54</v>
      </c>
      <c r="U243" t="s">
        <v>37</v>
      </c>
    </row>
    <row r="244" spans="1:21" x14ac:dyDescent="0.3">
      <c r="A244" s="54">
        <f t="shared" si="7"/>
        <v>243</v>
      </c>
      <c r="B244" s="153" t="s">
        <v>79</v>
      </c>
      <c r="C244" s="13" t="s">
        <v>351</v>
      </c>
      <c r="D244" s="86"/>
      <c r="E244" s="86"/>
      <c r="F244" s="86">
        <v>2</v>
      </c>
      <c r="G244" s="86">
        <v>4</v>
      </c>
      <c r="H244" s="86">
        <v>1</v>
      </c>
      <c r="I244" s="86">
        <v>3</v>
      </c>
      <c r="J244" s="55">
        <f t="shared" si="6"/>
        <v>3</v>
      </c>
      <c r="K244" s="86"/>
      <c r="L244" s="86"/>
      <c r="M244" s="86"/>
      <c r="N244" s="86">
        <v>1</v>
      </c>
      <c r="O244" s="86" t="s">
        <v>12</v>
      </c>
      <c r="P244" t="s">
        <v>37</v>
      </c>
      <c r="R244" s="116" t="s">
        <v>58</v>
      </c>
      <c r="S244" s="27">
        <v>46178</v>
      </c>
      <c r="T244" t="s">
        <v>54</v>
      </c>
      <c r="U244" t="s">
        <v>37</v>
      </c>
    </row>
    <row r="245" spans="1:21" ht="60" customHeight="1" x14ac:dyDescent="0.3">
      <c r="A245" s="54">
        <f t="shared" si="7"/>
        <v>244</v>
      </c>
      <c r="B245" s="153" t="s">
        <v>77</v>
      </c>
      <c r="C245" s="35" t="s">
        <v>352</v>
      </c>
      <c r="F245">
        <v>2</v>
      </c>
      <c r="G245">
        <v>2</v>
      </c>
      <c r="H245">
        <v>1</v>
      </c>
      <c r="I245">
        <v>3</v>
      </c>
      <c r="J245" s="55">
        <f t="shared" si="6"/>
        <v>3</v>
      </c>
      <c r="N245">
        <v>1</v>
      </c>
      <c r="O245" s="117" t="s">
        <v>9</v>
      </c>
      <c r="P245" t="s">
        <v>37</v>
      </c>
      <c r="R245" s="116" t="s">
        <v>56</v>
      </c>
      <c r="S245" s="27">
        <v>46178</v>
      </c>
      <c r="T245" t="s">
        <v>54</v>
      </c>
      <c r="U245" s="8" t="s">
        <v>121</v>
      </c>
    </row>
    <row r="246" spans="1:21" x14ac:dyDescent="0.3">
      <c r="A246" s="54">
        <f t="shared" si="7"/>
        <v>245</v>
      </c>
      <c r="B246" s="153" t="s">
        <v>77</v>
      </c>
      <c r="C246" s="35" t="s">
        <v>353</v>
      </c>
      <c r="F246">
        <v>8</v>
      </c>
      <c r="G246">
        <v>4</v>
      </c>
      <c r="H246">
        <v>1</v>
      </c>
      <c r="I246">
        <v>3</v>
      </c>
      <c r="J246" s="55">
        <f t="shared" si="6"/>
        <v>3</v>
      </c>
      <c r="N246">
        <v>1</v>
      </c>
      <c r="O246" s="45" t="s">
        <v>12</v>
      </c>
      <c r="P246" t="s">
        <v>37</v>
      </c>
      <c r="R246" s="116" t="s">
        <v>53</v>
      </c>
      <c r="S246" s="27">
        <v>46178</v>
      </c>
      <c r="T246" t="s">
        <v>54</v>
      </c>
      <c r="U246" s="8" t="s">
        <v>37</v>
      </c>
    </row>
    <row r="247" spans="1:21" x14ac:dyDescent="0.3">
      <c r="A247" s="54">
        <f t="shared" si="7"/>
        <v>246</v>
      </c>
      <c r="B247" s="153" t="s">
        <v>78</v>
      </c>
      <c r="C247" s="35" t="s">
        <v>354</v>
      </c>
      <c r="F247">
        <v>0</v>
      </c>
      <c r="G247">
        <v>0</v>
      </c>
      <c r="H247">
        <v>1</v>
      </c>
      <c r="I247">
        <v>3</v>
      </c>
      <c r="J247" s="55">
        <f t="shared" si="6"/>
        <v>3</v>
      </c>
      <c r="M247">
        <v>1</v>
      </c>
      <c r="O247" t="s">
        <v>13</v>
      </c>
      <c r="P247" s="97" t="s">
        <v>37</v>
      </c>
      <c r="R247" s="100" t="s">
        <v>114</v>
      </c>
      <c r="S247" s="101">
        <v>46179</v>
      </c>
      <c r="T247" t="s">
        <v>54</v>
      </c>
      <c r="U247" s="8" t="s">
        <v>37</v>
      </c>
    </row>
    <row r="248" spans="1:21" x14ac:dyDescent="0.3">
      <c r="A248" s="54">
        <f t="shared" si="7"/>
        <v>247</v>
      </c>
      <c r="B248" s="153" t="s">
        <v>78</v>
      </c>
      <c r="C248" s="35" t="s">
        <v>355</v>
      </c>
      <c r="F248">
        <v>2</v>
      </c>
      <c r="G248">
        <v>2</v>
      </c>
      <c r="H248">
        <v>1</v>
      </c>
      <c r="I248">
        <v>2</v>
      </c>
      <c r="J248" s="55">
        <f t="shared" si="6"/>
        <v>2</v>
      </c>
      <c r="N248">
        <v>1</v>
      </c>
      <c r="O248" t="s">
        <v>18</v>
      </c>
      <c r="P248" s="97" t="s">
        <v>37</v>
      </c>
      <c r="R248" s="116" t="s">
        <v>56</v>
      </c>
      <c r="S248" s="101">
        <v>46179</v>
      </c>
      <c r="T248" t="s">
        <v>54</v>
      </c>
      <c r="U248" s="8" t="s">
        <v>37</v>
      </c>
    </row>
    <row r="249" spans="1:21" x14ac:dyDescent="0.3">
      <c r="A249" s="54">
        <f t="shared" si="7"/>
        <v>248</v>
      </c>
      <c r="B249" s="153" t="s">
        <v>79</v>
      </c>
      <c r="C249" s="89" t="s">
        <v>356</v>
      </c>
      <c r="E249">
        <v>1</v>
      </c>
      <c r="F249">
        <v>5</v>
      </c>
      <c r="G249">
        <v>1</v>
      </c>
      <c r="H249">
        <v>1</v>
      </c>
      <c r="I249">
        <v>3</v>
      </c>
      <c r="J249" s="55">
        <f t="shared" si="6"/>
        <v>3</v>
      </c>
      <c r="K249" s="97"/>
      <c r="N249">
        <v>1</v>
      </c>
      <c r="O249" s="89" t="s">
        <v>12</v>
      </c>
      <c r="P249" s="97" t="s">
        <v>37</v>
      </c>
      <c r="R249" s="99" t="s">
        <v>114</v>
      </c>
      <c r="S249" s="101">
        <v>46179</v>
      </c>
      <c r="T249" t="s">
        <v>54</v>
      </c>
      <c r="U249" s="8" t="s">
        <v>37</v>
      </c>
    </row>
    <row r="250" spans="1:21" s="72" customFormat="1" x14ac:dyDescent="0.3">
      <c r="A250" s="54">
        <f t="shared" si="7"/>
        <v>249</v>
      </c>
      <c r="B250" s="153" t="s">
        <v>77</v>
      </c>
      <c r="C250" s="89" t="s">
        <v>357</v>
      </c>
      <c r="E250">
        <v>1</v>
      </c>
      <c r="F250">
        <v>12</v>
      </c>
      <c r="G250">
        <v>1</v>
      </c>
      <c r="H250">
        <v>1</v>
      </c>
      <c r="I250">
        <v>4</v>
      </c>
      <c r="J250" s="124">
        <f t="shared" si="6"/>
        <v>4</v>
      </c>
      <c r="K250" s="97">
        <v>1</v>
      </c>
      <c r="L250" s="97"/>
      <c r="N250">
        <v>1</v>
      </c>
      <c r="O250" s="89" t="s">
        <v>46</v>
      </c>
      <c r="P250" s="97" t="s">
        <v>37</v>
      </c>
      <c r="R250" s="100" t="s">
        <v>114</v>
      </c>
      <c r="S250" s="101">
        <v>46179</v>
      </c>
      <c r="T250" t="s">
        <v>54</v>
      </c>
      <c r="U250" s="72" t="s">
        <v>37</v>
      </c>
    </row>
    <row r="251" spans="1:21" s="72" customFormat="1" x14ac:dyDescent="0.3">
      <c r="A251" s="54">
        <f t="shared" si="7"/>
        <v>250</v>
      </c>
      <c r="B251" s="153" t="s">
        <v>73</v>
      </c>
      <c r="C251" s="89" t="s">
        <v>358</v>
      </c>
      <c r="E251">
        <v>1</v>
      </c>
      <c r="F251">
        <v>7</v>
      </c>
      <c r="G251">
        <v>1</v>
      </c>
      <c r="H251">
        <v>1</v>
      </c>
      <c r="I251">
        <v>1</v>
      </c>
      <c r="J251" s="124">
        <f t="shared" si="6"/>
        <v>1</v>
      </c>
      <c r="K251" s="97"/>
      <c r="L251">
        <v>1</v>
      </c>
      <c r="N251">
        <v>1</v>
      </c>
      <c r="O251" s="45" t="s">
        <v>38</v>
      </c>
      <c r="P251" s="97" t="s">
        <v>37</v>
      </c>
      <c r="R251" s="116" t="s">
        <v>53</v>
      </c>
      <c r="S251" s="101">
        <v>46179</v>
      </c>
      <c r="T251" t="s">
        <v>54</v>
      </c>
      <c r="U251" s="72" t="s">
        <v>37</v>
      </c>
    </row>
    <row r="252" spans="1:21" s="72" customFormat="1" x14ac:dyDescent="0.3">
      <c r="A252" s="54">
        <f t="shared" si="7"/>
        <v>251</v>
      </c>
      <c r="B252" s="153" t="s">
        <v>77</v>
      </c>
      <c r="C252" s="89" t="s">
        <v>359</v>
      </c>
      <c r="E252">
        <v>1</v>
      </c>
      <c r="F252">
        <v>14</v>
      </c>
      <c r="G252">
        <v>2</v>
      </c>
      <c r="H252">
        <v>2</v>
      </c>
      <c r="I252">
        <v>3</v>
      </c>
      <c r="J252" s="124">
        <f t="shared" si="6"/>
        <v>6</v>
      </c>
      <c r="K252" s="97"/>
      <c r="N252">
        <v>1</v>
      </c>
      <c r="O252" s="45" t="s">
        <v>17</v>
      </c>
      <c r="P252" s="97" t="s">
        <v>37</v>
      </c>
      <c r="R252" s="116" t="s">
        <v>58</v>
      </c>
      <c r="S252" s="101">
        <v>46179</v>
      </c>
      <c r="T252" t="s">
        <v>54</v>
      </c>
      <c r="U252" s="72" t="s">
        <v>37</v>
      </c>
    </row>
    <row r="253" spans="1:21" s="72" customFormat="1" x14ac:dyDescent="0.3">
      <c r="A253" s="54">
        <f t="shared" si="7"/>
        <v>252</v>
      </c>
      <c r="B253" s="153" t="s">
        <v>74</v>
      </c>
      <c r="C253" s="89" t="s">
        <v>360</v>
      </c>
      <c r="E253">
        <v>1</v>
      </c>
      <c r="H253">
        <v>1</v>
      </c>
      <c r="I253">
        <v>3</v>
      </c>
      <c r="J253" s="124">
        <f t="shared" si="6"/>
        <v>3</v>
      </c>
      <c r="K253" s="97"/>
      <c r="M253">
        <v>1</v>
      </c>
      <c r="O253" s="89" t="s">
        <v>46</v>
      </c>
      <c r="P253" s="97" t="s">
        <v>37</v>
      </c>
      <c r="R253" s="116" t="s">
        <v>53</v>
      </c>
      <c r="S253" s="101">
        <v>46179</v>
      </c>
      <c r="T253" t="s">
        <v>54</v>
      </c>
      <c r="U253" s="72" t="s">
        <v>37</v>
      </c>
    </row>
    <row r="254" spans="1:21" s="72" customFormat="1" x14ac:dyDescent="0.3">
      <c r="A254" s="54">
        <f t="shared" si="7"/>
        <v>253</v>
      </c>
      <c r="B254" s="153" t="s">
        <v>72</v>
      </c>
      <c r="C254" s="89" t="s">
        <v>361</v>
      </c>
      <c r="E254">
        <v>1</v>
      </c>
      <c r="H254">
        <v>1</v>
      </c>
      <c r="I254">
        <v>3</v>
      </c>
      <c r="J254" s="124">
        <f t="shared" si="6"/>
        <v>3</v>
      </c>
      <c r="K254" s="97"/>
      <c r="M254">
        <v>1</v>
      </c>
      <c r="O254" s="117" t="s">
        <v>9</v>
      </c>
      <c r="P254" s="97" t="s">
        <v>37</v>
      </c>
      <c r="R254" s="116" t="s">
        <v>58</v>
      </c>
      <c r="S254" s="101">
        <v>46179</v>
      </c>
      <c r="T254" t="s">
        <v>54</v>
      </c>
      <c r="U254" s="72" t="s">
        <v>37</v>
      </c>
    </row>
    <row r="255" spans="1:21" s="72" customFormat="1" x14ac:dyDescent="0.3">
      <c r="A255" s="54">
        <f t="shared" si="7"/>
        <v>254</v>
      </c>
      <c r="B255" s="153" t="s">
        <v>77</v>
      </c>
      <c r="C255" s="89" t="s">
        <v>362</v>
      </c>
      <c r="E255">
        <v>1</v>
      </c>
      <c r="F255">
        <v>4</v>
      </c>
      <c r="G255">
        <v>12</v>
      </c>
      <c r="H255">
        <v>12</v>
      </c>
      <c r="I255">
        <v>3</v>
      </c>
      <c r="J255" s="124">
        <f t="shared" si="6"/>
        <v>36</v>
      </c>
      <c r="K255" s="97"/>
      <c r="M255">
        <v>1</v>
      </c>
      <c r="O255" s="89" t="s">
        <v>12</v>
      </c>
      <c r="P255" s="97" t="s">
        <v>37</v>
      </c>
      <c r="R255" s="100" t="s">
        <v>114</v>
      </c>
      <c r="S255" s="101">
        <v>46179</v>
      </c>
      <c r="T255" t="s">
        <v>54</v>
      </c>
      <c r="U255" s="72" t="s">
        <v>121</v>
      </c>
    </row>
    <row r="256" spans="1:21" s="72" customFormat="1" x14ac:dyDescent="0.3">
      <c r="A256" s="54">
        <f t="shared" si="7"/>
        <v>255</v>
      </c>
      <c r="B256" s="153" t="s">
        <v>72</v>
      </c>
      <c r="C256" s="89" t="s">
        <v>363</v>
      </c>
      <c r="E256">
        <v>1</v>
      </c>
      <c r="F256">
        <v>6</v>
      </c>
      <c r="G256">
        <v>2</v>
      </c>
      <c r="H256">
        <v>2</v>
      </c>
      <c r="I256">
        <v>3</v>
      </c>
      <c r="J256" s="124">
        <f t="shared" si="6"/>
        <v>6</v>
      </c>
      <c r="K256" s="97"/>
      <c r="N256">
        <v>1</v>
      </c>
      <c r="O256" s="45" t="s">
        <v>17</v>
      </c>
      <c r="P256" s="97" t="s">
        <v>37</v>
      </c>
      <c r="R256" t="s">
        <v>59</v>
      </c>
      <c r="S256" s="101">
        <v>46179</v>
      </c>
      <c r="T256" t="s">
        <v>54</v>
      </c>
      <c r="U256" s="72" t="s">
        <v>37</v>
      </c>
    </row>
    <row r="257" spans="1:21" s="72" customFormat="1" x14ac:dyDescent="0.3">
      <c r="A257" s="54">
        <f t="shared" si="7"/>
        <v>256</v>
      </c>
      <c r="B257" s="153" t="s">
        <v>72</v>
      </c>
      <c r="C257" s="89" t="s">
        <v>364</v>
      </c>
      <c r="E257">
        <v>1</v>
      </c>
      <c r="F257">
        <v>6</v>
      </c>
      <c r="G257">
        <v>1</v>
      </c>
      <c r="H257">
        <v>1</v>
      </c>
      <c r="I257">
        <v>3</v>
      </c>
      <c r="J257" s="124">
        <f t="shared" si="6"/>
        <v>3</v>
      </c>
      <c r="K257" s="97"/>
      <c r="L257">
        <v>1</v>
      </c>
      <c r="N257">
        <v>1</v>
      </c>
      <c r="O257" s="45" t="s">
        <v>17</v>
      </c>
      <c r="P257" s="97" t="s">
        <v>37</v>
      </c>
      <c r="R257" s="100" t="s">
        <v>114</v>
      </c>
      <c r="S257" s="101">
        <v>46179</v>
      </c>
      <c r="T257" t="s">
        <v>54</v>
      </c>
      <c r="U257" s="72" t="s">
        <v>37</v>
      </c>
    </row>
    <row r="258" spans="1:21" s="72" customFormat="1" x14ac:dyDescent="0.3">
      <c r="A258" s="54">
        <f t="shared" si="7"/>
        <v>257</v>
      </c>
      <c r="B258" s="153" t="s">
        <v>74</v>
      </c>
      <c r="C258" s="89" t="s">
        <v>365</v>
      </c>
      <c r="E258">
        <v>1</v>
      </c>
      <c r="H258">
        <v>1</v>
      </c>
      <c r="I258">
        <v>3</v>
      </c>
      <c r="J258" s="124">
        <f t="shared" ref="J258:J321" si="8">I258*H258</f>
        <v>3</v>
      </c>
      <c r="K258" s="97"/>
      <c r="M258">
        <v>1</v>
      </c>
      <c r="O258" s="89"/>
      <c r="P258" s="97" t="s">
        <v>37</v>
      </c>
      <c r="R258" s="116" t="s">
        <v>53</v>
      </c>
      <c r="S258" s="101">
        <v>46179</v>
      </c>
      <c r="T258" t="s">
        <v>54</v>
      </c>
      <c r="U258" s="72" t="s">
        <v>37</v>
      </c>
    </row>
    <row r="259" spans="1:21" s="72" customFormat="1" x14ac:dyDescent="0.3">
      <c r="A259" s="54">
        <f t="shared" ref="A259:A322" si="9">A258+1</f>
        <v>258</v>
      </c>
      <c r="B259" s="153" t="s">
        <v>77</v>
      </c>
      <c r="C259" s="89" t="s">
        <v>366</v>
      </c>
      <c r="E259">
        <v>1</v>
      </c>
      <c r="F259">
        <v>3</v>
      </c>
      <c r="G259">
        <v>1</v>
      </c>
      <c r="H259">
        <v>1</v>
      </c>
      <c r="I259">
        <v>3</v>
      </c>
      <c r="J259" s="124">
        <f t="shared" si="8"/>
        <v>3</v>
      </c>
      <c r="K259" s="97"/>
      <c r="N259">
        <v>1</v>
      </c>
      <c r="O259" s="89" t="s">
        <v>12</v>
      </c>
      <c r="P259" s="97" t="s">
        <v>37</v>
      </c>
      <c r="R259" s="116" t="s">
        <v>58</v>
      </c>
      <c r="S259" s="101">
        <v>46179</v>
      </c>
      <c r="T259" t="s">
        <v>54</v>
      </c>
      <c r="U259" s="72" t="s">
        <v>121</v>
      </c>
    </row>
    <row r="260" spans="1:21" s="72" customFormat="1" x14ac:dyDescent="0.3">
      <c r="A260" s="54">
        <f t="shared" si="9"/>
        <v>259</v>
      </c>
      <c r="B260" s="153" t="s">
        <v>75</v>
      </c>
      <c r="C260" s="89" t="s">
        <v>367</v>
      </c>
      <c r="E260">
        <v>1</v>
      </c>
      <c r="H260">
        <v>1</v>
      </c>
      <c r="I260">
        <v>3</v>
      </c>
      <c r="J260" s="124">
        <f t="shared" si="8"/>
        <v>3</v>
      </c>
      <c r="K260" s="97"/>
      <c r="M260">
        <v>1</v>
      </c>
      <c r="O260" s="89" t="s">
        <v>12</v>
      </c>
      <c r="P260" s="97" t="s">
        <v>37</v>
      </c>
      <c r="R260" s="116" t="s">
        <v>53</v>
      </c>
      <c r="S260" s="101">
        <v>46179</v>
      </c>
      <c r="T260" t="s">
        <v>54</v>
      </c>
      <c r="U260" s="72" t="s">
        <v>37</v>
      </c>
    </row>
    <row r="261" spans="1:21" s="72" customFormat="1" x14ac:dyDescent="0.3">
      <c r="A261" s="54">
        <f t="shared" si="9"/>
        <v>260</v>
      </c>
      <c r="B261" s="153" t="s">
        <v>74</v>
      </c>
      <c r="C261" s="89" t="s">
        <v>368</v>
      </c>
      <c r="H261">
        <v>1</v>
      </c>
      <c r="I261">
        <v>3</v>
      </c>
      <c r="J261" s="124">
        <f t="shared" si="8"/>
        <v>3</v>
      </c>
      <c r="K261" s="97"/>
      <c r="M261">
        <v>1</v>
      </c>
      <c r="O261" s="118" t="s">
        <v>13</v>
      </c>
      <c r="P261" s="97" t="s">
        <v>121</v>
      </c>
      <c r="R261" s="116" t="s">
        <v>53</v>
      </c>
      <c r="S261" s="101">
        <v>46179</v>
      </c>
      <c r="T261" t="s">
        <v>54</v>
      </c>
      <c r="U261" s="72" t="s">
        <v>37</v>
      </c>
    </row>
    <row r="262" spans="1:21" s="72" customFormat="1" x14ac:dyDescent="0.3">
      <c r="A262" s="54">
        <f t="shared" si="9"/>
        <v>261</v>
      </c>
      <c r="B262" s="153" t="s">
        <v>77</v>
      </c>
      <c r="C262" s="89" t="s">
        <v>369</v>
      </c>
      <c r="E262">
        <v>1</v>
      </c>
      <c r="F262">
        <v>3</v>
      </c>
      <c r="G262">
        <v>3</v>
      </c>
      <c r="H262">
        <v>3</v>
      </c>
      <c r="I262">
        <v>3</v>
      </c>
      <c r="J262" s="124">
        <f t="shared" si="8"/>
        <v>9</v>
      </c>
      <c r="K262" s="86"/>
      <c r="N262">
        <v>1</v>
      </c>
      <c r="O262" s="45" t="s">
        <v>17</v>
      </c>
      <c r="P262" s="86" t="s">
        <v>37</v>
      </c>
      <c r="R262" t="s">
        <v>59</v>
      </c>
      <c r="S262" s="101">
        <v>46179</v>
      </c>
      <c r="T262" t="s">
        <v>54</v>
      </c>
      <c r="U262" s="72" t="s">
        <v>121</v>
      </c>
    </row>
    <row r="263" spans="1:21" x14ac:dyDescent="0.3">
      <c r="A263" s="54">
        <f t="shared" si="9"/>
        <v>262</v>
      </c>
      <c r="B263" s="153" t="s">
        <v>79</v>
      </c>
      <c r="C263" s="89" t="s">
        <v>370</v>
      </c>
      <c r="E263">
        <v>1</v>
      </c>
      <c r="H263">
        <v>1</v>
      </c>
      <c r="I263">
        <v>4</v>
      </c>
      <c r="J263" s="55">
        <f t="shared" si="8"/>
        <v>4</v>
      </c>
      <c r="K263" s="86"/>
      <c r="M263">
        <v>1</v>
      </c>
      <c r="O263" s="45" t="s">
        <v>17</v>
      </c>
      <c r="P263" s="86" t="s">
        <v>37</v>
      </c>
      <c r="R263" s="116" t="s">
        <v>53</v>
      </c>
      <c r="S263" s="101">
        <v>46179</v>
      </c>
      <c r="T263" t="s">
        <v>54</v>
      </c>
      <c r="U263" s="72" t="s">
        <v>37</v>
      </c>
    </row>
    <row r="264" spans="1:21" x14ac:dyDescent="0.3">
      <c r="A264" s="54">
        <f t="shared" si="9"/>
        <v>263</v>
      </c>
      <c r="B264" s="153" t="s">
        <v>74</v>
      </c>
      <c r="C264" s="89" t="s">
        <v>371</v>
      </c>
      <c r="E264">
        <v>1</v>
      </c>
      <c r="F264">
        <v>5</v>
      </c>
      <c r="G264">
        <v>1</v>
      </c>
      <c r="H264">
        <v>1</v>
      </c>
      <c r="I264">
        <v>1</v>
      </c>
      <c r="J264" s="55">
        <f t="shared" si="8"/>
        <v>1</v>
      </c>
      <c r="K264" s="86"/>
      <c r="N264">
        <v>1</v>
      </c>
      <c r="O264" s="45" t="s">
        <v>38</v>
      </c>
      <c r="P264" s="86" t="s">
        <v>37</v>
      </c>
      <c r="R264" s="116" t="s">
        <v>58</v>
      </c>
      <c r="S264" s="101">
        <v>46179</v>
      </c>
      <c r="T264" t="s">
        <v>54</v>
      </c>
      <c r="U264" s="72" t="s">
        <v>121</v>
      </c>
    </row>
    <row r="265" spans="1:21" x14ac:dyDescent="0.3">
      <c r="A265" s="54">
        <f t="shared" si="9"/>
        <v>264</v>
      </c>
      <c r="B265" s="153" t="s">
        <v>79</v>
      </c>
      <c r="C265" s="89" t="s">
        <v>372</v>
      </c>
      <c r="E265">
        <v>1</v>
      </c>
      <c r="H265">
        <v>1</v>
      </c>
      <c r="I265">
        <v>3</v>
      </c>
      <c r="J265" s="55">
        <f t="shared" si="8"/>
        <v>3</v>
      </c>
      <c r="K265" s="86"/>
      <c r="M265">
        <v>1</v>
      </c>
      <c r="O265" s="45" t="s">
        <v>17</v>
      </c>
      <c r="P265" s="86" t="s">
        <v>37</v>
      </c>
      <c r="R265" s="116" t="s">
        <v>58</v>
      </c>
      <c r="S265" s="101">
        <v>46179</v>
      </c>
      <c r="T265" t="s">
        <v>54</v>
      </c>
      <c r="U265" t="s">
        <v>37</v>
      </c>
    </row>
    <row r="266" spans="1:21" x14ac:dyDescent="0.3">
      <c r="A266" s="54">
        <f t="shared" si="9"/>
        <v>265</v>
      </c>
      <c r="B266" s="153" t="s">
        <v>78</v>
      </c>
      <c r="C266" s="89" t="s">
        <v>373</v>
      </c>
      <c r="E266">
        <v>1</v>
      </c>
      <c r="H266">
        <v>1</v>
      </c>
      <c r="I266">
        <v>3</v>
      </c>
      <c r="J266" s="55">
        <f t="shared" si="8"/>
        <v>3</v>
      </c>
      <c r="K266" s="86"/>
      <c r="M266">
        <v>1</v>
      </c>
      <c r="O266" s="117" t="s">
        <v>9</v>
      </c>
      <c r="P266" s="86" t="s">
        <v>37</v>
      </c>
      <c r="R266" s="116" t="s">
        <v>58</v>
      </c>
      <c r="S266" s="101">
        <v>46179</v>
      </c>
      <c r="T266" t="s">
        <v>54</v>
      </c>
      <c r="U266" t="s">
        <v>37</v>
      </c>
    </row>
    <row r="267" spans="1:21" x14ac:dyDescent="0.3">
      <c r="A267" s="54">
        <f t="shared" si="9"/>
        <v>266</v>
      </c>
      <c r="B267" s="153" t="s">
        <v>74</v>
      </c>
      <c r="C267" s="89" t="s">
        <v>374</v>
      </c>
      <c r="E267">
        <v>1</v>
      </c>
      <c r="H267">
        <v>1</v>
      </c>
      <c r="I267">
        <v>3</v>
      </c>
      <c r="J267" s="55">
        <f t="shared" si="8"/>
        <v>3</v>
      </c>
      <c r="K267" s="86"/>
      <c r="M267">
        <v>1</v>
      </c>
      <c r="N267" s="81"/>
      <c r="O267" s="45" t="s">
        <v>16</v>
      </c>
      <c r="P267" s="86" t="s">
        <v>37</v>
      </c>
      <c r="R267" s="116" t="s">
        <v>58</v>
      </c>
      <c r="S267" s="101">
        <v>46179</v>
      </c>
      <c r="T267" t="s">
        <v>54</v>
      </c>
      <c r="U267" t="s">
        <v>121</v>
      </c>
    </row>
    <row r="268" spans="1:21" x14ac:dyDescent="0.3">
      <c r="A268" s="54">
        <f t="shared" si="9"/>
        <v>267</v>
      </c>
      <c r="B268" s="153" t="s">
        <v>75</v>
      </c>
      <c r="C268" s="89" t="s">
        <v>375</v>
      </c>
      <c r="E268">
        <v>1</v>
      </c>
      <c r="H268">
        <v>1</v>
      </c>
      <c r="I268">
        <v>2</v>
      </c>
      <c r="J268" s="55">
        <f t="shared" si="8"/>
        <v>2</v>
      </c>
      <c r="K268" s="86"/>
      <c r="M268">
        <v>1</v>
      </c>
      <c r="O268" s="117" t="s">
        <v>9</v>
      </c>
      <c r="P268" s="86" t="s">
        <v>37</v>
      </c>
      <c r="R268" s="116" t="s">
        <v>58</v>
      </c>
      <c r="S268" s="47">
        <v>46181</v>
      </c>
      <c r="T268" t="s">
        <v>54</v>
      </c>
      <c r="U268" t="s">
        <v>37</v>
      </c>
    </row>
    <row r="269" spans="1:21" x14ac:dyDescent="0.3">
      <c r="A269" s="54">
        <f t="shared" si="9"/>
        <v>268</v>
      </c>
      <c r="B269" s="153" t="s">
        <v>72</v>
      </c>
      <c r="C269" s="89" t="s">
        <v>376</v>
      </c>
      <c r="E269">
        <v>1</v>
      </c>
      <c r="H269">
        <v>1</v>
      </c>
      <c r="I269">
        <v>3</v>
      </c>
      <c r="J269" s="55">
        <f t="shared" si="8"/>
        <v>3</v>
      </c>
      <c r="K269" s="86"/>
      <c r="M269">
        <v>1</v>
      </c>
      <c r="N269" s="81"/>
      <c r="O269" s="98" t="s">
        <v>18</v>
      </c>
      <c r="P269" s="86" t="s">
        <v>37</v>
      </c>
      <c r="R269" s="116" t="s">
        <v>58</v>
      </c>
      <c r="S269" s="47">
        <v>46181</v>
      </c>
      <c r="T269" t="s">
        <v>54</v>
      </c>
      <c r="U269" t="s">
        <v>121</v>
      </c>
    </row>
    <row r="270" spans="1:21" x14ac:dyDescent="0.3">
      <c r="A270" s="54">
        <f t="shared" si="9"/>
        <v>269</v>
      </c>
      <c r="B270" s="153" t="s">
        <v>74</v>
      </c>
      <c r="C270" s="89" t="s">
        <v>377</v>
      </c>
      <c r="D270" s="86"/>
      <c r="E270" s="86">
        <v>1</v>
      </c>
      <c r="F270" s="86"/>
      <c r="G270" s="86"/>
      <c r="H270" s="86">
        <v>1</v>
      </c>
      <c r="I270" s="86">
        <v>3</v>
      </c>
      <c r="J270" s="55">
        <f t="shared" si="8"/>
        <v>3</v>
      </c>
      <c r="K270" s="86"/>
      <c r="L270" s="86"/>
      <c r="M270" s="86">
        <v>1</v>
      </c>
      <c r="N270" s="86"/>
      <c r="O270" s="89" t="s">
        <v>12</v>
      </c>
      <c r="P270" s="86" t="s">
        <v>37</v>
      </c>
      <c r="R270" s="116" t="s">
        <v>53</v>
      </c>
      <c r="S270" s="47">
        <v>46181</v>
      </c>
      <c r="T270" t="s">
        <v>54</v>
      </c>
      <c r="U270" t="s">
        <v>37</v>
      </c>
    </row>
    <row r="271" spans="1:21" ht="45" customHeight="1" x14ac:dyDescent="0.3">
      <c r="A271" s="54">
        <f t="shared" si="9"/>
        <v>270</v>
      </c>
      <c r="B271" s="153" t="s">
        <v>77</v>
      </c>
      <c r="C271" s="90" t="s">
        <v>378</v>
      </c>
      <c r="D271" s="86"/>
      <c r="E271" s="86">
        <v>1</v>
      </c>
      <c r="F271" s="86">
        <v>4</v>
      </c>
      <c r="G271" s="86">
        <v>2</v>
      </c>
      <c r="H271" s="86">
        <v>2</v>
      </c>
      <c r="I271" s="86">
        <v>2</v>
      </c>
      <c r="J271" s="55">
        <f t="shared" si="8"/>
        <v>4</v>
      </c>
      <c r="K271" s="86"/>
      <c r="L271" s="86"/>
      <c r="M271" s="86"/>
      <c r="N271" s="86">
        <v>1</v>
      </c>
      <c r="O271" s="45" t="s">
        <v>17</v>
      </c>
      <c r="P271" s="86" t="s">
        <v>37</v>
      </c>
      <c r="R271" s="116" t="s">
        <v>53</v>
      </c>
      <c r="S271" s="47">
        <v>46181</v>
      </c>
      <c r="T271" t="s">
        <v>54</v>
      </c>
      <c r="U271" t="s">
        <v>37</v>
      </c>
    </row>
    <row r="272" spans="1:21" x14ac:dyDescent="0.3">
      <c r="A272" s="54">
        <f t="shared" si="9"/>
        <v>271</v>
      </c>
      <c r="B272" s="153" t="s">
        <v>77</v>
      </c>
      <c r="C272" s="89" t="s">
        <v>379</v>
      </c>
      <c r="D272" s="86"/>
      <c r="E272" s="86">
        <v>1</v>
      </c>
      <c r="F272" s="86">
        <v>7</v>
      </c>
      <c r="G272" s="86">
        <v>4</v>
      </c>
      <c r="H272" s="86">
        <v>4</v>
      </c>
      <c r="I272" s="86">
        <v>4</v>
      </c>
      <c r="J272" s="55">
        <f t="shared" si="8"/>
        <v>16</v>
      </c>
      <c r="K272" s="86">
        <v>1</v>
      </c>
      <c r="L272" s="86"/>
      <c r="M272" s="86"/>
      <c r="N272" s="86">
        <v>1</v>
      </c>
      <c r="O272" s="45" t="s">
        <v>17</v>
      </c>
      <c r="P272" s="86" t="s">
        <v>37</v>
      </c>
      <c r="R272" t="s">
        <v>59</v>
      </c>
      <c r="S272" s="47">
        <v>46181</v>
      </c>
      <c r="T272" t="s">
        <v>54</v>
      </c>
      <c r="U272" t="s">
        <v>37</v>
      </c>
    </row>
    <row r="273" spans="1:21" x14ac:dyDescent="0.3">
      <c r="A273" s="54">
        <f t="shared" si="9"/>
        <v>272</v>
      </c>
      <c r="B273" s="153" t="s">
        <v>72</v>
      </c>
      <c r="C273" s="89" t="s">
        <v>380</v>
      </c>
      <c r="D273" s="86"/>
      <c r="E273" s="86">
        <v>1</v>
      </c>
      <c r="F273" s="86"/>
      <c r="G273" s="86"/>
      <c r="H273" s="86">
        <v>1</v>
      </c>
      <c r="I273" s="86">
        <v>2</v>
      </c>
      <c r="J273" s="55">
        <f t="shared" si="8"/>
        <v>2</v>
      </c>
      <c r="K273" s="86"/>
      <c r="L273" s="86"/>
      <c r="M273" s="86">
        <v>1</v>
      </c>
      <c r="N273" s="86"/>
      <c r="O273" s="89" t="s">
        <v>12</v>
      </c>
      <c r="P273" s="86" t="s">
        <v>37</v>
      </c>
      <c r="R273" s="116" t="s">
        <v>53</v>
      </c>
      <c r="S273" s="47">
        <v>46181</v>
      </c>
      <c r="T273" t="s">
        <v>54</v>
      </c>
      <c r="U273" t="s">
        <v>37</v>
      </c>
    </row>
    <row r="274" spans="1:21" x14ac:dyDescent="0.3">
      <c r="A274" s="54">
        <f t="shared" si="9"/>
        <v>273</v>
      </c>
      <c r="B274" s="153" t="s">
        <v>74</v>
      </c>
      <c r="C274" s="89" t="s">
        <v>381</v>
      </c>
      <c r="D274" s="86"/>
      <c r="E274" s="86">
        <v>1</v>
      </c>
      <c r="F274" s="86"/>
      <c r="G274" s="86"/>
      <c r="H274" s="86">
        <v>1</v>
      </c>
      <c r="I274" s="86">
        <v>3</v>
      </c>
      <c r="J274" s="55">
        <f t="shared" si="8"/>
        <v>3</v>
      </c>
      <c r="K274" s="86"/>
      <c r="L274" s="86"/>
      <c r="M274" s="86">
        <v>1</v>
      </c>
      <c r="N274" s="86"/>
      <c r="O274" s="45" t="s">
        <v>38</v>
      </c>
      <c r="P274" s="86" t="s">
        <v>37</v>
      </c>
      <c r="R274" s="116" t="s">
        <v>58</v>
      </c>
      <c r="S274" s="47">
        <v>46181</v>
      </c>
      <c r="T274" t="s">
        <v>54</v>
      </c>
      <c r="U274" t="s">
        <v>37</v>
      </c>
    </row>
    <row r="275" spans="1:21" x14ac:dyDescent="0.3">
      <c r="A275" s="54">
        <f t="shared" si="9"/>
        <v>274</v>
      </c>
      <c r="B275" s="153" t="s">
        <v>72</v>
      </c>
      <c r="C275" s="89" t="s">
        <v>382</v>
      </c>
      <c r="D275" s="86"/>
      <c r="E275" s="86">
        <v>1</v>
      </c>
      <c r="F275" s="86">
        <v>0</v>
      </c>
      <c r="G275" s="86">
        <v>5</v>
      </c>
      <c r="H275" s="86">
        <v>5</v>
      </c>
      <c r="I275" s="86">
        <v>5</v>
      </c>
      <c r="J275" s="55">
        <f t="shared" si="8"/>
        <v>25</v>
      </c>
      <c r="K275" s="86">
        <v>1</v>
      </c>
      <c r="L275" s="86"/>
      <c r="M275" s="86"/>
      <c r="N275" s="86">
        <v>1</v>
      </c>
      <c r="O275" s="89" t="s">
        <v>12</v>
      </c>
      <c r="P275" s="86" t="s">
        <v>37</v>
      </c>
      <c r="R275" s="116" t="s">
        <v>53</v>
      </c>
      <c r="S275" s="47">
        <v>46181</v>
      </c>
      <c r="T275" t="s">
        <v>54</v>
      </c>
      <c r="U275" t="s">
        <v>37</v>
      </c>
    </row>
    <row r="276" spans="1:21" x14ac:dyDescent="0.3">
      <c r="A276" s="54">
        <f t="shared" si="9"/>
        <v>275</v>
      </c>
      <c r="B276" s="153" t="s">
        <v>76</v>
      </c>
      <c r="C276" s="89" t="s">
        <v>383</v>
      </c>
      <c r="D276" s="86"/>
      <c r="E276" s="86">
        <v>1</v>
      </c>
      <c r="F276" s="86"/>
      <c r="G276" s="86"/>
      <c r="H276" s="86">
        <v>1</v>
      </c>
      <c r="I276" s="86">
        <v>2</v>
      </c>
      <c r="J276" s="55">
        <f t="shared" si="8"/>
        <v>2</v>
      </c>
      <c r="K276" s="86"/>
      <c r="L276" s="86"/>
      <c r="M276" s="86">
        <v>1</v>
      </c>
      <c r="N276" s="86"/>
      <c r="O276" s="89" t="s">
        <v>16</v>
      </c>
      <c r="P276" s="86" t="s">
        <v>37</v>
      </c>
      <c r="R276" s="116" t="s">
        <v>58</v>
      </c>
      <c r="S276" s="47">
        <v>46181</v>
      </c>
      <c r="T276" t="s">
        <v>54</v>
      </c>
      <c r="U276" t="s">
        <v>37</v>
      </c>
    </row>
    <row r="277" spans="1:21" x14ac:dyDescent="0.3">
      <c r="A277" s="54">
        <f t="shared" si="9"/>
        <v>276</v>
      </c>
      <c r="B277" s="153" t="s">
        <v>75</v>
      </c>
      <c r="C277" s="89" t="s">
        <v>384</v>
      </c>
      <c r="D277" s="86"/>
      <c r="E277" s="86">
        <v>1</v>
      </c>
      <c r="F277" s="86"/>
      <c r="G277" s="86"/>
      <c r="H277" s="86">
        <v>1</v>
      </c>
      <c r="I277" s="86">
        <v>3</v>
      </c>
      <c r="J277" s="55">
        <f t="shared" si="8"/>
        <v>3</v>
      </c>
      <c r="K277" s="86"/>
      <c r="L277" s="86"/>
      <c r="M277" s="86">
        <v>1</v>
      </c>
      <c r="N277" s="86"/>
      <c r="O277" s="117" t="s">
        <v>9</v>
      </c>
      <c r="P277" s="86" t="s">
        <v>37</v>
      </c>
      <c r="R277" s="116" t="s">
        <v>56</v>
      </c>
      <c r="S277" s="47">
        <v>46181</v>
      </c>
      <c r="T277" t="s">
        <v>54</v>
      </c>
      <c r="U277" t="s">
        <v>37</v>
      </c>
    </row>
    <row r="278" spans="1:21" x14ac:dyDescent="0.3">
      <c r="A278" s="54">
        <f t="shared" si="9"/>
        <v>277</v>
      </c>
      <c r="B278" s="153" t="s">
        <v>73</v>
      </c>
      <c r="C278" s="89" t="s">
        <v>385</v>
      </c>
      <c r="D278" s="86"/>
      <c r="E278" s="86">
        <v>1</v>
      </c>
      <c r="F278" s="86">
        <v>1</v>
      </c>
      <c r="G278" s="86">
        <v>1</v>
      </c>
      <c r="H278" s="86">
        <v>1</v>
      </c>
      <c r="I278" s="86">
        <v>3</v>
      </c>
      <c r="J278" s="55">
        <f t="shared" si="8"/>
        <v>3</v>
      </c>
      <c r="K278" s="86"/>
      <c r="L278" s="86">
        <v>1</v>
      </c>
      <c r="M278" s="86"/>
      <c r="N278" s="86">
        <v>1</v>
      </c>
      <c r="O278" s="45" t="s">
        <v>17</v>
      </c>
      <c r="P278" s="86" t="s">
        <v>37</v>
      </c>
      <c r="R278" s="116" t="s">
        <v>53</v>
      </c>
      <c r="S278" s="47">
        <v>46181</v>
      </c>
      <c r="T278" t="s">
        <v>54</v>
      </c>
      <c r="U278" t="s">
        <v>37</v>
      </c>
    </row>
    <row r="279" spans="1:21" x14ac:dyDescent="0.3">
      <c r="A279" s="54">
        <f t="shared" si="9"/>
        <v>278</v>
      </c>
      <c r="B279" s="153" t="s">
        <v>72</v>
      </c>
      <c r="C279" s="89" t="s">
        <v>386</v>
      </c>
      <c r="D279" s="86"/>
      <c r="E279" s="86">
        <v>1</v>
      </c>
      <c r="F279" s="86"/>
      <c r="G279" s="86"/>
      <c r="H279" s="86">
        <v>1</v>
      </c>
      <c r="I279" s="86">
        <v>3</v>
      </c>
      <c r="J279" s="55">
        <f t="shared" si="8"/>
        <v>3</v>
      </c>
      <c r="K279" s="86"/>
      <c r="L279" s="86"/>
      <c r="M279" s="86">
        <v>1</v>
      </c>
      <c r="N279" s="86"/>
      <c r="O279" s="45" t="s">
        <v>38</v>
      </c>
      <c r="P279" s="86" t="s">
        <v>37</v>
      </c>
      <c r="R279" t="s">
        <v>59</v>
      </c>
      <c r="S279" s="47">
        <v>46181</v>
      </c>
      <c r="T279" t="s">
        <v>54</v>
      </c>
      <c r="U279" t="s">
        <v>37</v>
      </c>
    </row>
    <row r="280" spans="1:21" x14ac:dyDescent="0.3">
      <c r="A280" s="54">
        <f t="shared" si="9"/>
        <v>279</v>
      </c>
      <c r="B280" s="153" t="s">
        <v>77</v>
      </c>
      <c r="C280" s="89" t="s">
        <v>387</v>
      </c>
      <c r="D280" s="86"/>
      <c r="E280" s="86">
        <v>1</v>
      </c>
      <c r="F280" s="86"/>
      <c r="G280" s="86"/>
      <c r="H280" s="86">
        <v>1</v>
      </c>
      <c r="I280" s="86">
        <v>3</v>
      </c>
      <c r="J280" s="55">
        <f t="shared" si="8"/>
        <v>3</v>
      </c>
      <c r="K280" s="86"/>
      <c r="L280" s="86"/>
      <c r="M280" s="86">
        <v>1</v>
      </c>
      <c r="N280" s="86"/>
      <c r="O280" s="89" t="s">
        <v>12</v>
      </c>
      <c r="P280" s="86" t="s">
        <v>37</v>
      </c>
      <c r="R280" s="116" t="s">
        <v>53</v>
      </c>
      <c r="S280" s="47">
        <v>46181</v>
      </c>
      <c r="T280" t="s">
        <v>54</v>
      </c>
      <c r="U280" t="s">
        <v>37</v>
      </c>
    </row>
    <row r="281" spans="1:21" x14ac:dyDescent="0.3">
      <c r="A281" s="54">
        <f t="shared" si="9"/>
        <v>280</v>
      </c>
      <c r="B281" s="153" t="s">
        <v>73</v>
      </c>
      <c r="C281" s="89" t="s">
        <v>388</v>
      </c>
      <c r="D281" s="86"/>
      <c r="E281" s="86">
        <v>1</v>
      </c>
      <c r="F281" s="86">
        <v>3</v>
      </c>
      <c r="G281" s="86">
        <v>1</v>
      </c>
      <c r="H281" s="86">
        <v>1</v>
      </c>
      <c r="I281" s="86">
        <v>3</v>
      </c>
      <c r="J281" s="55">
        <f t="shared" si="8"/>
        <v>3</v>
      </c>
      <c r="K281" s="86"/>
      <c r="L281" s="86">
        <v>1</v>
      </c>
      <c r="M281" s="86"/>
      <c r="N281" s="86">
        <v>1</v>
      </c>
      <c r="O281" s="45" t="s">
        <v>11</v>
      </c>
      <c r="P281" s="86" t="s">
        <v>37</v>
      </c>
      <c r="R281" s="116" t="s">
        <v>58</v>
      </c>
      <c r="S281" s="47">
        <v>46181</v>
      </c>
      <c r="T281" t="s">
        <v>54</v>
      </c>
      <c r="U281" t="s">
        <v>37</v>
      </c>
    </row>
    <row r="282" spans="1:21" x14ac:dyDescent="0.3">
      <c r="A282" s="54">
        <f t="shared" si="9"/>
        <v>281</v>
      </c>
      <c r="B282" s="153" t="s">
        <v>84</v>
      </c>
      <c r="C282" s="89" t="s">
        <v>389</v>
      </c>
      <c r="D282" s="86"/>
      <c r="E282" s="86">
        <v>1</v>
      </c>
      <c r="F282" s="86"/>
      <c r="G282" s="86"/>
      <c r="H282" s="86">
        <v>1</v>
      </c>
      <c r="I282" s="86">
        <v>3</v>
      </c>
      <c r="J282" s="55">
        <f t="shared" si="8"/>
        <v>3</v>
      </c>
      <c r="K282" s="86"/>
      <c r="L282" s="86"/>
      <c r="M282" s="86">
        <v>1</v>
      </c>
      <c r="N282" s="86"/>
      <c r="O282" s="89" t="s">
        <v>12</v>
      </c>
      <c r="P282" s="86" t="s">
        <v>37</v>
      </c>
      <c r="R282" s="116" t="s">
        <v>53</v>
      </c>
      <c r="S282" s="47">
        <v>46181</v>
      </c>
      <c r="T282" t="s">
        <v>54</v>
      </c>
      <c r="U282" t="s">
        <v>37</v>
      </c>
    </row>
    <row r="283" spans="1:21" x14ac:dyDescent="0.3">
      <c r="A283" s="54">
        <f t="shared" si="9"/>
        <v>282</v>
      </c>
      <c r="B283" s="153" t="s">
        <v>75</v>
      </c>
      <c r="C283" s="89" t="s">
        <v>390</v>
      </c>
      <c r="D283" s="86"/>
      <c r="E283" s="86">
        <v>1</v>
      </c>
      <c r="F283" s="86"/>
      <c r="G283" s="86"/>
      <c r="H283" s="86">
        <v>1</v>
      </c>
      <c r="I283" s="86">
        <v>3</v>
      </c>
      <c r="J283" s="55">
        <f t="shared" si="8"/>
        <v>3</v>
      </c>
      <c r="K283" s="86"/>
      <c r="L283" s="86"/>
      <c r="M283" s="86">
        <v>1</v>
      </c>
      <c r="N283" s="86"/>
      <c r="O283" s="117" t="s">
        <v>9</v>
      </c>
      <c r="P283" s="86" t="s">
        <v>37</v>
      </c>
      <c r="R283" s="116" t="s">
        <v>58</v>
      </c>
      <c r="S283" s="47">
        <v>46181</v>
      </c>
      <c r="T283" t="s">
        <v>54</v>
      </c>
      <c r="U283" t="s">
        <v>37</v>
      </c>
    </row>
    <row r="284" spans="1:21" ht="30" customHeight="1" x14ac:dyDescent="0.3">
      <c r="A284" s="54">
        <f t="shared" si="9"/>
        <v>283</v>
      </c>
      <c r="B284" s="153" t="s">
        <v>73</v>
      </c>
      <c r="C284" s="90" t="s">
        <v>391</v>
      </c>
      <c r="D284" s="86"/>
      <c r="E284" s="86">
        <v>1</v>
      </c>
      <c r="F284" s="86">
        <v>6</v>
      </c>
      <c r="G284" s="86">
        <v>4</v>
      </c>
      <c r="H284" s="86">
        <v>4</v>
      </c>
      <c r="I284" s="86">
        <v>2</v>
      </c>
      <c r="J284" s="55">
        <f t="shared" si="8"/>
        <v>8</v>
      </c>
      <c r="K284" s="86"/>
      <c r="L284" s="86">
        <v>1</v>
      </c>
      <c r="M284" s="86"/>
      <c r="N284" s="86">
        <v>1</v>
      </c>
      <c r="O284" s="89" t="s">
        <v>13</v>
      </c>
      <c r="P284" s="86" t="s">
        <v>37</v>
      </c>
      <c r="R284" s="116" t="s">
        <v>53</v>
      </c>
      <c r="S284" s="47">
        <v>46181</v>
      </c>
      <c r="T284" t="s">
        <v>54</v>
      </c>
      <c r="U284" t="s">
        <v>37</v>
      </c>
    </row>
    <row r="285" spans="1:21" x14ac:dyDescent="0.3">
      <c r="A285" s="54">
        <f t="shared" si="9"/>
        <v>284</v>
      </c>
      <c r="B285" s="153" t="s">
        <v>74</v>
      </c>
      <c r="C285" s="89" t="s">
        <v>392</v>
      </c>
      <c r="D285" s="86"/>
      <c r="E285" s="86">
        <v>1</v>
      </c>
      <c r="F285" s="86"/>
      <c r="G285" s="86"/>
      <c r="H285" s="86">
        <v>1</v>
      </c>
      <c r="I285" s="86">
        <v>3</v>
      </c>
      <c r="J285" s="55">
        <f t="shared" si="8"/>
        <v>3</v>
      </c>
      <c r="K285" s="86"/>
      <c r="L285" s="86"/>
      <c r="M285" s="86">
        <v>1</v>
      </c>
      <c r="N285" s="86"/>
      <c r="O285" s="45" t="s">
        <v>38</v>
      </c>
      <c r="P285" s="86" t="s">
        <v>121</v>
      </c>
      <c r="R285" t="s">
        <v>59</v>
      </c>
      <c r="S285" s="47">
        <v>46181</v>
      </c>
      <c r="T285" t="s">
        <v>54</v>
      </c>
      <c r="U285" t="s">
        <v>37</v>
      </c>
    </row>
    <row r="286" spans="1:21" x14ac:dyDescent="0.3">
      <c r="A286" s="54">
        <f t="shared" si="9"/>
        <v>285</v>
      </c>
      <c r="B286" s="153" t="s">
        <v>75</v>
      </c>
      <c r="C286" s="89" t="s">
        <v>393</v>
      </c>
      <c r="D286" s="86"/>
      <c r="E286" s="86">
        <v>1</v>
      </c>
      <c r="F286" s="86"/>
      <c r="G286" s="86"/>
      <c r="H286" s="86">
        <v>1</v>
      </c>
      <c r="I286" s="86">
        <v>3</v>
      </c>
      <c r="J286" s="55">
        <f t="shared" si="8"/>
        <v>3</v>
      </c>
      <c r="K286" s="86"/>
      <c r="L286" s="86"/>
      <c r="M286" s="86">
        <v>1</v>
      </c>
      <c r="N286" s="86"/>
      <c r="O286" s="89" t="s">
        <v>12</v>
      </c>
      <c r="P286" s="86" t="s">
        <v>37</v>
      </c>
      <c r="R286" s="116" t="s">
        <v>53</v>
      </c>
      <c r="S286" s="47">
        <v>46181</v>
      </c>
      <c r="T286" t="s">
        <v>54</v>
      </c>
      <c r="U286" t="s">
        <v>121</v>
      </c>
    </row>
    <row r="287" spans="1:21" x14ac:dyDescent="0.3">
      <c r="A287" s="54">
        <f t="shared" si="9"/>
        <v>286</v>
      </c>
      <c r="B287" s="153" t="s">
        <v>72</v>
      </c>
      <c r="C287" s="89" t="s">
        <v>394</v>
      </c>
      <c r="D287" s="86"/>
      <c r="E287" s="86">
        <v>1</v>
      </c>
      <c r="F287" s="86"/>
      <c r="G287" s="86"/>
      <c r="H287" s="86">
        <v>1</v>
      </c>
      <c r="I287" s="86">
        <v>3</v>
      </c>
      <c r="J287" s="55">
        <f t="shared" si="8"/>
        <v>3</v>
      </c>
      <c r="K287" s="86"/>
      <c r="L287" s="86"/>
      <c r="M287" s="86">
        <v>1</v>
      </c>
      <c r="N287" s="86"/>
      <c r="O287" s="89" t="s">
        <v>18</v>
      </c>
      <c r="P287" s="86" t="s">
        <v>121</v>
      </c>
      <c r="R287" s="116" t="s">
        <v>58</v>
      </c>
      <c r="S287" s="47">
        <v>46181</v>
      </c>
      <c r="T287" t="s">
        <v>54</v>
      </c>
      <c r="U287" t="s">
        <v>121</v>
      </c>
    </row>
    <row r="288" spans="1:21" x14ac:dyDescent="0.3">
      <c r="A288" s="54">
        <f t="shared" si="9"/>
        <v>287</v>
      </c>
      <c r="B288" s="153" t="s">
        <v>76</v>
      </c>
      <c r="C288" s="89" t="s">
        <v>395</v>
      </c>
      <c r="D288" s="86"/>
      <c r="E288" s="86"/>
      <c r="F288" s="86"/>
      <c r="G288" s="86"/>
      <c r="H288" s="86">
        <v>1</v>
      </c>
      <c r="I288" s="86">
        <v>3</v>
      </c>
      <c r="J288" s="55">
        <f t="shared" si="8"/>
        <v>3</v>
      </c>
      <c r="K288" s="86"/>
      <c r="L288" s="86"/>
      <c r="M288" s="86">
        <v>1</v>
      </c>
      <c r="N288" s="86"/>
      <c r="O288" s="118" t="s">
        <v>13</v>
      </c>
      <c r="P288" s="86" t="s">
        <v>37</v>
      </c>
      <c r="R288" s="116" t="s">
        <v>58</v>
      </c>
      <c r="S288" s="47">
        <v>46181</v>
      </c>
      <c r="T288" t="s">
        <v>54</v>
      </c>
      <c r="U288" t="s">
        <v>121</v>
      </c>
    </row>
    <row r="289" spans="1:24" x14ac:dyDescent="0.3">
      <c r="A289" s="54">
        <f t="shared" si="9"/>
        <v>288</v>
      </c>
      <c r="B289" s="153" t="s">
        <v>74</v>
      </c>
      <c r="C289" s="89" t="s">
        <v>396</v>
      </c>
      <c r="D289" s="86"/>
      <c r="E289" s="86">
        <v>1</v>
      </c>
      <c r="F289" s="86"/>
      <c r="G289" s="86"/>
      <c r="H289" s="86">
        <v>1</v>
      </c>
      <c r="I289" s="86">
        <v>3</v>
      </c>
      <c r="J289" s="55">
        <f t="shared" si="8"/>
        <v>3</v>
      </c>
      <c r="K289" s="86"/>
      <c r="L289" s="86"/>
      <c r="M289" s="86">
        <v>1</v>
      </c>
      <c r="N289" s="86"/>
      <c r="O289" s="45" t="s">
        <v>11</v>
      </c>
      <c r="P289" t="s">
        <v>37</v>
      </c>
      <c r="R289" t="s">
        <v>114</v>
      </c>
      <c r="S289" s="47">
        <v>46181</v>
      </c>
      <c r="T289" t="s">
        <v>54</v>
      </c>
      <c r="U289" t="s">
        <v>37</v>
      </c>
    </row>
    <row r="290" spans="1:24" x14ac:dyDescent="0.3">
      <c r="A290" s="54">
        <f t="shared" si="9"/>
        <v>289</v>
      </c>
      <c r="B290" s="153" t="s">
        <v>74</v>
      </c>
      <c r="C290" s="89" t="s">
        <v>397</v>
      </c>
      <c r="D290" s="86"/>
      <c r="E290" s="86">
        <v>1</v>
      </c>
      <c r="F290" s="86"/>
      <c r="G290" s="86"/>
      <c r="H290" s="86">
        <v>1</v>
      </c>
      <c r="I290" s="86">
        <v>5</v>
      </c>
      <c r="J290" s="55">
        <f t="shared" si="8"/>
        <v>5</v>
      </c>
      <c r="K290" s="86">
        <v>1</v>
      </c>
      <c r="L290" s="86"/>
      <c r="M290" s="86">
        <v>1</v>
      </c>
      <c r="N290" s="86"/>
      <c r="O290" s="45" t="s">
        <v>17</v>
      </c>
      <c r="P290" t="s">
        <v>37</v>
      </c>
      <c r="R290" t="s">
        <v>114</v>
      </c>
      <c r="S290" s="47">
        <v>46181</v>
      </c>
      <c r="T290" t="s">
        <v>54</v>
      </c>
      <c r="U290" t="s">
        <v>37</v>
      </c>
    </row>
    <row r="291" spans="1:24" x14ac:dyDescent="0.3">
      <c r="A291" s="54">
        <f t="shared" si="9"/>
        <v>290</v>
      </c>
      <c r="B291" s="153" t="s">
        <v>73</v>
      </c>
      <c r="C291" t="s">
        <v>398</v>
      </c>
      <c r="E291">
        <v>1</v>
      </c>
      <c r="F291">
        <v>6</v>
      </c>
      <c r="G291">
        <v>1</v>
      </c>
      <c r="H291">
        <v>1</v>
      </c>
      <c r="I291">
        <v>5</v>
      </c>
      <c r="J291" s="55">
        <f t="shared" si="8"/>
        <v>5</v>
      </c>
      <c r="K291">
        <v>1</v>
      </c>
      <c r="N291">
        <v>1</v>
      </c>
      <c r="O291" s="45" t="s">
        <v>17</v>
      </c>
      <c r="P291" s="86" t="s">
        <v>37</v>
      </c>
      <c r="R291" s="116" t="s">
        <v>53</v>
      </c>
      <c r="S291" s="47">
        <v>46181</v>
      </c>
      <c r="T291" t="s">
        <v>54</v>
      </c>
      <c r="U291" t="s">
        <v>121</v>
      </c>
    </row>
    <row r="292" spans="1:24" x14ac:dyDescent="0.3">
      <c r="A292" s="54">
        <f t="shared" si="9"/>
        <v>291</v>
      </c>
      <c r="B292" s="153" t="s">
        <v>74</v>
      </c>
      <c r="C292" t="s">
        <v>399</v>
      </c>
      <c r="E292">
        <v>1</v>
      </c>
      <c r="F292">
        <v>0</v>
      </c>
      <c r="G292">
        <v>0</v>
      </c>
      <c r="H292">
        <v>1</v>
      </c>
      <c r="I292">
        <v>3</v>
      </c>
      <c r="J292" s="8">
        <v>5</v>
      </c>
      <c r="M292">
        <v>1</v>
      </c>
      <c r="O292" s="45" t="s">
        <v>11</v>
      </c>
      <c r="P292" s="86" t="s">
        <v>37</v>
      </c>
      <c r="R292" s="116" t="s">
        <v>53</v>
      </c>
      <c r="S292" s="47">
        <v>46181</v>
      </c>
      <c r="T292" t="s">
        <v>54</v>
      </c>
      <c r="U292" s="8" t="s">
        <v>37</v>
      </c>
    </row>
    <row r="293" spans="1:24" x14ac:dyDescent="0.3">
      <c r="A293" s="54">
        <f t="shared" si="9"/>
        <v>292</v>
      </c>
      <c r="B293" s="153" t="s">
        <v>74</v>
      </c>
      <c r="C293" s="85" t="s">
        <v>400</v>
      </c>
      <c r="D293" s="86"/>
      <c r="E293" s="86">
        <v>1</v>
      </c>
      <c r="F293" s="86"/>
      <c r="G293" s="86"/>
      <c r="H293" s="86">
        <v>1</v>
      </c>
      <c r="I293" s="86">
        <v>3</v>
      </c>
      <c r="J293" s="8">
        <v>3</v>
      </c>
      <c r="K293" s="86"/>
      <c r="L293" s="86"/>
      <c r="M293" s="86">
        <v>1</v>
      </c>
      <c r="N293" s="86"/>
      <c r="O293" s="86" t="s">
        <v>12</v>
      </c>
      <c r="P293" s="86" t="s">
        <v>37</v>
      </c>
      <c r="R293" s="116" t="s">
        <v>53</v>
      </c>
      <c r="S293" s="47">
        <v>46181</v>
      </c>
      <c r="T293" t="s">
        <v>54</v>
      </c>
      <c r="U293" s="8" t="s">
        <v>37</v>
      </c>
    </row>
    <row r="294" spans="1:24" x14ac:dyDescent="0.3">
      <c r="A294" s="54">
        <f t="shared" si="9"/>
        <v>293</v>
      </c>
      <c r="B294" s="153" t="s">
        <v>73</v>
      </c>
      <c r="C294" s="85" t="s">
        <v>401</v>
      </c>
      <c r="D294" s="86"/>
      <c r="E294" s="86">
        <v>1</v>
      </c>
      <c r="F294" s="86">
        <v>15</v>
      </c>
      <c r="G294" s="86">
        <v>1</v>
      </c>
      <c r="H294" s="86">
        <v>1</v>
      </c>
      <c r="I294" s="86">
        <v>3</v>
      </c>
      <c r="J294" s="55">
        <f t="shared" ref="J294:J331" si="10">I294*H294</f>
        <v>3</v>
      </c>
      <c r="K294" s="86"/>
      <c r="L294" s="86">
        <v>1</v>
      </c>
      <c r="M294" s="86"/>
      <c r="N294" s="86">
        <v>1</v>
      </c>
      <c r="O294" s="86" t="s">
        <v>12</v>
      </c>
      <c r="P294" s="86" t="s">
        <v>37</v>
      </c>
      <c r="R294" s="15" t="s">
        <v>114</v>
      </c>
      <c r="S294" s="47">
        <v>46181</v>
      </c>
      <c r="T294" t="s">
        <v>54</v>
      </c>
      <c r="U294" t="s">
        <v>37</v>
      </c>
    </row>
    <row r="295" spans="1:24" x14ac:dyDescent="0.3">
      <c r="A295" s="54">
        <f t="shared" si="9"/>
        <v>294</v>
      </c>
      <c r="B295" s="153" t="s">
        <v>81</v>
      </c>
      <c r="C295" s="85" t="s">
        <v>402</v>
      </c>
      <c r="D295" s="86"/>
      <c r="E295" s="86">
        <v>1</v>
      </c>
      <c r="F295" s="86"/>
      <c r="G295" s="86"/>
      <c r="H295" s="86">
        <v>1</v>
      </c>
      <c r="I295" s="86">
        <v>2</v>
      </c>
      <c r="J295" s="55">
        <f t="shared" si="10"/>
        <v>2</v>
      </c>
      <c r="K295" s="86"/>
      <c r="L295" s="86">
        <v>1</v>
      </c>
      <c r="M295" s="86"/>
      <c r="N295" s="86">
        <v>1</v>
      </c>
      <c r="O295" s="45" t="s">
        <v>17</v>
      </c>
      <c r="P295" s="86" t="s">
        <v>37</v>
      </c>
      <c r="R295" s="15" t="s">
        <v>114</v>
      </c>
      <c r="S295" s="47">
        <v>46181</v>
      </c>
      <c r="T295" t="s">
        <v>54</v>
      </c>
      <c r="U295" t="s">
        <v>37</v>
      </c>
    </row>
    <row r="296" spans="1:24" x14ac:dyDescent="0.3">
      <c r="A296" s="54">
        <f t="shared" si="9"/>
        <v>295</v>
      </c>
      <c r="B296" s="153" t="s">
        <v>73</v>
      </c>
      <c r="C296" s="85" t="s">
        <v>403</v>
      </c>
      <c r="D296" s="86"/>
      <c r="E296" s="86">
        <v>1</v>
      </c>
      <c r="F296" s="86"/>
      <c r="G296" s="86"/>
      <c r="H296" s="86">
        <v>1</v>
      </c>
      <c r="I296" s="86">
        <v>2</v>
      </c>
      <c r="J296" s="55">
        <f t="shared" si="10"/>
        <v>2</v>
      </c>
      <c r="K296" s="86"/>
      <c r="L296" s="86"/>
      <c r="M296" s="86">
        <v>1</v>
      </c>
      <c r="N296" s="86"/>
      <c r="O296" s="45" t="s">
        <v>17</v>
      </c>
      <c r="P296" t="s">
        <v>37</v>
      </c>
      <c r="R296" t="s">
        <v>114</v>
      </c>
      <c r="S296" s="47">
        <v>46181</v>
      </c>
      <c r="T296" t="s">
        <v>54</v>
      </c>
      <c r="U296" t="s">
        <v>37</v>
      </c>
    </row>
    <row r="297" spans="1:24" x14ac:dyDescent="0.3">
      <c r="A297" s="54">
        <f t="shared" si="9"/>
        <v>296</v>
      </c>
      <c r="B297" s="153" t="s">
        <v>73</v>
      </c>
      <c r="C297" s="85" t="s">
        <v>404</v>
      </c>
      <c r="D297" s="86"/>
      <c r="E297" s="86">
        <v>1</v>
      </c>
      <c r="F297" s="86">
        <v>10</v>
      </c>
      <c r="G297" s="86">
        <v>5</v>
      </c>
      <c r="H297" s="86">
        <v>5</v>
      </c>
      <c r="I297" s="86">
        <v>3</v>
      </c>
      <c r="J297" s="55">
        <f t="shared" si="10"/>
        <v>15</v>
      </c>
      <c r="K297" s="86"/>
      <c r="L297" s="86">
        <v>1</v>
      </c>
      <c r="M297" s="86"/>
      <c r="N297" s="86">
        <v>1</v>
      </c>
      <c r="O297" s="45" t="s">
        <v>17</v>
      </c>
      <c r="P297" t="s">
        <v>37</v>
      </c>
      <c r="R297" t="s">
        <v>114</v>
      </c>
      <c r="S297" s="47">
        <v>46181</v>
      </c>
      <c r="T297" t="s">
        <v>54</v>
      </c>
      <c r="U297" t="s">
        <v>121</v>
      </c>
    </row>
    <row r="298" spans="1:24" x14ac:dyDescent="0.3">
      <c r="A298" s="54">
        <f t="shared" si="9"/>
        <v>297</v>
      </c>
      <c r="B298" s="153" t="s">
        <v>73</v>
      </c>
      <c r="C298" t="s">
        <v>398</v>
      </c>
      <c r="F298">
        <v>6</v>
      </c>
      <c r="G298">
        <v>1</v>
      </c>
      <c r="H298">
        <v>1</v>
      </c>
      <c r="I298">
        <v>5</v>
      </c>
      <c r="J298" s="55">
        <f t="shared" si="10"/>
        <v>5</v>
      </c>
      <c r="K298">
        <v>1</v>
      </c>
      <c r="N298">
        <v>1</v>
      </c>
      <c r="O298" s="45" t="s">
        <v>17</v>
      </c>
      <c r="P298" t="s">
        <v>37</v>
      </c>
      <c r="R298" s="99" t="s">
        <v>114</v>
      </c>
      <c r="S298" s="47">
        <v>46182</v>
      </c>
      <c r="T298" t="s">
        <v>54</v>
      </c>
      <c r="U298" t="s">
        <v>37</v>
      </c>
    </row>
    <row r="299" spans="1:24" x14ac:dyDescent="0.3">
      <c r="A299" s="54">
        <f t="shared" si="9"/>
        <v>298</v>
      </c>
      <c r="B299" s="153" t="s">
        <v>74</v>
      </c>
      <c r="C299" t="s">
        <v>399</v>
      </c>
      <c r="F299">
        <v>0</v>
      </c>
      <c r="G299">
        <v>0</v>
      </c>
      <c r="H299">
        <v>1</v>
      </c>
      <c r="I299">
        <v>3</v>
      </c>
      <c r="J299" s="55">
        <f t="shared" si="10"/>
        <v>3</v>
      </c>
      <c r="M299">
        <v>1</v>
      </c>
      <c r="O299" s="45" t="s">
        <v>11</v>
      </c>
      <c r="P299" t="s">
        <v>37</v>
      </c>
      <c r="R299" s="99" t="s">
        <v>114</v>
      </c>
      <c r="S299" s="47">
        <v>46182</v>
      </c>
      <c r="T299" t="s">
        <v>54</v>
      </c>
      <c r="U299" s="8" t="s">
        <v>37</v>
      </c>
    </row>
    <row r="300" spans="1:24" x14ac:dyDescent="0.3">
      <c r="A300" s="54">
        <f t="shared" si="9"/>
        <v>299</v>
      </c>
      <c r="B300" s="153" t="s">
        <v>74</v>
      </c>
      <c r="C300" t="s">
        <v>405</v>
      </c>
      <c r="F300">
        <v>0</v>
      </c>
      <c r="G300">
        <v>0</v>
      </c>
      <c r="H300">
        <v>1</v>
      </c>
      <c r="I300">
        <v>4</v>
      </c>
      <c r="J300" s="55">
        <f t="shared" si="10"/>
        <v>4</v>
      </c>
      <c r="K300">
        <v>1</v>
      </c>
      <c r="M300">
        <v>1</v>
      </c>
      <c r="O300" s="117" t="s">
        <v>9</v>
      </c>
      <c r="P300" t="s">
        <v>37</v>
      </c>
      <c r="R300" s="116" t="s">
        <v>56</v>
      </c>
      <c r="S300" s="47">
        <v>46182</v>
      </c>
      <c r="T300" t="s">
        <v>54</v>
      </c>
      <c r="U300" s="8" t="s">
        <v>37</v>
      </c>
    </row>
    <row r="301" spans="1:24" x14ac:dyDescent="0.3">
      <c r="A301" s="54">
        <f t="shared" si="9"/>
        <v>300</v>
      </c>
      <c r="B301" s="153" t="s">
        <v>78</v>
      </c>
      <c r="C301" t="s">
        <v>406</v>
      </c>
      <c r="F301">
        <v>0</v>
      </c>
      <c r="G301">
        <v>0</v>
      </c>
      <c r="H301">
        <v>1</v>
      </c>
      <c r="I301">
        <v>2</v>
      </c>
      <c r="J301" s="55">
        <f t="shared" si="10"/>
        <v>2</v>
      </c>
      <c r="M301">
        <v>1</v>
      </c>
      <c r="O301" t="s">
        <v>18</v>
      </c>
      <c r="P301" t="s">
        <v>37</v>
      </c>
      <c r="R301" s="116" t="s">
        <v>56</v>
      </c>
      <c r="S301" s="47">
        <v>46182</v>
      </c>
      <c r="T301" t="s">
        <v>54</v>
      </c>
      <c r="U301" s="8" t="s">
        <v>37</v>
      </c>
    </row>
    <row r="302" spans="1:24" x14ac:dyDescent="0.3">
      <c r="A302" s="54">
        <f t="shared" si="9"/>
        <v>301</v>
      </c>
      <c r="B302" s="153" t="s">
        <v>72</v>
      </c>
      <c r="C302" t="s">
        <v>407</v>
      </c>
      <c r="F302">
        <v>0</v>
      </c>
      <c r="G302">
        <v>0</v>
      </c>
      <c r="H302">
        <v>1</v>
      </c>
      <c r="I302">
        <v>2</v>
      </c>
      <c r="J302" s="55">
        <f t="shared" si="10"/>
        <v>2</v>
      </c>
      <c r="M302">
        <v>1</v>
      </c>
      <c r="O302" s="117" t="s">
        <v>9</v>
      </c>
      <c r="P302" t="s">
        <v>37</v>
      </c>
      <c r="R302" s="116" t="s">
        <v>56</v>
      </c>
      <c r="S302" s="47">
        <v>46182</v>
      </c>
      <c r="T302" t="s">
        <v>54</v>
      </c>
      <c r="U302" s="8" t="s">
        <v>37</v>
      </c>
    </row>
    <row r="303" spans="1:24" x14ac:dyDescent="0.3">
      <c r="A303" s="54">
        <f t="shared" si="9"/>
        <v>302</v>
      </c>
      <c r="B303" s="153" t="s">
        <v>73</v>
      </c>
      <c r="C303" t="s">
        <v>408</v>
      </c>
      <c r="F303">
        <v>8</v>
      </c>
      <c r="G303">
        <v>1</v>
      </c>
      <c r="H303">
        <v>1</v>
      </c>
      <c r="I303">
        <v>4</v>
      </c>
      <c r="J303" s="55">
        <f t="shared" si="10"/>
        <v>4</v>
      </c>
      <c r="K303">
        <v>1</v>
      </c>
      <c r="L303">
        <v>1</v>
      </c>
      <c r="N303">
        <v>1</v>
      </c>
      <c r="O303" t="s">
        <v>12</v>
      </c>
      <c r="P303" t="s">
        <v>37</v>
      </c>
      <c r="R303" t="s">
        <v>114</v>
      </c>
      <c r="S303" s="47">
        <v>46182</v>
      </c>
      <c r="T303" t="s">
        <v>54</v>
      </c>
      <c r="U303" s="8" t="s">
        <v>37</v>
      </c>
      <c r="X303">
        <f>37/17</f>
        <v>2.1764705882352939</v>
      </c>
    </row>
    <row r="304" spans="1:24" x14ac:dyDescent="0.3">
      <c r="A304" s="54">
        <f t="shared" si="9"/>
        <v>303</v>
      </c>
      <c r="B304" s="153" t="s">
        <v>74</v>
      </c>
      <c r="C304" t="s">
        <v>409</v>
      </c>
      <c r="F304">
        <v>0</v>
      </c>
      <c r="G304">
        <v>0</v>
      </c>
      <c r="H304">
        <v>1</v>
      </c>
      <c r="I304">
        <v>1</v>
      </c>
      <c r="J304" s="55">
        <f t="shared" si="10"/>
        <v>1</v>
      </c>
      <c r="M304">
        <v>1</v>
      </c>
      <c r="O304" s="45" t="s">
        <v>17</v>
      </c>
      <c r="P304" t="s">
        <v>37</v>
      </c>
      <c r="R304" t="s">
        <v>114</v>
      </c>
      <c r="S304" s="47">
        <v>46182</v>
      </c>
      <c r="T304" t="s">
        <v>54</v>
      </c>
      <c r="U304" s="8" t="s">
        <v>37</v>
      </c>
    </row>
    <row r="305" spans="1:24" x14ac:dyDescent="0.3">
      <c r="A305" s="54">
        <f t="shared" si="9"/>
        <v>304</v>
      </c>
      <c r="B305" s="153" t="s">
        <v>83</v>
      </c>
      <c r="C305" t="s">
        <v>410</v>
      </c>
      <c r="F305">
        <v>0</v>
      </c>
      <c r="G305">
        <v>0</v>
      </c>
      <c r="H305">
        <v>1</v>
      </c>
      <c r="I305">
        <v>3</v>
      </c>
      <c r="J305" s="55">
        <f t="shared" si="10"/>
        <v>3</v>
      </c>
      <c r="M305">
        <v>1</v>
      </c>
      <c r="O305" s="45" t="s">
        <v>17</v>
      </c>
      <c r="P305" t="s">
        <v>37</v>
      </c>
      <c r="R305" t="s">
        <v>114</v>
      </c>
      <c r="S305" s="47">
        <v>46182</v>
      </c>
      <c r="T305" t="s">
        <v>54</v>
      </c>
      <c r="U305" s="8" t="s">
        <v>121</v>
      </c>
    </row>
    <row r="306" spans="1:24" x14ac:dyDescent="0.3">
      <c r="A306" s="54">
        <f t="shared" si="9"/>
        <v>305</v>
      </c>
      <c r="B306" s="153" t="s">
        <v>78</v>
      </c>
      <c r="C306" t="s">
        <v>411</v>
      </c>
      <c r="F306">
        <v>0</v>
      </c>
      <c r="G306">
        <v>0</v>
      </c>
      <c r="H306">
        <v>1</v>
      </c>
      <c r="I306">
        <v>3</v>
      </c>
      <c r="J306" s="55">
        <f t="shared" si="10"/>
        <v>3</v>
      </c>
      <c r="M306">
        <v>1</v>
      </c>
      <c r="O306" s="45" t="s">
        <v>17</v>
      </c>
      <c r="P306" t="s">
        <v>37</v>
      </c>
      <c r="R306" t="s">
        <v>114</v>
      </c>
      <c r="S306" s="47">
        <v>46182</v>
      </c>
      <c r="T306" t="s">
        <v>54</v>
      </c>
      <c r="U306" s="8" t="s">
        <v>37</v>
      </c>
    </row>
    <row r="307" spans="1:24" x14ac:dyDescent="0.3">
      <c r="A307" s="54">
        <f t="shared" si="9"/>
        <v>306</v>
      </c>
      <c r="B307" s="153" t="s">
        <v>76</v>
      </c>
      <c r="C307" t="s">
        <v>412</v>
      </c>
      <c r="F307">
        <v>0</v>
      </c>
      <c r="G307">
        <v>0</v>
      </c>
      <c r="H307">
        <v>1</v>
      </c>
      <c r="I307">
        <v>2</v>
      </c>
      <c r="J307" s="55">
        <f t="shared" si="10"/>
        <v>2</v>
      </c>
      <c r="M307">
        <v>1</v>
      </c>
      <c r="O307" s="118" t="s">
        <v>13</v>
      </c>
      <c r="P307" t="s">
        <v>37</v>
      </c>
      <c r="R307" s="116" t="s">
        <v>53</v>
      </c>
      <c r="S307" s="47">
        <v>46182</v>
      </c>
      <c r="T307" t="s">
        <v>54</v>
      </c>
      <c r="U307" s="8" t="s">
        <v>121</v>
      </c>
    </row>
    <row r="308" spans="1:24" x14ac:dyDescent="0.3">
      <c r="A308" s="54">
        <f t="shared" si="9"/>
        <v>307</v>
      </c>
      <c r="B308" s="153" t="s">
        <v>83</v>
      </c>
      <c r="C308" s="8" t="s">
        <v>410</v>
      </c>
      <c r="D308" s="8"/>
      <c r="E308" s="8"/>
      <c r="F308" s="8">
        <v>0</v>
      </c>
      <c r="G308" s="8">
        <v>0</v>
      </c>
      <c r="H308" s="8">
        <v>1</v>
      </c>
      <c r="I308" s="8">
        <v>3</v>
      </c>
      <c r="J308" s="55">
        <f t="shared" si="10"/>
        <v>3</v>
      </c>
      <c r="K308" s="8"/>
      <c r="L308" s="8"/>
      <c r="M308" s="8">
        <v>1</v>
      </c>
      <c r="N308" s="8"/>
      <c r="O308" s="119" t="s">
        <v>17</v>
      </c>
      <c r="P308" s="8" t="s">
        <v>37</v>
      </c>
      <c r="R308" s="8" t="s">
        <v>114</v>
      </c>
      <c r="S308" s="47">
        <v>46182</v>
      </c>
      <c r="T308" t="s">
        <v>54</v>
      </c>
      <c r="U308" s="8" t="s">
        <v>37</v>
      </c>
    </row>
    <row r="309" spans="1:24" x14ac:dyDescent="0.3">
      <c r="A309" s="54">
        <f t="shared" si="9"/>
        <v>308</v>
      </c>
      <c r="B309" s="153" t="s">
        <v>78</v>
      </c>
      <c r="C309" s="8" t="s">
        <v>411</v>
      </c>
      <c r="D309" s="8"/>
      <c r="E309" s="8"/>
      <c r="F309" s="8">
        <v>0</v>
      </c>
      <c r="G309" s="8">
        <v>0</v>
      </c>
      <c r="H309" s="8">
        <v>1</v>
      </c>
      <c r="I309" s="8">
        <v>3</v>
      </c>
      <c r="J309" s="55">
        <f t="shared" si="10"/>
        <v>3</v>
      </c>
      <c r="K309" s="8"/>
      <c r="L309" s="8"/>
      <c r="M309" s="8">
        <v>1</v>
      </c>
      <c r="N309" s="8"/>
      <c r="O309" s="119" t="s">
        <v>17</v>
      </c>
      <c r="P309" s="8" t="s">
        <v>37</v>
      </c>
      <c r="R309" s="116" t="s">
        <v>53</v>
      </c>
      <c r="S309" s="47">
        <v>46182</v>
      </c>
      <c r="T309" t="s">
        <v>54</v>
      </c>
      <c r="U309" s="8" t="s">
        <v>37</v>
      </c>
    </row>
    <row r="310" spans="1:24" x14ac:dyDescent="0.3">
      <c r="A310" s="54">
        <f t="shared" si="9"/>
        <v>309</v>
      </c>
      <c r="B310" s="153" t="s">
        <v>76</v>
      </c>
      <c r="C310" s="8" t="s">
        <v>412</v>
      </c>
      <c r="D310" s="8"/>
      <c r="E310" s="8"/>
      <c r="F310" s="8">
        <v>0</v>
      </c>
      <c r="G310" s="8">
        <v>0</v>
      </c>
      <c r="H310" s="8">
        <v>1</v>
      </c>
      <c r="I310" s="8">
        <v>2</v>
      </c>
      <c r="J310" s="55">
        <f t="shared" si="10"/>
        <v>2</v>
      </c>
      <c r="K310" s="8"/>
      <c r="L310" s="8"/>
      <c r="M310" s="8">
        <v>1</v>
      </c>
      <c r="N310" s="8"/>
      <c r="O310" s="118" t="s">
        <v>13</v>
      </c>
      <c r="P310" s="8" t="s">
        <v>37</v>
      </c>
      <c r="R310" s="8" t="s">
        <v>114</v>
      </c>
      <c r="S310" s="47">
        <v>46182</v>
      </c>
      <c r="T310" t="s">
        <v>54</v>
      </c>
      <c r="U310" s="8" t="s">
        <v>37</v>
      </c>
    </row>
    <row r="311" spans="1:24" ht="30" customHeight="1" x14ac:dyDescent="0.3">
      <c r="A311" s="54">
        <f t="shared" si="9"/>
        <v>310</v>
      </c>
      <c r="B311" s="153" t="s">
        <v>75</v>
      </c>
      <c r="C311" s="75" t="s">
        <v>413</v>
      </c>
      <c r="F311" s="8">
        <v>3</v>
      </c>
      <c r="G311" s="8">
        <v>2</v>
      </c>
      <c r="H311" s="8">
        <v>2</v>
      </c>
      <c r="I311" s="8">
        <v>3</v>
      </c>
      <c r="J311" s="55">
        <f t="shared" si="10"/>
        <v>6</v>
      </c>
      <c r="N311">
        <v>1</v>
      </c>
      <c r="O311" s="118" t="s">
        <v>13</v>
      </c>
      <c r="P311" s="8" t="s">
        <v>37</v>
      </c>
      <c r="R311" s="116" t="s">
        <v>56</v>
      </c>
      <c r="S311" s="47">
        <v>46183</v>
      </c>
      <c r="T311" t="s">
        <v>54</v>
      </c>
      <c r="U311" s="8" t="s">
        <v>37</v>
      </c>
    </row>
    <row r="312" spans="1:24" x14ac:dyDescent="0.3">
      <c r="A312" s="54">
        <f t="shared" si="9"/>
        <v>311</v>
      </c>
      <c r="B312" s="153" t="s">
        <v>77</v>
      </c>
      <c r="C312" s="73" t="s">
        <v>414</v>
      </c>
      <c r="H312" s="8">
        <v>1</v>
      </c>
      <c r="I312" s="8">
        <v>2</v>
      </c>
      <c r="J312" s="55">
        <f t="shared" si="10"/>
        <v>2</v>
      </c>
      <c r="M312" s="8">
        <v>1</v>
      </c>
      <c r="O312" s="119" t="s">
        <v>17</v>
      </c>
      <c r="P312" s="8" t="s">
        <v>37</v>
      </c>
      <c r="R312" s="116" t="s">
        <v>53</v>
      </c>
      <c r="S312" s="47">
        <v>46183</v>
      </c>
      <c r="T312" t="s">
        <v>54</v>
      </c>
      <c r="U312" s="8" t="s">
        <v>37</v>
      </c>
    </row>
    <row r="313" spans="1:24" x14ac:dyDescent="0.3">
      <c r="A313" s="54">
        <f t="shared" si="9"/>
        <v>312</v>
      </c>
      <c r="B313" s="153" t="s">
        <v>74</v>
      </c>
      <c r="C313" s="73" t="s">
        <v>415</v>
      </c>
      <c r="H313" s="8">
        <v>1</v>
      </c>
      <c r="I313" s="8">
        <v>5</v>
      </c>
      <c r="J313" s="55">
        <f t="shared" si="10"/>
        <v>5</v>
      </c>
      <c r="K313">
        <v>1</v>
      </c>
      <c r="M313" s="8">
        <v>1</v>
      </c>
      <c r="O313" s="118" t="s">
        <v>13</v>
      </c>
      <c r="P313" s="8" t="s">
        <v>37</v>
      </c>
      <c r="R313" s="116" t="s">
        <v>56</v>
      </c>
      <c r="S313" s="47">
        <v>46183</v>
      </c>
      <c r="T313" t="s">
        <v>54</v>
      </c>
      <c r="U313" s="8" t="s">
        <v>37</v>
      </c>
    </row>
    <row r="314" spans="1:24" x14ac:dyDescent="0.3">
      <c r="A314" s="54">
        <f t="shared" si="9"/>
        <v>313</v>
      </c>
      <c r="B314" s="153" t="s">
        <v>79</v>
      </c>
      <c r="C314" s="73" t="s">
        <v>416</v>
      </c>
      <c r="F314" s="8">
        <v>8</v>
      </c>
      <c r="G314" s="8">
        <v>4</v>
      </c>
      <c r="H314" s="8">
        <v>4</v>
      </c>
      <c r="I314" s="8">
        <v>4</v>
      </c>
      <c r="J314" s="55">
        <f t="shared" si="10"/>
        <v>16</v>
      </c>
      <c r="K314" s="8">
        <v>1</v>
      </c>
      <c r="N314">
        <v>1</v>
      </c>
      <c r="O314" s="119" t="s">
        <v>17</v>
      </c>
      <c r="P314" s="8" t="s">
        <v>37</v>
      </c>
      <c r="R314" s="73" t="s">
        <v>114</v>
      </c>
      <c r="S314" s="47">
        <v>46183</v>
      </c>
      <c r="T314" t="s">
        <v>54</v>
      </c>
      <c r="U314" s="8" t="s">
        <v>37</v>
      </c>
    </row>
    <row r="315" spans="1:24" x14ac:dyDescent="0.3">
      <c r="A315" s="54">
        <f t="shared" si="9"/>
        <v>314</v>
      </c>
      <c r="B315" s="153" t="s">
        <v>72</v>
      </c>
      <c r="C315" s="73" t="s">
        <v>417</v>
      </c>
      <c r="H315" s="8">
        <v>1</v>
      </c>
      <c r="I315" s="8">
        <v>1</v>
      </c>
      <c r="J315" s="55">
        <f t="shared" si="10"/>
        <v>1</v>
      </c>
      <c r="M315" s="8">
        <v>1</v>
      </c>
      <c r="O315" s="73" t="s">
        <v>17</v>
      </c>
      <c r="P315" s="8" t="s">
        <v>37</v>
      </c>
      <c r="R315" s="116" t="s">
        <v>58</v>
      </c>
      <c r="S315" s="47">
        <v>46183</v>
      </c>
      <c r="T315" t="s">
        <v>54</v>
      </c>
      <c r="U315" s="8" t="s">
        <v>37</v>
      </c>
    </row>
    <row r="316" spans="1:24" x14ac:dyDescent="0.3">
      <c r="A316" s="54">
        <f t="shared" si="9"/>
        <v>315</v>
      </c>
      <c r="B316" s="153" t="s">
        <v>74</v>
      </c>
      <c r="C316" s="73" t="s">
        <v>418</v>
      </c>
      <c r="H316" s="8">
        <v>1</v>
      </c>
      <c r="I316" s="8">
        <v>3</v>
      </c>
      <c r="J316" s="55">
        <f t="shared" si="10"/>
        <v>3</v>
      </c>
      <c r="M316" s="8">
        <v>1</v>
      </c>
      <c r="O316" s="119" t="s">
        <v>17</v>
      </c>
      <c r="P316" s="8" t="s">
        <v>37</v>
      </c>
      <c r="R316" s="116" t="s">
        <v>53</v>
      </c>
      <c r="S316" s="47">
        <v>46183</v>
      </c>
      <c r="T316" t="s">
        <v>54</v>
      </c>
      <c r="U316" s="8" t="s">
        <v>37</v>
      </c>
    </row>
    <row r="317" spans="1:24" x14ac:dyDescent="0.3">
      <c r="A317" s="54">
        <f t="shared" si="9"/>
        <v>316</v>
      </c>
      <c r="B317" s="153" t="s">
        <v>75</v>
      </c>
      <c r="C317" s="73" t="s">
        <v>419</v>
      </c>
      <c r="H317" s="8">
        <v>1</v>
      </c>
      <c r="I317" s="8">
        <v>4</v>
      </c>
      <c r="J317" s="55">
        <f t="shared" si="10"/>
        <v>4</v>
      </c>
      <c r="K317">
        <v>1</v>
      </c>
      <c r="M317" s="8">
        <v>1</v>
      </c>
      <c r="O317" s="119" t="s">
        <v>17</v>
      </c>
      <c r="P317" s="8" t="s">
        <v>37</v>
      </c>
      <c r="R317" s="73" t="s">
        <v>114</v>
      </c>
      <c r="S317" s="47">
        <v>46183</v>
      </c>
      <c r="T317" t="s">
        <v>54</v>
      </c>
      <c r="U317" s="8" t="s">
        <v>37</v>
      </c>
    </row>
    <row r="318" spans="1:24" x14ac:dyDescent="0.3">
      <c r="A318" s="54">
        <f t="shared" si="9"/>
        <v>317</v>
      </c>
      <c r="B318" s="153" t="s">
        <v>74</v>
      </c>
      <c r="C318" s="73" t="s">
        <v>420</v>
      </c>
      <c r="H318" s="8">
        <v>1</v>
      </c>
      <c r="I318" s="8">
        <v>4</v>
      </c>
      <c r="J318" s="55">
        <f t="shared" si="10"/>
        <v>4</v>
      </c>
      <c r="K318">
        <v>1</v>
      </c>
      <c r="M318" s="8">
        <v>1</v>
      </c>
      <c r="O318" s="119" t="s">
        <v>16</v>
      </c>
      <c r="P318" s="8" t="s">
        <v>37</v>
      </c>
      <c r="R318" s="116" t="s">
        <v>56</v>
      </c>
      <c r="S318" s="47">
        <v>46183</v>
      </c>
      <c r="T318" t="s">
        <v>54</v>
      </c>
      <c r="U318" s="8" t="s">
        <v>37</v>
      </c>
      <c r="X318">
        <f>61/64</f>
        <v>0.953125</v>
      </c>
    </row>
    <row r="319" spans="1:24" x14ac:dyDescent="0.3">
      <c r="A319" s="54">
        <f t="shared" si="9"/>
        <v>318</v>
      </c>
      <c r="B319" s="153" t="s">
        <v>75</v>
      </c>
      <c r="C319" s="73" t="s">
        <v>421</v>
      </c>
      <c r="F319" s="74" t="s">
        <v>422</v>
      </c>
      <c r="G319" s="74" t="s">
        <v>423</v>
      </c>
      <c r="H319" s="8">
        <v>1</v>
      </c>
      <c r="I319" s="8">
        <v>3</v>
      </c>
      <c r="J319" s="55">
        <f t="shared" si="10"/>
        <v>3</v>
      </c>
      <c r="M319" s="8"/>
      <c r="N319">
        <v>1</v>
      </c>
      <c r="O319" s="73" t="s">
        <v>12</v>
      </c>
      <c r="P319" s="8" t="s">
        <v>37</v>
      </c>
      <c r="R319" s="116" t="s">
        <v>53</v>
      </c>
      <c r="S319" s="47">
        <v>46183</v>
      </c>
      <c r="T319" t="s">
        <v>54</v>
      </c>
      <c r="U319" s="8" t="s">
        <v>37</v>
      </c>
    </row>
    <row r="320" spans="1:24" x14ac:dyDescent="0.3">
      <c r="A320" s="54">
        <f t="shared" si="9"/>
        <v>319</v>
      </c>
      <c r="B320" s="153" t="s">
        <v>73</v>
      </c>
      <c r="C320" s="73" t="s">
        <v>424</v>
      </c>
      <c r="F320" s="74" t="s">
        <v>425</v>
      </c>
      <c r="G320" s="74" t="s">
        <v>422</v>
      </c>
      <c r="H320" s="8">
        <v>2</v>
      </c>
      <c r="I320" s="8">
        <v>3</v>
      </c>
      <c r="J320" s="55">
        <f t="shared" si="10"/>
        <v>6</v>
      </c>
      <c r="N320">
        <v>1</v>
      </c>
      <c r="O320" s="117" t="s">
        <v>9</v>
      </c>
      <c r="P320" s="8" t="s">
        <v>37</v>
      </c>
      <c r="R320" s="116" t="s">
        <v>56</v>
      </c>
      <c r="S320" s="47">
        <v>46183</v>
      </c>
      <c r="T320" t="s">
        <v>54</v>
      </c>
      <c r="U320" s="8" t="s">
        <v>37</v>
      </c>
    </row>
    <row r="321" spans="1:21" x14ac:dyDescent="0.3">
      <c r="A321" s="54">
        <f t="shared" si="9"/>
        <v>320</v>
      </c>
      <c r="B321" s="153" t="s">
        <v>77</v>
      </c>
      <c r="C321" s="73" t="s">
        <v>426</v>
      </c>
      <c r="F321" s="73"/>
      <c r="G321" s="73"/>
      <c r="H321" s="8">
        <v>1</v>
      </c>
      <c r="I321" s="8">
        <v>3</v>
      </c>
      <c r="J321" s="55">
        <f t="shared" si="10"/>
        <v>3</v>
      </c>
      <c r="M321" s="8">
        <v>1</v>
      </c>
      <c r="O321" s="73" t="s">
        <v>12</v>
      </c>
      <c r="P321" s="8" t="s">
        <v>37</v>
      </c>
      <c r="R321" s="116" t="s">
        <v>53</v>
      </c>
      <c r="S321" s="47">
        <v>46183</v>
      </c>
      <c r="T321" t="s">
        <v>54</v>
      </c>
      <c r="U321" s="8" t="s">
        <v>37</v>
      </c>
    </row>
    <row r="322" spans="1:21" x14ac:dyDescent="0.3">
      <c r="A322" s="54">
        <f t="shared" si="9"/>
        <v>321</v>
      </c>
      <c r="B322" s="153" t="s">
        <v>82</v>
      </c>
      <c r="C322" s="75" t="s">
        <v>427</v>
      </c>
      <c r="F322" s="73"/>
      <c r="G322" s="73"/>
      <c r="H322" s="8">
        <v>1</v>
      </c>
      <c r="I322" s="8">
        <v>3</v>
      </c>
      <c r="J322" s="55">
        <f t="shared" si="10"/>
        <v>3</v>
      </c>
      <c r="M322" s="8"/>
      <c r="N322">
        <v>1</v>
      </c>
      <c r="O322" s="119" t="s">
        <v>17</v>
      </c>
      <c r="P322" s="8" t="s">
        <v>37</v>
      </c>
      <c r="R322" s="73" t="s">
        <v>114</v>
      </c>
      <c r="S322" s="47">
        <v>46183</v>
      </c>
      <c r="T322" t="s">
        <v>54</v>
      </c>
      <c r="U322" s="8" t="s">
        <v>121</v>
      </c>
    </row>
    <row r="323" spans="1:21" x14ac:dyDescent="0.3">
      <c r="A323" s="54">
        <f t="shared" ref="A323:A386" si="11">A322+1</f>
        <v>322</v>
      </c>
      <c r="B323" s="153" t="s">
        <v>74</v>
      </c>
      <c r="C323" s="75" t="s">
        <v>428</v>
      </c>
      <c r="F323" s="74" t="s">
        <v>429</v>
      </c>
      <c r="G323" s="74" t="s">
        <v>425</v>
      </c>
      <c r="H323" s="8">
        <v>3</v>
      </c>
      <c r="I323" s="8">
        <v>3</v>
      </c>
      <c r="J323" s="55">
        <f t="shared" si="10"/>
        <v>9</v>
      </c>
      <c r="M323">
        <v>1</v>
      </c>
      <c r="O323" s="119" t="s">
        <v>17</v>
      </c>
      <c r="P323" s="8" t="s">
        <v>37</v>
      </c>
      <c r="R323" s="73" t="s">
        <v>114</v>
      </c>
      <c r="S323" s="47">
        <v>46183</v>
      </c>
      <c r="T323" t="s">
        <v>54</v>
      </c>
      <c r="U323" s="8" t="s">
        <v>37</v>
      </c>
    </row>
    <row r="324" spans="1:21" ht="30" customHeight="1" x14ac:dyDescent="0.3">
      <c r="A324" s="54">
        <f t="shared" si="11"/>
        <v>323</v>
      </c>
      <c r="B324" s="153" t="s">
        <v>73</v>
      </c>
      <c r="C324" s="75" t="s">
        <v>430</v>
      </c>
      <c r="F324" s="74"/>
      <c r="G324" s="74"/>
      <c r="H324" s="8">
        <v>1</v>
      </c>
      <c r="I324" s="8">
        <v>3</v>
      </c>
      <c r="J324" s="55">
        <f t="shared" si="10"/>
        <v>3</v>
      </c>
      <c r="M324">
        <v>1</v>
      </c>
      <c r="O324" s="119" t="s">
        <v>16</v>
      </c>
      <c r="P324" s="8" t="s">
        <v>37</v>
      </c>
      <c r="R324" s="73" t="s">
        <v>114</v>
      </c>
      <c r="S324" s="47">
        <v>46183</v>
      </c>
      <c r="T324" t="s">
        <v>54</v>
      </c>
      <c r="U324" s="8" t="s">
        <v>37</v>
      </c>
    </row>
    <row r="325" spans="1:21" x14ac:dyDescent="0.3">
      <c r="A325" s="54">
        <f t="shared" si="11"/>
        <v>324</v>
      </c>
      <c r="B325" s="153" t="s">
        <v>76</v>
      </c>
      <c r="C325" s="75" t="s">
        <v>431</v>
      </c>
      <c r="F325">
        <v>12</v>
      </c>
      <c r="G325">
        <v>1</v>
      </c>
      <c r="H325" s="8">
        <v>1</v>
      </c>
      <c r="I325" s="8">
        <v>1</v>
      </c>
      <c r="J325" s="55">
        <f t="shared" si="10"/>
        <v>1</v>
      </c>
      <c r="M325">
        <v>1</v>
      </c>
      <c r="O325" s="117" t="s">
        <v>9</v>
      </c>
      <c r="P325" s="8" t="s">
        <v>37</v>
      </c>
      <c r="R325" s="116" t="s">
        <v>56</v>
      </c>
      <c r="S325" s="47">
        <v>46183</v>
      </c>
      <c r="T325" t="s">
        <v>54</v>
      </c>
      <c r="U325" s="8" t="s">
        <v>121</v>
      </c>
    </row>
    <row r="326" spans="1:21" x14ac:dyDescent="0.3">
      <c r="A326" s="54">
        <f t="shared" si="11"/>
        <v>325</v>
      </c>
      <c r="B326" s="153" t="s">
        <v>73</v>
      </c>
      <c r="C326" s="75" t="s">
        <v>432</v>
      </c>
      <c r="H326" s="8">
        <v>1</v>
      </c>
      <c r="I326" s="8">
        <v>3</v>
      </c>
      <c r="J326" s="55">
        <f t="shared" si="10"/>
        <v>3</v>
      </c>
      <c r="L326">
        <v>1</v>
      </c>
      <c r="N326">
        <v>1</v>
      </c>
      <c r="O326" s="73" t="s">
        <v>12</v>
      </c>
      <c r="P326" s="8" t="s">
        <v>37</v>
      </c>
      <c r="R326" s="116" t="s">
        <v>53</v>
      </c>
      <c r="S326" s="47">
        <v>46183</v>
      </c>
      <c r="T326" t="s">
        <v>54</v>
      </c>
      <c r="U326" s="8" t="s">
        <v>37</v>
      </c>
    </row>
    <row r="327" spans="1:21" x14ac:dyDescent="0.3">
      <c r="A327" s="54">
        <f t="shared" si="11"/>
        <v>326</v>
      </c>
      <c r="B327" s="153" t="s">
        <v>75</v>
      </c>
      <c r="C327" s="75" t="s">
        <v>433</v>
      </c>
      <c r="F327">
        <v>2</v>
      </c>
      <c r="G327">
        <v>2</v>
      </c>
      <c r="H327" s="8">
        <v>2</v>
      </c>
      <c r="I327" s="8">
        <v>3</v>
      </c>
      <c r="J327" s="55">
        <f t="shared" si="10"/>
        <v>6</v>
      </c>
      <c r="N327">
        <v>1</v>
      </c>
      <c r="O327" s="119" t="s">
        <v>11</v>
      </c>
      <c r="P327" s="8" t="s">
        <v>37</v>
      </c>
      <c r="R327" s="116" t="s">
        <v>56</v>
      </c>
      <c r="S327" s="47">
        <v>46183</v>
      </c>
      <c r="T327" t="s">
        <v>54</v>
      </c>
      <c r="U327" s="8" t="s">
        <v>37</v>
      </c>
    </row>
    <row r="328" spans="1:21" ht="30" customHeight="1" x14ac:dyDescent="0.3">
      <c r="A328" s="54">
        <f t="shared" si="11"/>
        <v>327</v>
      </c>
      <c r="B328" s="153" t="s">
        <v>77</v>
      </c>
      <c r="C328" s="75" t="s">
        <v>434</v>
      </c>
      <c r="H328" s="8">
        <v>1</v>
      </c>
      <c r="I328" s="8">
        <v>3</v>
      </c>
      <c r="J328" s="55">
        <f t="shared" si="10"/>
        <v>3</v>
      </c>
      <c r="M328">
        <v>1</v>
      </c>
      <c r="O328" s="119" t="s">
        <v>17</v>
      </c>
      <c r="P328" s="8" t="s">
        <v>37</v>
      </c>
      <c r="R328" s="116" t="s">
        <v>53</v>
      </c>
      <c r="S328" s="47">
        <v>46183</v>
      </c>
      <c r="T328" t="s">
        <v>54</v>
      </c>
      <c r="U328" s="8" t="s">
        <v>121</v>
      </c>
    </row>
    <row r="329" spans="1:21" x14ac:dyDescent="0.3">
      <c r="A329" s="54">
        <f t="shared" si="11"/>
        <v>328</v>
      </c>
      <c r="B329" s="153" t="s">
        <v>74</v>
      </c>
      <c r="C329" s="75" t="s">
        <v>435</v>
      </c>
      <c r="H329" s="8">
        <v>1</v>
      </c>
      <c r="I329" s="8">
        <v>3</v>
      </c>
      <c r="J329" s="55">
        <f t="shared" si="10"/>
        <v>3</v>
      </c>
      <c r="M329">
        <v>1</v>
      </c>
      <c r="O329" s="73" t="s">
        <v>18</v>
      </c>
      <c r="P329" s="8" t="s">
        <v>37</v>
      </c>
      <c r="R329" s="116" t="s">
        <v>56</v>
      </c>
      <c r="S329" s="47">
        <v>46183</v>
      </c>
      <c r="T329" t="s">
        <v>54</v>
      </c>
      <c r="U329" s="8" t="s">
        <v>37</v>
      </c>
    </row>
    <row r="330" spans="1:21" ht="45" customHeight="1" x14ac:dyDescent="0.3">
      <c r="A330" s="54">
        <f t="shared" si="11"/>
        <v>329</v>
      </c>
      <c r="B330" s="153" t="s">
        <v>77</v>
      </c>
      <c r="C330" s="75" t="s">
        <v>436</v>
      </c>
      <c r="F330">
        <v>6</v>
      </c>
      <c r="G330">
        <v>2</v>
      </c>
      <c r="H330" s="8">
        <v>2</v>
      </c>
      <c r="I330" s="8">
        <v>3</v>
      </c>
      <c r="J330" s="55">
        <f t="shared" si="10"/>
        <v>6</v>
      </c>
      <c r="N330">
        <v>1</v>
      </c>
      <c r="O330" s="119" t="s">
        <v>17</v>
      </c>
      <c r="P330" s="8" t="s">
        <v>37</v>
      </c>
      <c r="R330" s="116" t="s">
        <v>53</v>
      </c>
      <c r="S330" s="47">
        <v>46183</v>
      </c>
      <c r="T330" t="s">
        <v>54</v>
      </c>
      <c r="U330" s="8" t="s">
        <v>121</v>
      </c>
    </row>
    <row r="331" spans="1:21" x14ac:dyDescent="0.3">
      <c r="A331" s="54">
        <f t="shared" si="11"/>
        <v>330</v>
      </c>
      <c r="B331" s="153" t="s">
        <v>72</v>
      </c>
      <c r="C331" s="73" t="s">
        <v>437</v>
      </c>
      <c r="F331">
        <v>6</v>
      </c>
      <c r="G331">
        <v>1</v>
      </c>
      <c r="H331" s="8">
        <v>1</v>
      </c>
      <c r="I331" s="8">
        <v>3</v>
      </c>
      <c r="J331" s="55">
        <f t="shared" si="10"/>
        <v>3</v>
      </c>
      <c r="N331">
        <v>1</v>
      </c>
      <c r="O331" s="72" t="s">
        <v>12</v>
      </c>
      <c r="P331" s="8" t="s">
        <v>37</v>
      </c>
      <c r="R331" s="116" t="s">
        <v>53</v>
      </c>
      <c r="S331" s="47">
        <v>46183</v>
      </c>
      <c r="T331" t="s">
        <v>54</v>
      </c>
      <c r="U331" s="8" t="s">
        <v>37</v>
      </c>
    </row>
    <row r="332" spans="1:21" x14ac:dyDescent="0.3">
      <c r="A332" s="54">
        <f t="shared" si="11"/>
        <v>331</v>
      </c>
      <c r="B332" s="153" t="s">
        <v>88</v>
      </c>
      <c r="C332" t="s">
        <v>438</v>
      </c>
      <c r="F332">
        <v>3</v>
      </c>
      <c r="G332">
        <v>0</v>
      </c>
      <c r="H332">
        <v>1</v>
      </c>
      <c r="I332">
        <v>0</v>
      </c>
      <c r="J332">
        <v>1</v>
      </c>
      <c r="N332">
        <v>1</v>
      </c>
      <c r="O332" t="s">
        <v>12</v>
      </c>
      <c r="P332" t="s">
        <v>37</v>
      </c>
      <c r="R332" t="s">
        <v>114</v>
      </c>
      <c r="S332" s="47">
        <v>46184</v>
      </c>
      <c r="T332" t="s">
        <v>54</v>
      </c>
      <c r="U332" t="s">
        <v>37</v>
      </c>
    </row>
    <row r="333" spans="1:21" x14ac:dyDescent="0.3">
      <c r="A333" s="54">
        <f t="shared" si="11"/>
        <v>332</v>
      </c>
      <c r="B333" s="153" t="s">
        <v>72</v>
      </c>
      <c r="C333" s="35" t="s">
        <v>439</v>
      </c>
      <c r="F333">
        <v>0</v>
      </c>
      <c r="G333">
        <v>0</v>
      </c>
      <c r="H333">
        <v>1</v>
      </c>
      <c r="I333">
        <v>4</v>
      </c>
      <c r="J333">
        <v>4</v>
      </c>
      <c r="K333">
        <v>1</v>
      </c>
      <c r="M333">
        <v>1</v>
      </c>
      <c r="O333" t="s">
        <v>14</v>
      </c>
      <c r="P333" t="s">
        <v>37</v>
      </c>
      <c r="R333" s="116" t="s">
        <v>53</v>
      </c>
      <c r="S333" s="47">
        <v>46184</v>
      </c>
      <c r="T333" t="s">
        <v>54</v>
      </c>
      <c r="U333" t="s">
        <v>37</v>
      </c>
    </row>
    <row r="334" spans="1:21" x14ac:dyDescent="0.3">
      <c r="A334" s="54">
        <f t="shared" si="11"/>
        <v>333</v>
      </c>
      <c r="B334" s="153" t="s">
        <v>72</v>
      </c>
      <c r="C334" t="s">
        <v>440</v>
      </c>
      <c r="F334">
        <v>0</v>
      </c>
      <c r="G334">
        <v>0</v>
      </c>
      <c r="H334">
        <v>1</v>
      </c>
      <c r="I334">
        <v>1</v>
      </c>
      <c r="J334">
        <v>1</v>
      </c>
      <c r="M334">
        <v>1</v>
      </c>
      <c r="O334" t="s">
        <v>14</v>
      </c>
      <c r="P334" t="s">
        <v>37</v>
      </c>
      <c r="R334" s="116" t="s">
        <v>53</v>
      </c>
      <c r="S334" s="47">
        <v>46184</v>
      </c>
      <c r="T334" t="s">
        <v>54</v>
      </c>
      <c r="U334" t="s">
        <v>37</v>
      </c>
    </row>
    <row r="335" spans="1:21" x14ac:dyDescent="0.3">
      <c r="A335" s="54">
        <f t="shared" si="11"/>
        <v>334</v>
      </c>
      <c r="B335" s="153" t="s">
        <v>73</v>
      </c>
      <c r="C335" t="s">
        <v>441</v>
      </c>
      <c r="F335">
        <v>10</v>
      </c>
      <c r="G335">
        <v>1</v>
      </c>
      <c r="H335">
        <v>1</v>
      </c>
      <c r="I335">
        <v>3</v>
      </c>
      <c r="J335">
        <v>3</v>
      </c>
      <c r="L335">
        <v>1</v>
      </c>
      <c r="N335">
        <v>1</v>
      </c>
      <c r="O335" t="s">
        <v>12</v>
      </c>
      <c r="P335" t="s">
        <v>37</v>
      </c>
      <c r="R335" s="116" t="s">
        <v>53</v>
      </c>
      <c r="S335" s="47">
        <v>46184</v>
      </c>
      <c r="T335" t="s">
        <v>54</v>
      </c>
      <c r="U335" t="s">
        <v>37</v>
      </c>
    </row>
    <row r="336" spans="1:21" x14ac:dyDescent="0.3">
      <c r="A336" s="54">
        <f t="shared" si="11"/>
        <v>335</v>
      </c>
      <c r="B336" s="153" t="s">
        <v>74</v>
      </c>
      <c r="C336" t="s">
        <v>442</v>
      </c>
      <c r="F336">
        <v>0</v>
      </c>
      <c r="G336">
        <v>0</v>
      </c>
      <c r="H336">
        <v>1</v>
      </c>
      <c r="I336">
        <v>3</v>
      </c>
      <c r="J336">
        <v>3</v>
      </c>
      <c r="M336">
        <v>1</v>
      </c>
      <c r="O336" s="119" t="s">
        <v>17</v>
      </c>
      <c r="P336" t="s">
        <v>37</v>
      </c>
      <c r="R336" s="116" t="s">
        <v>53</v>
      </c>
      <c r="S336" s="47">
        <v>46184</v>
      </c>
      <c r="T336" t="s">
        <v>54</v>
      </c>
      <c r="U336" t="s">
        <v>37</v>
      </c>
    </row>
    <row r="337" spans="1:22" x14ac:dyDescent="0.3">
      <c r="A337" s="54">
        <f t="shared" si="11"/>
        <v>336</v>
      </c>
      <c r="B337" s="153" t="s">
        <v>74</v>
      </c>
      <c r="C337" t="s">
        <v>443</v>
      </c>
      <c r="F337">
        <v>3</v>
      </c>
      <c r="G337">
        <v>3</v>
      </c>
      <c r="H337">
        <v>1</v>
      </c>
      <c r="I337">
        <v>3</v>
      </c>
      <c r="J337">
        <v>3</v>
      </c>
      <c r="N337">
        <v>1</v>
      </c>
      <c r="O337" s="45" t="s">
        <v>38</v>
      </c>
      <c r="P337" t="s">
        <v>37</v>
      </c>
      <c r="R337" t="s">
        <v>59</v>
      </c>
      <c r="S337" s="47">
        <v>46184</v>
      </c>
      <c r="T337" t="s">
        <v>54</v>
      </c>
      <c r="U337" t="s">
        <v>37</v>
      </c>
    </row>
    <row r="338" spans="1:22" x14ac:dyDescent="0.3">
      <c r="A338" s="54">
        <f t="shared" si="11"/>
        <v>337</v>
      </c>
      <c r="B338" s="153" t="s">
        <v>81</v>
      </c>
      <c r="C338" t="s">
        <v>444</v>
      </c>
      <c r="F338">
        <v>5</v>
      </c>
      <c r="G338">
        <v>1</v>
      </c>
      <c r="H338">
        <v>1</v>
      </c>
      <c r="I338">
        <v>4</v>
      </c>
      <c r="J338">
        <v>4</v>
      </c>
      <c r="K338">
        <v>1</v>
      </c>
      <c r="N338">
        <v>1</v>
      </c>
      <c r="O338" s="119" t="s">
        <v>17</v>
      </c>
      <c r="P338" t="s">
        <v>37</v>
      </c>
      <c r="R338" s="8" t="s">
        <v>114</v>
      </c>
      <c r="S338" s="47">
        <v>46184</v>
      </c>
      <c r="T338" t="s">
        <v>54</v>
      </c>
      <c r="U338" t="s">
        <v>37</v>
      </c>
    </row>
    <row r="339" spans="1:22" x14ac:dyDescent="0.3">
      <c r="A339" s="54">
        <f t="shared" si="11"/>
        <v>338</v>
      </c>
      <c r="B339" s="153" t="s">
        <v>72</v>
      </c>
      <c r="C339" s="50" t="s">
        <v>445</v>
      </c>
      <c r="H339">
        <v>1</v>
      </c>
      <c r="I339">
        <v>4</v>
      </c>
      <c r="J339" s="55">
        <f t="shared" ref="J339:J370" si="12">I339*H339</f>
        <v>4</v>
      </c>
      <c r="K339">
        <v>1</v>
      </c>
      <c r="M339">
        <v>1</v>
      </c>
      <c r="O339" t="s">
        <v>14</v>
      </c>
      <c r="P339" t="s">
        <v>37</v>
      </c>
      <c r="R339" s="50" t="s">
        <v>114</v>
      </c>
      <c r="S339" s="47">
        <v>46184</v>
      </c>
      <c r="T339" t="s">
        <v>54</v>
      </c>
      <c r="U339" t="s">
        <v>37</v>
      </c>
    </row>
    <row r="340" spans="1:22" x14ac:dyDescent="0.3">
      <c r="A340" s="54">
        <f t="shared" si="11"/>
        <v>339</v>
      </c>
      <c r="B340" s="153" t="s">
        <v>85</v>
      </c>
      <c r="C340" s="8" t="s">
        <v>446</v>
      </c>
      <c r="D340" s="8"/>
      <c r="E340" s="8"/>
      <c r="F340" s="8">
        <v>13</v>
      </c>
      <c r="G340" s="8">
        <v>4</v>
      </c>
      <c r="H340" s="8">
        <v>1</v>
      </c>
      <c r="I340" s="8">
        <v>3</v>
      </c>
      <c r="J340" s="55">
        <f t="shared" si="12"/>
        <v>3</v>
      </c>
      <c r="K340" s="8"/>
      <c r="L340" s="8"/>
      <c r="M340" s="8"/>
      <c r="N340" s="8">
        <v>1</v>
      </c>
      <c r="O340" s="8" t="s">
        <v>12</v>
      </c>
      <c r="P340" s="8" t="s">
        <v>37</v>
      </c>
      <c r="R340" s="116" t="s">
        <v>53</v>
      </c>
      <c r="S340" s="47">
        <v>46185</v>
      </c>
      <c r="T340" t="s">
        <v>54</v>
      </c>
      <c r="U340" s="8" t="s">
        <v>121</v>
      </c>
    </row>
    <row r="341" spans="1:22" x14ac:dyDescent="0.3">
      <c r="A341" s="54">
        <f t="shared" si="11"/>
        <v>340</v>
      </c>
      <c r="B341" s="153" t="s">
        <v>78</v>
      </c>
      <c r="C341" s="8" t="s">
        <v>447</v>
      </c>
      <c r="D341" s="8"/>
      <c r="E341" s="8"/>
      <c r="F341" s="8">
        <v>0</v>
      </c>
      <c r="G341" s="8">
        <v>0</v>
      </c>
      <c r="H341" s="8">
        <v>1</v>
      </c>
      <c r="I341" s="8">
        <v>3</v>
      </c>
      <c r="J341" s="55">
        <f t="shared" si="12"/>
        <v>3</v>
      </c>
      <c r="K341" s="8"/>
      <c r="L341" s="8"/>
      <c r="M341" s="8">
        <v>1</v>
      </c>
      <c r="N341" s="8"/>
      <c r="O341" s="8" t="s">
        <v>13</v>
      </c>
      <c r="P341" s="8" t="s">
        <v>121</v>
      </c>
      <c r="R341" t="s">
        <v>59</v>
      </c>
      <c r="S341" s="47">
        <v>46185</v>
      </c>
      <c r="T341" t="s">
        <v>54</v>
      </c>
      <c r="U341" s="8" t="s">
        <v>121</v>
      </c>
      <c r="V341" s="47">
        <f>WEEKDAY(S341,3)</f>
        <v>4</v>
      </c>
    </row>
    <row r="342" spans="1:22" x14ac:dyDescent="0.3">
      <c r="A342" s="54">
        <f t="shared" si="11"/>
        <v>341</v>
      </c>
      <c r="B342" s="153" t="s">
        <v>72</v>
      </c>
      <c r="C342" s="8" t="s">
        <v>448</v>
      </c>
      <c r="D342" s="8"/>
      <c r="E342" s="8"/>
      <c r="F342" s="8">
        <v>0</v>
      </c>
      <c r="G342" s="8">
        <v>0</v>
      </c>
      <c r="H342" s="8">
        <v>1</v>
      </c>
      <c r="I342" s="8">
        <v>3</v>
      </c>
      <c r="J342" s="55">
        <f t="shared" si="12"/>
        <v>3</v>
      </c>
      <c r="K342" s="8"/>
      <c r="L342" s="8"/>
      <c r="M342" s="8">
        <v>1</v>
      </c>
      <c r="N342" s="8"/>
      <c r="O342" s="116" t="s">
        <v>13</v>
      </c>
      <c r="P342" s="8" t="s">
        <v>37</v>
      </c>
      <c r="R342" t="s">
        <v>59</v>
      </c>
      <c r="S342" s="47">
        <v>46185</v>
      </c>
      <c r="T342" t="s">
        <v>54</v>
      </c>
      <c r="U342" s="8" t="s">
        <v>121</v>
      </c>
    </row>
    <row r="343" spans="1:22" x14ac:dyDescent="0.3">
      <c r="A343" s="54">
        <f t="shared" si="11"/>
        <v>342</v>
      </c>
      <c r="B343" s="153" t="s">
        <v>72</v>
      </c>
      <c r="C343" s="8" t="s">
        <v>449</v>
      </c>
      <c r="D343" s="8"/>
      <c r="E343" s="8"/>
      <c r="F343" s="8">
        <v>0</v>
      </c>
      <c r="G343" s="8">
        <v>0</v>
      </c>
      <c r="H343" s="8">
        <v>1</v>
      </c>
      <c r="I343" s="8">
        <v>3</v>
      </c>
      <c r="J343" s="55">
        <f t="shared" si="12"/>
        <v>3</v>
      </c>
      <c r="K343" s="8"/>
      <c r="L343" s="8"/>
      <c r="M343" s="8">
        <v>1</v>
      </c>
      <c r="N343" s="8"/>
      <c r="O343" s="116" t="s">
        <v>13</v>
      </c>
      <c r="P343" s="8" t="s">
        <v>37</v>
      </c>
      <c r="R343" t="s">
        <v>59</v>
      </c>
      <c r="S343" s="47">
        <v>46185</v>
      </c>
      <c r="T343" t="s">
        <v>54</v>
      </c>
      <c r="U343" s="8" t="s">
        <v>37</v>
      </c>
    </row>
    <row r="344" spans="1:22" x14ac:dyDescent="0.3">
      <c r="A344" s="54">
        <f t="shared" si="11"/>
        <v>343</v>
      </c>
      <c r="B344" s="153" t="s">
        <v>74</v>
      </c>
      <c r="C344" s="8" t="s">
        <v>450</v>
      </c>
      <c r="D344" s="8"/>
      <c r="E344" s="8"/>
      <c r="F344" s="8">
        <v>0</v>
      </c>
      <c r="G344" s="8">
        <v>0</v>
      </c>
      <c r="H344" s="8">
        <v>1</v>
      </c>
      <c r="I344" s="8">
        <v>4</v>
      </c>
      <c r="J344" s="55">
        <f t="shared" si="12"/>
        <v>4</v>
      </c>
      <c r="K344" s="8">
        <v>1</v>
      </c>
      <c r="L344" s="8"/>
      <c r="M344" s="8">
        <v>1</v>
      </c>
      <c r="N344" s="8"/>
      <c r="O344" s="116" t="s">
        <v>13</v>
      </c>
      <c r="P344" s="8" t="s">
        <v>37</v>
      </c>
      <c r="R344" t="s">
        <v>59</v>
      </c>
      <c r="S344" s="47">
        <v>46185</v>
      </c>
      <c r="T344" t="s">
        <v>54</v>
      </c>
      <c r="U344" s="8" t="s">
        <v>121</v>
      </c>
    </row>
    <row r="345" spans="1:22" x14ac:dyDescent="0.3">
      <c r="A345" s="54">
        <f t="shared" si="11"/>
        <v>344</v>
      </c>
      <c r="B345" s="153" t="s">
        <v>72</v>
      </c>
      <c r="C345" s="8" t="s">
        <v>451</v>
      </c>
      <c r="D345" s="8"/>
      <c r="E345" s="8"/>
      <c r="F345" s="8">
        <v>0</v>
      </c>
      <c r="G345" s="8">
        <v>0</v>
      </c>
      <c r="H345" s="8">
        <v>1</v>
      </c>
      <c r="I345" s="8">
        <v>3</v>
      </c>
      <c r="J345" s="55">
        <f t="shared" si="12"/>
        <v>3</v>
      </c>
      <c r="K345" s="8"/>
      <c r="L345" s="8"/>
      <c r="M345" s="8">
        <v>1</v>
      </c>
      <c r="N345" s="8"/>
      <c r="O345" s="119" t="s">
        <v>17</v>
      </c>
      <c r="P345" s="8" t="s">
        <v>37</v>
      </c>
      <c r="R345" s="8" t="s">
        <v>114</v>
      </c>
      <c r="S345" s="47">
        <v>46185</v>
      </c>
      <c r="T345" t="s">
        <v>54</v>
      </c>
      <c r="U345" s="8" t="s">
        <v>121</v>
      </c>
    </row>
    <row r="346" spans="1:22" x14ac:dyDescent="0.3">
      <c r="A346" s="54">
        <f t="shared" si="11"/>
        <v>345</v>
      </c>
      <c r="B346" s="153" t="s">
        <v>73</v>
      </c>
      <c r="C346" s="8" t="s">
        <v>452</v>
      </c>
      <c r="D346" s="8"/>
      <c r="E346" s="8"/>
      <c r="F346" s="8">
        <v>25</v>
      </c>
      <c r="G346" s="8">
        <v>1</v>
      </c>
      <c r="H346" s="8">
        <v>1</v>
      </c>
      <c r="I346" s="8">
        <v>3</v>
      </c>
      <c r="J346" s="55">
        <f t="shared" si="12"/>
        <v>3</v>
      </c>
      <c r="K346" s="8"/>
      <c r="L346" s="8">
        <v>1</v>
      </c>
      <c r="M346" s="8"/>
      <c r="N346" s="8">
        <v>1</v>
      </c>
      <c r="O346" s="119" t="s">
        <v>17</v>
      </c>
      <c r="P346" s="8" t="s">
        <v>37</v>
      </c>
      <c r="R346" s="8" t="s">
        <v>114</v>
      </c>
      <c r="S346" s="47">
        <v>46185</v>
      </c>
      <c r="T346" t="s">
        <v>54</v>
      </c>
      <c r="U346" s="8" t="s">
        <v>37</v>
      </c>
    </row>
    <row r="347" spans="1:22" ht="26.25" customHeight="1" x14ac:dyDescent="0.3">
      <c r="A347" s="54">
        <f t="shared" si="11"/>
        <v>346</v>
      </c>
      <c r="B347" s="153" t="s">
        <v>77</v>
      </c>
      <c r="C347" s="18" t="s">
        <v>453</v>
      </c>
      <c r="D347" s="8"/>
      <c r="E347" s="8"/>
      <c r="F347" s="8">
        <v>0</v>
      </c>
      <c r="G347" s="8">
        <v>0</v>
      </c>
      <c r="H347" s="8">
        <v>1</v>
      </c>
      <c r="I347" s="8">
        <v>2</v>
      </c>
      <c r="J347" s="55">
        <f t="shared" si="12"/>
        <v>2</v>
      </c>
      <c r="K347" s="8"/>
      <c r="L347" s="8"/>
      <c r="M347" s="8">
        <v>1</v>
      </c>
      <c r="N347" s="8"/>
      <c r="O347" s="8" t="s">
        <v>13</v>
      </c>
      <c r="P347" s="8" t="s">
        <v>37</v>
      </c>
      <c r="R347" s="8" t="s">
        <v>114</v>
      </c>
      <c r="S347" s="47">
        <v>46185</v>
      </c>
      <c r="T347" t="s">
        <v>54</v>
      </c>
      <c r="U347" s="8" t="s">
        <v>121</v>
      </c>
    </row>
    <row r="348" spans="1:22" x14ac:dyDescent="0.3">
      <c r="A348" s="54">
        <f t="shared" si="11"/>
        <v>347</v>
      </c>
      <c r="B348" s="153" t="s">
        <v>72</v>
      </c>
      <c r="C348" s="8" t="s">
        <v>454</v>
      </c>
      <c r="D348" s="8"/>
      <c r="E348" s="8"/>
      <c r="F348" s="8">
        <v>0</v>
      </c>
      <c r="G348" s="8">
        <v>0</v>
      </c>
      <c r="H348" s="8">
        <v>1</v>
      </c>
      <c r="I348" s="8">
        <v>4</v>
      </c>
      <c r="J348" s="55">
        <f t="shared" si="12"/>
        <v>4</v>
      </c>
      <c r="K348" s="8">
        <v>1</v>
      </c>
      <c r="L348" s="8"/>
      <c r="M348" s="8">
        <v>1</v>
      </c>
      <c r="N348" s="8"/>
      <c r="O348" s="119" t="s">
        <v>17</v>
      </c>
      <c r="P348" s="8" t="s">
        <v>37</v>
      </c>
      <c r="R348" s="116" t="s">
        <v>53</v>
      </c>
      <c r="S348" s="47">
        <v>46185</v>
      </c>
      <c r="T348" t="s">
        <v>54</v>
      </c>
      <c r="U348" s="8" t="s">
        <v>37</v>
      </c>
    </row>
    <row r="349" spans="1:22" x14ac:dyDescent="0.3">
      <c r="A349" s="54">
        <f t="shared" si="11"/>
        <v>348</v>
      </c>
      <c r="B349" s="153" t="s">
        <v>72</v>
      </c>
      <c r="C349" s="8" t="s">
        <v>455</v>
      </c>
      <c r="D349" s="8"/>
      <c r="E349" s="8"/>
      <c r="F349" s="8">
        <v>0</v>
      </c>
      <c r="G349" s="8">
        <v>0</v>
      </c>
      <c r="H349" s="8">
        <v>1</v>
      </c>
      <c r="I349" s="8">
        <v>3</v>
      </c>
      <c r="J349" s="55">
        <f t="shared" si="12"/>
        <v>3</v>
      </c>
      <c r="K349" s="8"/>
      <c r="L349" s="8"/>
      <c r="M349" s="8">
        <v>1</v>
      </c>
      <c r="N349" s="8"/>
      <c r="O349" s="118" t="s">
        <v>13</v>
      </c>
      <c r="P349" s="8" t="s">
        <v>37</v>
      </c>
      <c r="R349" s="116" t="s">
        <v>53</v>
      </c>
      <c r="S349" s="47">
        <v>46185</v>
      </c>
      <c r="T349" t="s">
        <v>54</v>
      </c>
      <c r="U349" s="8" t="s">
        <v>37</v>
      </c>
    </row>
    <row r="350" spans="1:22" x14ac:dyDescent="0.3">
      <c r="A350" s="54">
        <f t="shared" si="11"/>
        <v>349</v>
      </c>
      <c r="B350" s="153" t="s">
        <v>82</v>
      </c>
      <c r="C350" s="8" t="s">
        <v>456</v>
      </c>
      <c r="D350" s="8"/>
      <c r="E350" s="8"/>
      <c r="F350" s="8">
        <v>4</v>
      </c>
      <c r="G350" s="8">
        <v>0</v>
      </c>
      <c r="H350" s="8">
        <v>1</v>
      </c>
      <c r="I350" s="8">
        <v>0</v>
      </c>
      <c r="J350" s="55">
        <f t="shared" si="12"/>
        <v>0</v>
      </c>
      <c r="K350" s="8"/>
      <c r="L350" s="8"/>
      <c r="M350" s="8"/>
      <c r="N350" s="8">
        <v>1</v>
      </c>
      <c r="O350" s="45" t="s">
        <v>38</v>
      </c>
      <c r="P350" s="8" t="s">
        <v>37</v>
      </c>
      <c r="R350" t="s">
        <v>59</v>
      </c>
      <c r="S350" s="47">
        <v>46185</v>
      </c>
      <c r="T350" t="s">
        <v>54</v>
      </c>
      <c r="U350" s="8" t="s">
        <v>37</v>
      </c>
    </row>
    <row r="351" spans="1:22" x14ac:dyDescent="0.3">
      <c r="A351" s="54">
        <f t="shared" si="11"/>
        <v>350</v>
      </c>
      <c r="B351" s="153" t="s">
        <v>72</v>
      </c>
      <c r="C351" s="8" t="s">
        <v>457</v>
      </c>
      <c r="D351" s="8"/>
      <c r="E351" s="8"/>
      <c r="F351" s="8">
        <v>0</v>
      </c>
      <c r="G351" s="8">
        <v>0</v>
      </c>
      <c r="H351" s="8">
        <v>1</v>
      </c>
      <c r="I351" s="8">
        <v>2</v>
      </c>
      <c r="J351" s="55">
        <f t="shared" si="12"/>
        <v>2</v>
      </c>
      <c r="K351" s="8"/>
      <c r="L351" s="8"/>
      <c r="M351" s="8">
        <v>1</v>
      </c>
      <c r="N351" s="8"/>
      <c r="O351" s="118" t="s">
        <v>13</v>
      </c>
      <c r="P351" s="8" t="s">
        <v>37</v>
      </c>
      <c r="R351" t="s">
        <v>59</v>
      </c>
      <c r="S351" s="47">
        <v>46185</v>
      </c>
      <c r="T351" t="s">
        <v>54</v>
      </c>
      <c r="U351" s="8" t="s">
        <v>37</v>
      </c>
    </row>
    <row r="352" spans="1:22" x14ac:dyDescent="0.3">
      <c r="A352" s="54">
        <f t="shared" si="11"/>
        <v>351</v>
      </c>
      <c r="B352" s="153" t="s">
        <v>78</v>
      </c>
      <c r="C352" s="8" t="s">
        <v>458</v>
      </c>
      <c r="D352" s="8"/>
      <c r="E352" s="8"/>
      <c r="F352" s="8">
        <v>0</v>
      </c>
      <c r="G352" s="8">
        <v>0</v>
      </c>
      <c r="H352" s="8">
        <v>1</v>
      </c>
      <c r="I352" s="8">
        <v>3</v>
      </c>
      <c r="J352" s="55">
        <f t="shared" si="12"/>
        <v>3</v>
      </c>
      <c r="K352" s="8"/>
      <c r="L352" s="8"/>
      <c r="M352" s="8">
        <v>1</v>
      </c>
      <c r="N352" s="8"/>
      <c r="O352" s="117" t="s">
        <v>9</v>
      </c>
      <c r="P352" s="8" t="s">
        <v>37</v>
      </c>
      <c r="R352" s="116" t="s">
        <v>56</v>
      </c>
      <c r="S352" s="47">
        <v>46186</v>
      </c>
      <c r="T352" t="s">
        <v>54</v>
      </c>
      <c r="U352" s="8" t="s">
        <v>37</v>
      </c>
    </row>
    <row r="353" spans="1:22" x14ac:dyDescent="0.3">
      <c r="A353" s="54">
        <f t="shared" si="11"/>
        <v>352</v>
      </c>
      <c r="B353" s="153" t="s">
        <v>73</v>
      </c>
      <c r="C353" s="8" t="s">
        <v>459</v>
      </c>
      <c r="D353" s="8"/>
      <c r="E353" s="8"/>
      <c r="F353" s="8">
        <v>1</v>
      </c>
      <c r="G353" s="8">
        <v>1</v>
      </c>
      <c r="H353" s="8">
        <v>1</v>
      </c>
      <c r="I353" s="8">
        <v>3</v>
      </c>
      <c r="J353" s="55">
        <f t="shared" si="12"/>
        <v>3</v>
      </c>
      <c r="K353" s="8"/>
      <c r="L353" s="8">
        <v>1</v>
      </c>
      <c r="M353" s="8"/>
      <c r="N353" s="8">
        <v>1</v>
      </c>
      <c r="O353" s="119" t="s">
        <v>16</v>
      </c>
      <c r="P353" s="8" t="s">
        <v>37</v>
      </c>
      <c r="R353" s="116" t="s">
        <v>56</v>
      </c>
      <c r="S353" s="47">
        <v>46186</v>
      </c>
      <c r="T353" t="s">
        <v>54</v>
      </c>
      <c r="U353" s="8" t="s">
        <v>37</v>
      </c>
    </row>
    <row r="354" spans="1:22" x14ac:dyDescent="0.3">
      <c r="A354" s="54">
        <f t="shared" si="11"/>
        <v>353</v>
      </c>
      <c r="B354" s="153" t="s">
        <v>76</v>
      </c>
      <c r="C354" s="8" t="s">
        <v>460</v>
      </c>
      <c r="D354" s="8"/>
      <c r="E354" s="8"/>
      <c r="F354" s="8">
        <v>17</v>
      </c>
      <c r="G354" s="8">
        <v>6</v>
      </c>
      <c r="H354" s="8">
        <v>1</v>
      </c>
      <c r="I354" s="8">
        <v>3</v>
      </c>
      <c r="J354" s="55">
        <f t="shared" si="12"/>
        <v>3</v>
      </c>
      <c r="K354" s="8"/>
      <c r="L354" s="8"/>
      <c r="M354" s="8"/>
      <c r="N354" s="8">
        <v>1</v>
      </c>
      <c r="O354" s="119" t="s">
        <v>17</v>
      </c>
      <c r="P354" s="8" t="s">
        <v>121</v>
      </c>
      <c r="R354" s="8" t="s">
        <v>114</v>
      </c>
      <c r="S354" s="47">
        <v>46186</v>
      </c>
      <c r="T354" t="s">
        <v>54</v>
      </c>
      <c r="U354" s="8" t="s">
        <v>121</v>
      </c>
      <c r="V354" s="47">
        <f>WEEKDAY(S354,2)</f>
        <v>6</v>
      </c>
    </row>
    <row r="355" spans="1:22" x14ac:dyDescent="0.3">
      <c r="A355" s="54">
        <f t="shared" si="11"/>
        <v>354</v>
      </c>
      <c r="B355" s="153" t="s">
        <v>73</v>
      </c>
      <c r="C355" s="8" t="s">
        <v>461</v>
      </c>
      <c r="D355" s="8"/>
      <c r="E355" s="8"/>
      <c r="F355" s="8">
        <v>5</v>
      </c>
      <c r="G355" s="8">
        <v>1</v>
      </c>
      <c r="H355" s="8">
        <v>1</v>
      </c>
      <c r="I355" s="8">
        <v>3</v>
      </c>
      <c r="J355" s="55">
        <f t="shared" si="12"/>
        <v>3</v>
      </c>
      <c r="K355" s="8"/>
      <c r="L355" s="8"/>
      <c r="M355" s="8"/>
      <c r="N355" s="8">
        <v>1</v>
      </c>
      <c r="O355" s="119" t="s">
        <v>16</v>
      </c>
      <c r="P355" s="8" t="s">
        <v>37</v>
      </c>
      <c r="R355" s="8" t="s">
        <v>56</v>
      </c>
      <c r="S355" s="47">
        <v>46186</v>
      </c>
      <c r="T355" t="s">
        <v>54</v>
      </c>
      <c r="U355" s="8" t="s">
        <v>121</v>
      </c>
    </row>
    <row r="356" spans="1:22" x14ac:dyDescent="0.3">
      <c r="A356" s="54">
        <f t="shared" si="11"/>
        <v>355</v>
      </c>
      <c r="B356" s="153" t="s">
        <v>75</v>
      </c>
      <c r="C356" s="8" t="s">
        <v>462</v>
      </c>
      <c r="D356" s="8"/>
      <c r="E356" s="8"/>
      <c r="F356" s="8">
        <v>0</v>
      </c>
      <c r="G356" s="8">
        <v>0</v>
      </c>
      <c r="H356" s="8">
        <v>1</v>
      </c>
      <c r="I356" s="8">
        <v>3</v>
      </c>
      <c r="J356" s="55">
        <f t="shared" si="12"/>
        <v>3</v>
      </c>
      <c r="K356" s="8"/>
      <c r="L356" s="8"/>
      <c r="M356" s="8">
        <v>1</v>
      </c>
      <c r="N356" s="8"/>
      <c r="O356" s="8" t="s">
        <v>18</v>
      </c>
      <c r="P356" s="8" t="s">
        <v>37</v>
      </c>
      <c r="R356" s="8" t="s">
        <v>56</v>
      </c>
      <c r="S356" s="47">
        <v>46186</v>
      </c>
      <c r="T356" t="s">
        <v>54</v>
      </c>
      <c r="U356" s="8" t="s">
        <v>121</v>
      </c>
      <c r="V356" s="47">
        <f>WEEKDAY(S356,2)</f>
        <v>6</v>
      </c>
    </row>
    <row r="357" spans="1:22" x14ac:dyDescent="0.3">
      <c r="A357" s="54">
        <f t="shared" si="11"/>
        <v>356</v>
      </c>
      <c r="B357" s="153" t="s">
        <v>75</v>
      </c>
      <c r="C357" s="8" t="s">
        <v>463</v>
      </c>
      <c r="D357" s="8"/>
      <c r="E357" s="8"/>
      <c r="F357" s="8">
        <v>10</v>
      </c>
      <c r="G357" s="8">
        <v>1</v>
      </c>
      <c r="H357" s="8">
        <v>1</v>
      </c>
      <c r="I357" s="8">
        <v>3</v>
      </c>
      <c r="J357" s="55">
        <f t="shared" si="12"/>
        <v>3</v>
      </c>
      <c r="K357" s="8"/>
      <c r="L357" s="8">
        <v>1</v>
      </c>
      <c r="M357" s="8"/>
      <c r="N357" s="8">
        <v>1</v>
      </c>
      <c r="O357" s="8" t="s">
        <v>18</v>
      </c>
      <c r="P357" s="8" t="s">
        <v>37</v>
      </c>
      <c r="R357" s="8" t="s">
        <v>56</v>
      </c>
      <c r="S357" s="47">
        <v>46186</v>
      </c>
      <c r="T357" t="s">
        <v>54</v>
      </c>
      <c r="U357" s="8" t="s">
        <v>121</v>
      </c>
      <c r="V357" s="47">
        <f>WEEKDAY(S357,2)</f>
        <v>6</v>
      </c>
    </row>
    <row r="358" spans="1:22" x14ac:dyDescent="0.3">
      <c r="A358" s="54">
        <f t="shared" si="11"/>
        <v>357</v>
      </c>
      <c r="B358" s="153" t="s">
        <v>72</v>
      </c>
      <c r="C358" s="8" t="s">
        <v>464</v>
      </c>
      <c r="D358" s="8"/>
      <c r="E358" s="8"/>
      <c r="F358" s="8">
        <v>0</v>
      </c>
      <c r="G358" s="8">
        <v>0</v>
      </c>
      <c r="H358" s="8">
        <v>1</v>
      </c>
      <c r="I358" s="8">
        <v>2</v>
      </c>
      <c r="J358" s="55">
        <f t="shared" si="12"/>
        <v>2</v>
      </c>
      <c r="K358" s="8"/>
      <c r="L358" s="8"/>
      <c r="M358" s="8">
        <v>1</v>
      </c>
      <c r="N358" s="8"/>
      <c r="O358" s="118" t="s">
        <v>13</v>
      </c>
      <c r="P358" s="8" t="s">
        <v>121</v>
      </c>
      <c r="R358" s="8" t="s">
        <v>56</v>
      </c>
      <c r="S358" s="47">
        <v>46186</v>
      </c>
      <c r="T358" t="s">
        <v>54</v>
      </c>
      <c r="U358" s="8" t="s">
        <v>121</v>
      </c>
      <c r="V358" s="47">
        <f>WEEKDAY(S358,2)</f>
        <v>6</v>
      </c>
    </row>
    <row r="359" spans="1:22" x14ac:dyDescent="0.3">
      <c r="A359" s="54">
        <f t="shared" si="11"/>
        <v>358</v>
      </c>
      <c r="B359" s="153" t="s">
        <v>81</v>
      </c>
      <c r="C359" s="8" t="s">
        <v>465</v>
      </c>
      <c r="D359" s="8"/>
      <c r="E359" s="8"/>
      <c r="F359" s="8">
        <v>0</v>
      </c>
      <c r="G359" s="8">
        <v>0</v>
      </c>
      <c r="H359" s="8">
        <v>1</v>
      </c>
      <c r="I359" s="8">
        <v>3</v>
      </c>
      <c r="J359" s="55">
        <f t="shared" si="12"/>
        <v>3</v>
      </c>
      <c r="K359" s="8"/>
      <c r="L359" s="8"/>
      <c r="M359" s="8">
        <v>1</v>
      </c>
      <c r="N359" s="8"/>
      <c r="O359" s="119" t="s">
        <v>17</v>
      </c>
      <c r="P359" s="8" t="s">
        <v>37</v>
      </c>
      <c r="R359" s="116" t="s">
        <v>53</v>
      </c>
      <c r="S359" s="47">
        <v>46186</v>
      </c>
      <c r="T359" t="s">
        <v>54</v>
      </c>
      <c r="U359" s="8" t="s">
        <v>121</v>
      </c>
    </row>
    <row r="360" spans="1:22" x14ac:dyDescent="0.3">
      <c r="A360" s="54">
        <f t="shared" si="11"/>
        <v>359</v>
      </c>
      <c r="B360" s="153" t="s">
        <v>72</v>
      </c>
      <c r="C360" s="8" t="s">
        <v>466</v>
      </c>
      <c r="D360" s="8"/>
      <c r="E360" s="8"/>
      <c r="F360" s="8">
        <v>0</v>
      </c>
      <c r="G360" s="8">
        <v>0</v>
      </c>
      <c r="H360" s="8">
        <v>1</v>
      </c>
      <c r="I360" s="8">
        <v>3</v>
      </c>
      <c r="J360" s="55">
        <f t="shared" si="12"/>
        <v>3</v>
      </c>
      <c r="K360" s="8"/>
      <c r="L360" s="8"/>
      <c r="M360" s="8">
        <v>1</v>
      </c>
      <c r="N360" s="8"/>
      <c r="O360" s="8" t="s">
        <v>12</v>
      </c>
      <c r="P360" s="8" t="s">
        <v>37</v>
      </c>
      <c r="R360" s="116" t="s">
        <v>53</v>
      </c>
      <c r="S360" s="47">
        <v>46186</v>
      </c>
      <c r="T360" t="s">
        <v>54</v>
      </c>
      <c r="U360" s="8" t="s">
        <v>121</v>
      </c>
    </row>
    <row r="361" spans="1:22" x14ac:dyDescent="0.3">
      <c r="A361" s="54">
        <f t="shared" si="11"/>
        <v>360</v>
      </c>
      <c r="B361" s="153" t="s">
        <v>81</v>
      </c>
      <c r="C361" s="8" t="s">
        <v>467</v>
      </c>
      <c r="D361" s="8"/>
      <c r="E361" s="8"/>
      <c r="F361" s="8">
        <v>4</v>
      </c>
      <c r="G361" s="8">
        <v>2</v>
      </c>
      <c r="H361" s="8">
        <v>1</v>
      </c>
      <c r="I361" s="8">
        <v>3</v>
      </c>
      <c r="J361" s="55">
        <f t="shared" si="12"/>
        <v>3</v>
      </c>
      <c r="K361" s="8"/>
      <c r="L361" s="8"/>
      <c r="M361" s="8"/>
      <c r="N361" s="8">
        <v>1</v>
      </c>
      <c r="O361" s="8" t="s">
        <v>18</v>
      </c>
      <c r="P361" s="8" t="s">
        <v>37</v>
      </c>
      <c r="R361" s="116" t="s">
        <v>53</v>
      </c>
      <c r="S361" s="47">
        <v>46186</v>
      </c>
      <c r="T361" t="s">
        <v>54</v>
      </c>
      <c r="U361" s="8" t="s">
        <v>121</v>
      </c>
    </row>
    <row r="362" spans="1:22" x14ac:dyDescent="0.3">
      <c r="A362" s="54">
        <f t="shared" si="11"/>
        <v>361</v>
      </c>
      <c r="B362" s="153" t="s">
        <v>77</v>
      </c>
      <c r="C362" s="8" t="s">
        <v>468</v>
      </c>
      <c r="D362" s="8"/>
      <c r="E362" s="8"/>
      <c r="F362" s="8">
        <v>3</v>
      </c>
      <c r="G362" s="8">
        <v>2</v>
      </c>
      <c r="H362" s="8">
        <v>1</v>
      </c>
      <c r="I362" s="8">
        <v>2</v>
      </c>
      <c r="J362" s="55">
        <f t="shared" si="12"/>
        <v>2</v>
      </c>
      <c r="K362" s="8"/>
      <c r="L362" s="8">
        <v>1</v>
      </c>
      <c r="M362" s="8"/>
      <c r="N362" s="8">
        <v>1</v>
      </c>
      <c r="O362" s="118" t="s">
        <v>13</v>
      </c>
      <c r="P362" s="8" t="s">
        <v>37</v>
      </c>
      <c r="R362" s="8" t="s">
        <v>56</v>
      </c>
      <c r="S362" s="47">
        <v>46188</v>
      </c>
      <c r="T362" t="s">
        <v>54</v>
      </c>
      <c r="U362" s="8" t="s">
        <v>121</v>
      </c>
    </row>
    <row r="363" spans="1:22" x14ac:dyDescent="0.3">
      <c r="A363" s="54">
        <f t="shared" si="11"/>
        <v>362</v>
      </c>
      <c r="B363" s="153" t="s">
        <v>77</v>
      </c>
      <c r="C363" s="8" t="s">
        <v>469</v>
      </c>
      <c r="D363" s="8"/>
      <c r="E363" s="8"/>
      <c r="F363" s="8">
        <v>14</v>
      </c>
      <c r="G363" s="8">
        <v>0</v>
      </c>
      <c r="H363" s="8">
        <v>1</v>
      </c>
      <c r="I363" s="8">
        <v>1</v>
      </c>
      <c r="J363" s="55">
        <f t="shared" si="12"/>
        <v>1</v>
      </c>
      <c r="K363" s="8"/>
      <c r="L363" s="8"/>
      <c r="M363" s="8"/>
      <c r="N363" s="8"/>
      <c r="O363" s="8" t="s">
        <v>18</v>
      </c>
      <c r="P363" s="8" t="s">
        <v>37</v>
      </c>
      <c r="R363" s="8" t="s">
        <v>56</v>
      </c>
      <c r="S363" s="47">
        <v>46188</v>
      </c>
      <c r="T363" t="s">
        <v>54</v>
      </c>
      <c r="U363" s="8" t="s">
        <v>121</v>
      </c>
    </row>
    <row r="364" spans="1:22" x14ac:dyDescent="0.3">
      <c r="A364" s="54">
        <f t="shared" si="11"/>
        <v>363</v>
      </c>
      <c r="B364" s="153" t="s">
        <v>76</v>
      </c>
      <c r="C364" s="8" t="s">
        <v>470</v>
      </c>
      <c r="D364" s="8"/>
      <c r="E364" s="8"/>
      <c r="F364" s="8">
        <v>0</v>
      </c>
      <c r="G364" s="8">
        <v>0</v>
      </c>
      <c r="H364" s="8">
        <v>1</v>
      </c>
      <c r="I364" s="8">
        <v>1</v>
      </c>
      <c r="J364" s="55">
        <f t="shared" si="12"/>
        <v>1</v>
      </c>
      <c r="K364" s="8"/>
      <c r="L364" s="8"/>
      <c r="M364" s="8">
        <v>1</v>
      </c>
      <c r="N364" s="8"/>
      <c r="O364" s="8" t="s">
        <v>18</v>
      </c>
      <c r="P364" s="8" t="s">
        <v>37</v>
      </c>
      <c r="R364" s="8" t="s">
        <v>56</v>
      </c>
      <c r="S364" s="47">
        <v>46188</v>
      </c>
      <c r="T364" t="s">
        <v>54</v>
      </c>
      <c r="U364" s="8" t="s">
        <v>121</v>
      </c>
      <c r="V364" s="47">
        <f>WEEKDAY(S364,2)</f>
        <v>1</v>
      </c>
    </row>
    <row r="365" spans="1:22" x14ac:dyDescent="0.3">
      <c r="A365" s="54">
        <f t="shared" si="11"/>
        <v>364</v>
      </c>
      <c r="B365" s="153" t="s">
        <v>73</v>
      </c>
      <c r="C365" s="8" t="s">
        <v>471</v>
      </c>
      <c r="D365" s="8"/>
      <c r="E365" s="8"/>
      <c r="F365" s="8">
        <v>15</v>
      </c>
      <c r="G365" s="8">
        <v>1</v>
      </c>
      <c r="H365" s="8">
        <v>1</v>
      </c>
      <c r="I365" s="8">
        <v>1</v>
      </c>
      <c r="J365" s="55">
        <f t="shared" si="12"/>
        <v>1</v>
      </c>
      <c r="K365" s="8"/>
      <c r="L365" s="8">
        <v>1</v>
      </c>
      <c r="M365" s="8"/>
      <c r="N365" s="8">
        <v>1</v>
      </c>
      <c r="O365" s="8" t="s">
        <v>18</v>
      </c>
      <c r="P365" s="8" t="s">
        <v>37</v>
      </c>
      <c r="R365" s="8" t="s">
        <v>56</v>
      </c>
      <c r="S365" s="47">
        <v>46188</v>
      </c>
      <c r="T365" t="s">
        <v>54</v>
      </c>
      <c r="U365" s="8" t="s">
        <v>121</v>
      </c>
    </row>
    <row r="366" spans="1:22" x14ac:dyDescent="0.3">
      <c r="A366" s="54">
        <f t="shared" si="11"/>
        <v>365</v>
      </c>
      <c r="B366" s="153" t="s">
        <v>72</v>
      </c>
      <c r="C366" s="8" t="s">
        <v>472</v>
      </c>
      <c r="D366" s="8"/>
      <c r="E366" s="8"/>
      <c r="F366" s="8">
        <v>5</v>
      </c>
      <c r="G366" s="8">
        <v>1</v>
      </c>
      <c r="H366" s="8">
        <v>1</v>
      </c>
      <c r="I366" s="8">
        <v>4</v>
      </c>
      <c r="J366" s="55">
        <f t="shared" si="12"/>
        <v>4</v>
      </c>
      <c r="K366" s="8">
        <v>1</v>
      </c>
      <c r="L366" s="8"/>
      <c r="M366" s="8"/>
      <c r="N366" s="8">
        <v>1</v>
      </c>
      <c r="O366" s="8" t="s">
        <v>12</v>
      </c>
      <c r="P366" s="8" t="s">
        <v>37</v>
      </c>
      <c r="R366" s="116" t="s">
        <v>53</v>
      </c>
      <c r="S366" s="47">
        <v>46188</v>
      </c>
      <c r="T366" t="s">
        <v>54</v>
      </c>
      <c r="U366" s="8" t="s">
        <v>121</v>
      </c>
    </row>
    <row r="367" spans="1:22" x14ac:dyDescent="0.3">
      <c r="A367" s="54">
        <f t="shared" si="11"/>
        <v>366</v>
      </c>
      <c r="B367" s="153" t="s">
        <v>72</v>
      </c>
      <c r="C367" s="8" t="s">
        <v>473</v>
      </c>
      <c r="D367" s="8"/>
      <c r="E367" s="8"/>
      <c r="F367" s="8">
        <v>5</v>
      </c>
      <c r="G367" s="8">
        <v>1</v>
      </c>
      <c r="H367" s="8">
        <v>1</v>
      </c>
      <c r="I367" s="8">
        <v>3</v>
      </c>
      <c r="J367" s="55">
        <f t="shared" si="12"/>
        <v>3</v>
      </c>
      <c r="K367" s="8"/>
      <c r="L367" s="8"/>
      <c r="M367" s="8"/>
      <c r="N367" s="8">
        <v>1</v>
      </c>
      <c r="O367" s="119" t="s">
        <v>17</v>
      </c>
      <c r="P367" s="8" t="s">
        <v>121</v>
      </c>
      <c r="R367" s="116" t="s">
        <v>53</v>
      </c>
      <c r="S367" s="47">
        <v>46188</v>
      </c>
      <c r="T367" t="s">
        <v>54</v>
      </c>
      <c r="U367" s="8" t="s">
        <v>121</v>
      </c>
      <c r="V367" s="47">
        <f>WEEKDAY(S367,2)</f>
        <v>1</v>
      </c>
    </row>
    <row r="368" spans="1:22" x14ac:dyDescent="0.3">
      <c r="A368" s="54">
        <f t="shared" si="11"/>
        <v>367</v>
      </c>
      <c r="B368" s="153" t="s">
        <v>72</v>
      </c>
      <c r="C368" s="8" t="s">
        <v>474</v>
      </c>
      <c r="D368" s="8"/>
      <c r="E368" s="8"/>
      <c r="F368" s="8">
        <v>5</v>
      </c>
      <c r="G368" s="8">
        <v>1</v>
      </c>
      <c r="H368" s="8">
        <v>1</v>
      </c>
      <c r="I368" s="8">
        <v>3</v>
      </c>
      <c r="J368" s="55">
        <f t="shared" si="12"/>
        <v>3</v>
      </c>
      <c r="K368" s="8"/>
      <c r="L368" s="8"/>
      <c r="M368" s="8"/>
      <c r="N368" s="8">
        <v>1</v>
      </c>
      <c r="O368" s="119" t="s">
        <v>11</v>
      </c>
      <c r="P368" s="8" t="s">
        <v>37</v>
      </c>
      <c r="R368" s="116" t="s">
        <v>53</v>
      </c>
      <c r="S368" s="47">
        <v>46188</v>
      </c>
      <c r="T368" t="s">
        <v>54</v>
      </c>
      <c r="U368" s="8" t="s">
        <v>121</v>
      </c>
    </row>
    <row r="369" spans="1:20" ht="51.75" customHeight="1" x14ac:dyDescent="0.3">
      <c r="A369" s="54">
        <f t="shared" si="11"/>
        <v>368</v>
      </c>
      <c r="B369" s="153" t="s">
        <v>72</v>
      </c>
      <c r="C369" s="120" t="s">
        <v>475</v>
      </c>
      <c r="D369" s="116"/>
      <c r="E369" s="116"/>
      <c r="F369" s="116">
        <v>20</v>
      </c>
      <c r="G369" s="116">
        <v>1</v>
      </c>
      <c r="H369" s="116">
        <v>1</v>
      </c>
      <c r="I369" s="116">
        <v>3</v>
      </c>
      <c r="J369" s="55">
        <f t="shared" si="12"/>
        <v>3</v>
      </c>
      <c r="K369" s="116"/>
      <c r="L369" s="116"/>
      <c r="M369" s="116">
        <v>1</v>
      </c>
      <c r="N369" s="116"/>
      <c r="O369" s="116" t="s">
        <v>13</v>
      </c>
      <c r="P369" s="8" t="s">
        <v>37</v>
      </c>
      <c r="R369" s="116" t="s">
        <v>58</v>
      </c>
      <c r="S369" s="47">
        <v>46189</v>
      </c>
      <c r="T369" t="s">
        <v>54</v>
      </c>
    </row>
    <row r="370" spans="1:20" ht="26.25" customHeight="1" x14ac:dyDescent="0.3">
      <c r="A370" s="54">
        <f t="shared" si="11"/>
        <v>369</v>
      </c>
      <c r="B370" s="153" t="s">
        <v>76</v>
      </c>
      <c r="C370" s="120" t="s">
        <v>476</v>
      </c>
      <c r="D370" s="116"/>
      <c r="E370" s="116"/>
      <c r="F370" s="116">
        <v>0</v>
      </c>
      <c r="G370" s="116">
        <v>0</v>
      </c>
      <c r="H370" s="116">
        <v>1</v>
      </c>
      <c r="I370" s="116">
        <v>3</v>
      </c>
      <c r="J370" s="55">
        <f t="shared" si="12"/>
        <v>3</v>
      </c>
      <c r="K370" s="116"/>
      <c r="L370" s="116"/>
      <c r="M370" s="116">
        <v>1</v>
      </c>
      <c r="N370" s="116"/>
      <c r="O370" s="116" t="s">
        <v>13</v>
      </c>
      <c r="P370" s="116" t="s">
        <v>121</v>
      </c>
      <c r="R370" s="116" t="s">
        <v>58</v>
      </c>
      <c r="S370" s="47">
        <v>46189</v>
      </c>
      <c r="T370" t="s">
        <v>54</v>
      </c>
    </row>
    <row r="371" spans="1:20" ht="26.25" customHeight="1" x14ac:dyDescent="0.3">
      <c r="A371" s="54">
        <f t="shared" si="11"/>
        <v>370</v>
      </c>
      <c r="B371" s="153" t="s">
        <v>76</v>
      </c>
      <c r="C371" s="120" t="s">
        <v>477</v>
      </c>
      <c r="D371" s="116"/>
      <c r="E371" s="116"/>
      <c r="F371" s="116">
        <v>8</v>
      </c>
      <c r="G371" s="116">
        <v>17</v>
      </c>
      <c r="H371" s="116">
        <v>1</v>
      </c>
      <c r="I371" s="116">
        <v>3</v>
      </c>
      <c r="J371" s="55">
        <f t="shared" ref="J371:J402" si="13">I371*H371</f>
        <v>3</v>
      </c>
      <c r="K371" s="116"/>
      <c r="L371" s="116"/>
      <c r="M371" s="116"/>
      <c r="N371" s="116">
        <v>1</v>
      </c>
      <c r="O371" s="116" t="s">
        <v>18</v>
      </c>
      <c r="P371" s="116" t="s">
        <v>37</v>
      </c>
      <c r="R371" s="116" t="s">
        <v>58</v>
      </c>
      <c r="S371" s="47">
        <v>46189</v>
      </c>
      <c r="T371" t="s">
        <v>54</v>
      </c>
    </row>
    <row r="372" spans="1:20" x14ac:dyDescent="0.3">
      <c r="A372" s="54">
        <f t="shared" si="11"/>
        <v>371</v>
      </c>
      <c r="B372" s="153" t="s">
        <v>76</v>
      </c>
      <c r="C372" s="120" t="s">
        <v>478</v>
      </c>
      <c r="D372" s="116"/>
      <c r="E372" s="116"/>
      <c r="F372" s="116">
        <v>12</v>
      </c>
      <c r="G372" s="116">
        <v>0</v>
      </c>
      <c r="H372" s="116">
        <v>1</v>
      </c>
      <c r="I372" s="116">
        <v>2</v>
      </c>
      <c r="J372" s="55">
        <f t="shared" si="13"/>
        <v>2</v>
      </c>
      <c r="K372" s="116"/>
      <c r="L372" s="116"/>
      <c r="M372" s="116">
        <v>1</v>
      </c>
      <c r="N372" s="116"/>
      <c r="O372" s="45" t="s">
        <v>38</v>
      </c>
      <c r="P372" s="116" t="s">
        <v>37</v>
      </c>
      <c r="R372" s="116" t="s">
        <v>58</v>
      </c>
      <c r="S372" s="47">
        <v>46189</v>
      </c>
      <c r="T372" t="s">
        <v>54</v>
      </c>
    </row>
    <row r="373" spans="1:20" x14ac:dyDescent="0.3">
      <c r="A373" s="54">
        <f t="shared" si="11"/>
        <v>372</v>
      </c>
      <c r="B373" s="153" t="s">
        <v>73</v>
      </c>
      <c r="C373" s="120" t="s">
        <v>479</v>
      </c>
      <c r="D373" s="116"/>
      <c r="E373" s="116"/>
      <c r="F373" s="116">
        <v>6</v>
      </c>
      <c r="G373" s="116">
        <v>0</v>
      </c>
      <c r="H373" s="116">
        <v>1</v>
      </c>
      <c r="I373" s="116">
        <v>1</v>
      </c>
      <c r="J373" s="55">
        <f t="shared" si="13"/>
        <v>1</v>
      </c>
      <c r="K373" s="116"/>
      <c r="L373" s="116"/>
      <c r="M373" s="116"/>
      <c r="N373" s="116">
        <v>1</v>
      </c>
      <c r="O373" s="116" t="s">
        <v>48</v>
      </c>
      <c r="P373" s="116" t="s">
        <v>37</v>
      </c>
      <c r="R373" s="116" t="s">
        <v>58</v>
      </c>
      <c r="S373" s="47">
        <v>46189</v>
      </c>
      <c r="T373" t="s">
        <v>54</v>
      </c>
    </row>
    <row r="374" spans="1:20" x14ac:dyDescent="0.3">
      <c r="A374" s="54">
        <f t="shared" si="11"/>
        <v>373</v>
      </c>
      <c r="B374" s="153" t="s">
        <v>86</v>
      </c>
      <c r="C374" s="35" t="s">
        <v>480</v>
      </c>
      <c r="F374">
        <v>0</v>
      </c>
      <c r="G374">
        <v>3</v>
      </c>
      <c r="H374">
        <v>1</v>
      </c>
      <c r="I374">
        <v>4</v>
      </c>
      <c r="J374" s="55">
        <f t="shared" si="13"/>
        <v>4</v>
      </c>
      <c r="K374">
        <v>1</v>
      </c>
      <c r="N374">
        <v>1</v>
      </c>
      <c r="O374" t="s">
        <v>12</v>
      </c>
      <c r="P374" t="s">
        <v>37</v>
      </c>
      <c r="R374" s="116" t="s">
        <v>53</v>
      </c>
      <c r="S374" s="47">
        <v>46189</v>
      </c>
      <c r="T374" t="s">
        <v>54</v>
      </c>
    </row>
    <row r="375" spans="1:20" x14ac:dyDescent="0.3">
      <c r="A375" s="54">
        <f t="shared" si="11"/>
        <v>374</v>
      </c>
      <c r="B375" s="153" t="s">
        <v>79</v>
      </c>
      <c r="C375" s="35" t="s">
        <v>481</v>
      </c>
      <c r="F375">
        <v>0</v>
      </c>
      <c r="G375">
        <v>2</v>
      </c>
      <c r="H375">
        <v>1</v>
      </c>
      <c r="I375">
        <v>4</v>
      </c>
      <c r="J375" s="55">
        <f t="shared" si="13"/>
        <v>4</v>
      </c>
      <c r="K375">
        <v>1</v>
      </c>
      <c r="N375">
        <v>1</v>
      </c>
      <c r="O375" s="121" t="s">
        <v>17</v>
      </c>
      <c r="P375" t="s">
        <v>37</v>
      </c>
      <c r="R375" s="116" t="s">
        <v>53</v>
      </c>
      <c r="S375" s="47">
        <v>46189</v>
      </c>
      <c r="T375" t="s">
        <v>54</v>
      </c>
    </row>
    <row r="376" spans="1:20" x14ac:dyDescent="0.3">
      <c r="A376" s="54">
        <f t="shared" si="11"/>
        <v>375</v>
      </c>
      <c r="B376" s="153" t="s">
        <v>76</v>
      </c>
      <c r="C376" s="35" t="s">
        <v>482</v>
      </c>
      <c r="F376">
        <v>2</v>
      </c>
      <c r="G376">
        <v>0</v>
      </c>
      <c r="H376">
        <v>1</v>
      </c>
      <c r="I376">
        <v>1</v>
      </c>
      <c r="J376" s="55">
        <f t="shared" si="13"/>
        <v>1</v>
      </c>
      <c r="O376" s="122" t="s">
        <v>9</v>
      </c>
      <c r="P376" t="s">
        <v>37</v>
      </c>
      <c r="R376" s="116" t="s">
        <v>58</v>
      </c>
      <c r="S376" s="47">
        <v>46189</v>
      </c>
      <c r="T376" t="s">
        <v>54</v>
      </c>
    </row>
    <row r="377" spans="1:20" x14ac:dyDescent="0.3">
      <c r="A377" s="54">
        <f t="shared" si="11"/>
        <v>376</v>
      </c>
      <c r="B377" s="153" t="s">
        <v>78</v>
      </c>
      <c r="C377" s="35" t="s">
        <v>483</v>
      </c>
      <c r="F377">
        <v>0</v>
      </c>
      <c r="G377">
        <v>0</v>
      </c>
      <c r="H377">
        <v>1</v>
      </c>
      <c r="I377">
        <v>3</v>
      </c>
      <c r="J377" s="55">
        <f t="shared" si="13"/>
        <v>3</v>
      </c>
      <c r="M377">
        <v>1</v>
      </c>
      <c r="O377" t="s">
        <v>13</v>
      </c>
      <c r="P377" t="s">
        <v>37</v>
      </c>
      <c r="R377" s="116" t="s">
        <v>53</v>
      </c>
      <c r="S377" s="47">
        <v>46189</v>
      </c>
      <c r="T377" t="s">
        <v>54</v>
      </c>
    </row>
    <row r="378" spans="1:20" x14ac:dyDescent="0.3">
      <c r="A378" s="54">
        <f t="shared" si="11"/>
        <v>377</v>
      </c>
      <c r="B378" s="153" t="s">
        <v>72</v>
      </c>
      <c r="C378" s="35" t="s">
        <v>484</v>
      </c>
      <c r="F378">
        <v>0</v>
      </c>
      <c r="G378">
        <v>0</v>
      </c>
      <c r="H378">
        <v>1</v>
      </c>
      <c r="I378">
        <v>2</v>
      </c>
      <c r="J378" s="55">
        <f t="shared" si="13"/>
        <v>2</v>
      </c>
      <c r="M378">
        <v>1</v>
      </c>
      <c r="O378" t="s">
        <v>16</v>
      </c>
      <c r="P378" t="s">
        <v>121</v>
      </c>
      <c r="R378" s="116" t="s">
        <v>53</v>
      </c>
      <c r="S378" s="47">
        <v>46189</v>
      </c>
      <c r="T378" t="s">
        <v>54</v>
      </c>
    </row>
    <row r="379" spans="1:20" x14ac:dyDescent="0.3">
      <c r="A379" s="54">
        <f t="shared" si="11"/>
        <v>378</v>
      </c>
      <c r="B379" s="153" t="s">
        <v>83</v>
      </c>
      <c r="C379" s="35" t="s">
        <v>485</v>
      </c>
      <c r="F379">
        <v>0</v>
      </c>
      <c r="G379">
        <v>0</v>
      </c>
      <c r="H379">
        <v>1</v>
      </c>
      <c r="I379">
        <v>2</v>
      </c>
      <c r="J379" s="55">
        <f t="shared" si="13"/>
        <v>2</v>
      </c>
      <c r="M379">
        <v>1</v>
      </c>
      <c r="O379" s="122" t="s">
        <v>9</v>
      </c>
      <c r="P379" t="s">
        <v>121</v>
      </c>
      <c r="R379" s="116" t="s">
        <v>53</v>
      </c>
      <c r="S379" s="47">
        <v>46189</v>
      </c>
      <c r="T379" t="s">
        <v>54</v>
      </c>
    </row>
    <row r="380" spans="1:20" x14ac:dyDescent="0.3">
      <c r="A380" s="54">
        <f t="shared" si="11"/>
        <v>379</v>
      </c>
      <c r="B380" s="153" t="s">
        <v>73</v>
      </c>
      <c r="C380" s="35" t="s">
        <v>486</v>
      </c>
      <c r="F380">
        <v>7</v>
      </c>
      <c r="G380">
        <v>1</v>
      </c>
      <c r="H380">
        <v>1</v>
      </c>
      <c r="I380">
        <v>3</v>
      </c>
      <c r="J380" s="55">
        <f t="shared" si="13"/>
        <v>3</v>
      </c>
      <c r="L380">
        <v>1</v>
      </c>
      <c r="N380">
        <v>1</v>
      </c>
      <c r="O380" s="121" t="s">
        <v>17</v>
      </c>
      <c r="P380" t="s">
        <v>37</v>
      </c>
      <c r="R380" t="s">
        <v>59</v>
      </c>
      <c r="S380" s="47">
        <v>46189</v>
      </c>
      <c r="T380" t="s">
        <v>54</v>
      </c>
    </row>
    <row r="381" spans="1:20" x14ac:dyDescent="0.3">
      <c r="A381" s="54">
        <f t="shared" si="11"/>
        <v>380</v>
      </c>
      <c r="B381" s="153" t="s">
        <v>77</v>
      </c>
      <c r="C381" s="35" t="s">
        <v>487</v>
      </c>
      <c r="F381">
        <v>0</v>
      </c>
      <c r="G381">
        <v>0</v>
      </c>
      <c r="H381">
        <v>1</v>
      </c>
      <c r="I381">
        <v>3</v>
      </c>
      <c r="J381" s="55">
        <f t="shared" si="13"/>
        <v>3</v>
      </c>
      <c r="M381">
        <v>1</v>
      </c>
      <c r="O381" s="121" t="s">
        <v>17</v>
      </c>
      <c r="P381" t="s">
        <v>37</v>
      </c>
      <c r="R381" t="s">
        <v>59</v>
      </c>
      <c r="S381" s="47">
        <v>46189</v>
      </c>
      <c r="T381" t="s">
        <v>54</v>
      </c>
    </row>
    <row r="382" spans="1:20" x14ac:dyDescent="0.3">
      <c r="A382" s="54">
        <f t="shared" si="11"/>
        <v>381</v>
      </c>
      <c r="B382" s="153" t="s">
        <v>85</v>
      </c>
      <c r="C382" s="35" t="s">
        <v>488</v>
      </c>
      <c r="F382">
        <v>9</v>
      </c>
      <c r="G382">
        <v>2</v>
      </c>
      <c r="H382">
        <v>1</v>
      </c>
      <c r="I382">
        <v>3</v>
      </c>
      <c r="J382" s="55">
        <f t="shared" si="13"/>
        <v>3</v>
      </c>
      <c r="N382">
        <v>1</v>
      </c>
      <c r="O382" s="121" t="s">
        <v>17</v>
      </c>
      <c r="P382" t="s">
        <v>121</v>
      </c>
      <c r="R382" s="116" t="s">
        <v>53</v>
      </c>
      <c r="S382" s="47">
        <v>46189</v>
      </c>
      <c r="T382" t="s">
        <v>54</v>
      </c>
    </row>
    <row r="383" spans="1:20" x14ac:dyDescent="0.3">
      <c r="A383" s="54">
        <f t="shared" si="11"/>
        <v>382</v>
      </c>
      <c r="B383" s="153" t="s">
        <v>83</v>
      </c>
      <c r="C383" s="35" t="s">
        <v>489</v>
      </c>
      <c r="F383">
        <v>0</v>
      </c>
      <c r="G383">
        <v>0</v>
      </c>
      <c r="H383">
        <v>1</v>
      </c>
      <c r="I383">
        <v>3</v>
      </c>
      <c r="J383" s="55">
        <f t="shared" si="13"/>
        <v>3</v>
      </c>
      <c r="M383">
        <v>1</v>
      </c>
      <c r="O383" s="121" t="s">
        <v>17</v>
      </c>
      <c r="P383" t="s">
        <v>121</v>
      </c>
      <c r="R383" s="116" t="s">
        <v>53</v>
      </c>
      <c r="S383" s="47">
        <v>46189</v>
      </c>
      <c r="T383" t="s">
        <v>54</v>
      </c>
    </row>
    <row r="384" spans="1:20" x14ac:dyDescent="0.3">
      <c r="A384" s="54">
        <f t="shared" si="11"/>
        <v>383</v>
      </c>
      <c r="B384" s="153" t="s">
        <v>82</v>
      </c>
      <c r="C384" s="35" t="s">
        <v>490</v>
      </c>
      <c r="F384">
        <v>3</v>
      </c>
      <c r="G384">
        <v>1</v>
      </c>
      <c r="H384">
        <v>1</v>
      </c>
      <c r="I384">
        <v>3</v>
      </c>
      <c r="J384" s="55">
        <f t="shared" si="13"/>
        <v>3</v>
      </c>
      <c r="N384">
        <v>1</v>
      </c>
      <c r="O384" s="121" t="s">
        <v>17</v>
      </c>
      <c r="P384" t="s">
        <v>121</v>
      </c>
      <c r="R384" s="116" t="s">
        <v>53</v>
      </c>
      <c r="S384" s="47">
        <v>46189</v>
      </c>
      <c r="T384" t="s">
        <v>54</v>
      </c>
    </row>
    <row r="385" spans="1:35" x14ac:dyDescent="0.3">
      <c r="A385" s="54">
        <f t="shared" si="11"/>
        <v>384</v>
      </c>
      <c r="B385" s="153" t="s">
        <v>76</v>
      </c>
      <c r="C385" s="35" t="s">
        <v>491</v>
      </c>
      <c r="F385">
        <v>0</v>
      </c>
      <c r="G385">
        <v>1</v>
      </c>
      <c r="H385">
        <v>1</v>
      </c>
      <c r="I385">
        <v>3</v>
      </c>
      <c r="J385" s="55">
        <f t="shared" si="13"/>
        <v>3</v>
      </c>
      <c r="M385">
        <v>1</v>
      </c>
      <c r="O385" s="121" t="s">
        <v>17</v>
      </c>
      <c r="P385" t="s">
        <v>121</v>
      </c>
      <c r="R385" t="s">
        <v>59</v>
      </c>
      <c r="S385" s="47">
        <v>46190</v>
      </c>
      <c r="T385" t="s">
        <v>54</v>
      </c>
    </row>
    <row r="386" spans="1:35" x14ac:dyDescent="0.3">
      <c r="A386" s="54">
        <f t="shared" si="11"/>
        <v>385</v>
      </c>
      <c r="B386" s="153" t="s">
        <v>72</v>
      </c>
      <c r="C386" s="35" t="s">
        <v>492</v>
      </c>
      <c r="F386">
        <v>7</v>
      </c>
      <c r="G386">
        <v>0</v>
      </c>
      <c r="H386">
        <v>1</v>
      </c>
      <c r="I386">
        <v>1</v>
      </c>
      <c r="J386" s="55">
        <f t="shared" si="13"/>
        <v>1</v>
      </c>
      <c r="N386">
        <v>1</v>
      </c>
      <c r="O386" s="45" t="s">
        <v>38</v>
      </c>
      <c r="P386" t="s">
        <v>37</v>
      </c>
      <c r="R386" t="s">
        <v>59</v>
      </c>
      <c r="S386" s="47">
        <v>46190</v>
      </c>
      <c r="T386" t="s">
        <v>54</v>
      </c>
    </row>
    <row r="387" spans="1:35" x14ac:dyDescent="0.3">
      <c r="A387" s="54">
        <f t="shared" ref="A387:A450" si="14">A386+1</f>
        <v>386</v>
      </c>
      <c r="B387" s="153" t="s">
        <v>79</v>
      </c>
      <c r="C387" s="35" t="s">
        <v>493</v>
      </c>
      <c r="F387">
        <v>8</v>
      </c>
      <c r="G387">
        <v>2</v>
      </c>
      <c r="H387">
        <v>1</v>
      </c>
      <c r="I387">
        <v>2</v>
      </c>
      <c r="J387" s="55">
        <f t="shared" si="13"/>
        <v>2</v>
      </c>
      <c r="N387">
        <v>1</v>
      </c>
      <c r="O387" s="121" t="s">
        <v>17</v>
      </c>
      <c r="P387" t="s">
        <v>121</v>
      </c>
      <c r="R387" s="116" t="s">
        <v>53</v>
      </c>
      <c r="S387" s="47">
        <v>46190</v>
      </c>
      <c r="T387" t="s">
        <v>54</v>
      </c>
      <c r="AH387" s="125" t="s">
        <v>9</v>
      </c>
      <c r="AI387" s="125">
        <v>2.69</v>
      </c>
    </row>
    <row r="388" spans="1:35" x14ac:dyDescent="0.3">
      <c r="A388" s="54">
        <f t="shared" si="14"/>
        <v>387</v>
      </c>
      <c r="B388" s="153" t="s">
        <v>73</v>
      </c>
      <c r="C388" s="35" t="s">
        <v>494</v>
      </c>
      <c r="F388">
        <v>10</v>
      </c>
      <c r="G388">
        <v>0</v>
      </c>
      <c r="H388">
        <v>1</v>
      </c>
      <c r="I388">
        <v>4</v>
      </c>
      <c r="J388" s="55">
        <f t="shared" si="13"/>
        <v>4</v>
      </c>
      <c r="K388">
        <v>1</v>
      </c>
      <c r="M388">
        <v>1</v>
      </c>
      <c r="O388" s="121" t="s">
        <v>17</v>
      </c>
      <c r="P388" t="s">
        <v>37</v>
      </c>
      <c r="R388" s="116" t="s">
        <v>53</v>
      </c>
      <c r="S388" s="47">
        <v>46190</v>
      </c>
      <c r="T388" t="s">
        <v>54</v>
      </c>
      <c r="AH388" t="s">
        <v>11</v>
      </c>
      <c r="AI388">
        <v>2.88</v>
      </c>
    </row>
    <row r="389" spans="1:35" x14ac:dyDescent="0.3">
      <c r="A389" s="54">
        <f t="shared" si="14"/>
        <v>388</v>
      </c>
      <c r="B389" s="153" t="s">
        <v>75</v>
      </c>
      <c r="C389" s="35" t="s">
        <v>495</v>
      </c>
      <c r="F389">
        <v>6</v>
      </c>
      <c r="G389">
        <v>1</v>
      </c>
      <c r="H389">
        <v>1</v>
      </c>
      <c r="I389">
        <v>3</v>
      </c>
      <c r="J389" s="55">
        <f t="shared" si="13"/>
        <v>3</v>
      </c>
      <c r="N389">
        <v>1</v>
      </c>
      <c r="O389" s="121" t="s">
        <v>17</v>
      </c>
      <c r="P389" t="s">
        <v>121</v>
      </c>
      <c r="R389" s="116" t="s">
        <v>53</v>
      </c>
      <c r="S389" s="47">
        <v>46190</v>
      </c>
      <c r="T389" t="s">
        <v>54</v>
      </c>
      <c r="AH389" t="s">
        <v>46</v>
      </c>
      <c r="AI389">
        <v>3.04</v>
      </c>
    </row>
    <row r="390" spans="1:35" x14ac:dyDescent="0.3">
      <c r="A390" s="54">
        <f t="shared" si="14"/>
        <v>389</v>
      </c>
      <c r="B390" s="153" t="s">
        <v>78</v>
      </c>
      <c r="C390" s="35" t="s">
        <v>496</v>
      </c>
      <c r="F390">
        <v>0</v>
      </c>
      <c r="G390">
        <v>0</v>
      </c>
      <c r="H390">
        <v>1</v>
      </c>
      <c r="I390">
        <v>2</v>
      </c>
      <c r="J390" s="55">
        <f t="shared" si="13"/>
        <v>2</v>
      </c>
      <c r="M390">
        <v>1</v>
      </c>
      <c r="O390" s="121" t="s">
        <v>17</v>
      </c>
      <c r="P390" t="s">
        <v>121</v>
      </c>
      <c r="R390" s="116" t="s">
        <v>53</v>
      </c>
      <c r="S390" s="47">
        <v>46190</v>
      </c>
      <c r="T390" t="s">
        <v>54</v>
      </c>
      <c r="AH390" t="s">
        <v>497</v>
      </c>
      <c r="AI390">
        <v>2.46</v>
      </c>
    </row>
    <row r="391" spans="1:35" x14ac:dyDescent="0.3">
      <c r="A391" s="54">
        <f t="shared" si="14"/>
        <v>390</v>
      </c>
      <c r="B391" s="153" t="s">
        <v>78</v>
      </c>
      <c r="C391" s="35" t="s">
        <v>498</v>
      </c>
      <c r="F391">
        <v>0</v>
      </c>
      <c r="G391">
        <v>0</v>
      </c>
      <c r="H391">
        <v>1</v>
      </c>
      <c r="I391">
        <v>2</v>
      </c>
      <c r="J391" s="55">
        <f t="shared" si="13"/>
        <v>2</v>
      </c>
      <c r="M391">
        <v>1</v>
      </c>
      <c r="O391" s="121" t="s">
        <v>17</v>
      </c>
      <c r="P391" t="s">
        <v>121</v>
      </c>
      <c r="R391" s="116" t="s">
        <v>53</v>
      </c>
      <c r="S391" s="47">
        <v>46190</v>
      </c>
      <c r="T391" t="s">
        <v>54</v>
      </c>
      <c r="AH391" t="s">
        <v>15</v>
      </c>
      <c r="AI391">
        <v>2.61</v>
      </c>
    </row>
    <row r="392" spans="1:35" x14ac:dyDescent="0.3">
      <c r="A392" s="54">
        <f t="shared" si="14"/>
        <v>391</v>
      </c>
      <c r="B392" s="153" t="s">
        <v>75</v>
      </c>
      <c r="C392" s="35" t="s">
        <v>499</v>
      </c>
      <c r="F392">
        <v>0</v>
      </c>
      <c r="G392">
        <v>0</v>
      </c>
      <c r="H392">
        <v>1</v>
      </c>
      <c r="I392">
        <v>3</v>
      </c>
      <c r="J392" s="55">
        <f t="shared" si="13"/>
        <v>3</v>
      </c>
      <c r="M392">
        <v>1</v>
      </c>
      <c r="O392" t="s">
        <v>12</v>
      </c>
      <c r="P392" t="s">
        <v>121</v>
      </c>
      <c r="R392" s="116" t="s">
        <v>53</v>
      </c>
      <c r="S392" s="47">
        <v>46190</v>
      </c>
      <c r="T392" t="s">
        <v>54</v>
      </c>
      <c r="AH392" t="s">
        <v>17</v>
      </c>
      <c r="AI392">
        <v>2.95</v>
      </c>
    </row>
    <row r="393" spans="1:35" x14ac:dyDescent="0.3">
      <c r="A393" s="54">
        <f t="shared" si="14"/>
        <v>392</v>
      </c>
      <c r="B393" s="153" t="s">
        <v>77</v>
      </c>
      <c r="C393" s="35" t="s">
        <v>500</v>
      </c>
      <c r="F393">
        <v>0</v>
      </c>
      <c r="G393">
        <v>0</v>
      </c>
      <c r="H393">
        <v>1</v>
      </c>
      <c r="I393">
        <v>4</v>
      </c>
      <c r="J393" s="55">
        <f t="shared" si="13"/>
        <v>4</v>
      </c>
      <c r="K393">
        <v>1</v>
      </c>
      <c r="M393">
        <v>1</v>
      </c>
      <c r="O393" t="s">
        <v>12</v>
      </c>
      <c r="P393" t="s">
        <v>121</v>
      </c>
      <c r="R393" s="116" t="s">
        <v>53</v>
      </c>
      <c r="S393" s="47">
        <v>46190</v>
      </c>
      <c r="T393" t="s">
        <v>54</v>
      </c>
      <c r="AH393" t="s">
        <v>18</v>
      </c>
      <c r="AI393">
        <v>2.52</v>
      </c>
    </row>
    <row r="394" spans="1:35" x14ac:dyDescent="0.3">
      <c r="A394" s="54">
        <f t="shared" si="14"/>
        <v>393</v>
      </c>
      <c r="B394" s="153" t="s">
        <v>77</v>
      </c>
      <c r="C394" s="35" t="s">
        <v>501</v>
      </c>
      <c r="F394">
        <v>0</v>
      </c>
      <c r="G394">
        <v>0</v>
      </c>
      <c r="H394">
        <v>1</v>
      </c>
      <c r="I394">
        <v>4</v>
      </c>
      <c r="J394" s="55">
        <f t="shared" si="13"/>
        <v>4</v>
      </c>
      <c r="K394">
        <v>1</v>
      </c>
      <c r="M394">
        <v>1</v>
      </c>
      <c r="O394" t="s">
        <v>12</v>
      </c>
      <c r="P394" t="s">
        <v>37</v>
      </c>
      <c r="R394" s="116" t="s">
        <v>53</v>
      </c>
      <c r="S394" s="47">
        <v>46190</v>
      </c>
      <c r="T394" t="s">
        <v>54</v>
      </c>
      <c r="AH394" t="s">
        <v>38</v>
      </c>
      <c r="AI394">
        <v>2.5299999999999998</v>
      </c>
    </row>
    <row r="395" spans="1:35" x14ac:dyDescent="0.3">
      <c r="A395" s="54">
        <f t="shared" si="14"/>
        <v>394</v>
      </c>
      <c r="B395" s="153" t="s">
        <v>84</v>
      </c>
      <c r="C395" s="35" t="s">
        <v>502</v>
      </c>
      <c r="F395">
        <v>6</v>
      </c>
      <c r="G395">
        <v>2</v>
      </c>
      <c r="H395">
        <v>1</v>
      </c>
      <c r="I395">
        <v>3</v>
      </c>
      <c r="J395" s="55">
        <f t="shared" si="13"/>
        <v>3</v>
      </c>
      <c r="N395">
        <v>1</v>
      </c>
      <c r="O395" t="s">
        <v>12</v>
      </c>
      <c r="P395" t="s">
        <v>37</v>
      </c>
      <c r="R395" s="116" t="s">
        <v>53</v>
      </c>
      <c r="S395" s="47">
        <v>46190</v>
      </c>
      <c r="T395" t="s">
        <v>54</v>
      </c>
    </row>
    <row r="396" spans="1:35" x14ac:dyDescent="0.3">
      <c r="A396" s="54">
        <f t="shared" si="14"/>
        <v>395</v>
      </c>
      <c r="B396" s="153" t="s">
        <v>84</v>
      </c>
      <c r="C396" s="35" t="s">
        <v>503</v>
      </c>
      <c r="F396">
        <v>5</v>
      </c>
      <c r="G396">
        <v>1</v>
      </c>
      <c r="H396">
        <v>1</v>
      </c>
      <c r="I396">
        <v>3</v>
      </c>
      <c r="J396" s="55">
        <f t="shared" si="13"/>
        <v>3</v>
      </c>
      <c r="N396">
        <v>1</v>
      </c>
      <c r="O396" s="121" t="s">
        <v>11</v>
      </c>
      <c r="P396" t="s">
        <v>37</v>
      </c>
      <c r="R396" s="116" t="s">
        <v>53</v>
      </c>
      <c r="S396" s="47">
        <v>46190</v>
      </c>
      <c r="T396" t="s">
        <v>54</v>
      </c>
    </row>
    <row r="397" spans="1:35" x14ac:dyDescent="0.3">
      <c r="A397" s="54">
        <f t="shared" si="14"/>
        <v>396</v>
      </c>
      <c r="B397" s="153" t="s">
        <v>72</v>
      </c>
      <c r="C397" s="123" t="s">
        <v>504</v>
      </c>
      <c r="H397">
        <v>1</v>
      </c>
      <c r="I397">
        <v>3</v>
      </c>
      <c r="J397" s="55">
        <f t="shared" si="13"/>
        <v>3</v>
      </c>
      <c r="M397">
        <v>1</v>
      </c>
      <c r="O397" t="s">
        <v>12</v>
      </c>
      <c r="P397" t="s">
        <v>121</v>
      </c>
      <c r="R397" s="116" t="s">
        <v>53</v>
      </c>
      <c r="S397" s="47">
        <v>46190</v>
      </c>
      <c r="T397" t="s">
        <v>54</v>
      </c>
    </row>
    <row r="398" spans="1:35" x14ac:dyDescent="0.3">
      <c r="A398" s="54">
        <f t="shared" si="14"/>
        <v>397</v>
      </c>
      <c r="B398" s="153" t="s">
        <v>72</v>
      </c>
      <c r="C398" s="120" t="s">
        <v>505</v>
      </c>
      <c r="D398" s="116"/>
      <c r="E398" s="116"/>
      <c r="F398" s="116">
        <v>4</v>
      </c>
      <c r="G398" s="116">
        <v>2</v>
      </c>
      <c r="H398" s="116">
        <v>1</v>
      </c>
      <c r="I398" s="116">
        <v>3</v>
      </c>
      <c r="J398" s="55">
        <f t="shared" si="13"/>
        <v>3</v>
      </c>
      <c r="K398" s="116"/>
      <c r="L398" s="116"/>
      <c r="M398" s="116">
        <v>1</v>
      </c>
      <c r="N398" s="116"/>
      <c r="O398" s="121" t="s">
        <v>17</v>
      </c>
      <c r="P398" s="116" t="s">
        <v>121</v>
      </c>
      <c r="R398" s="116" t="s">
        <v>53</v>
      </c>
      <c r="S398" s="47">
        <v>46190</v>
      </c>
      <c r="T398" t="s">
        <v>54</v>
      </c>
    </row>
    <row r="399" spans="1:35" s="129" customFormat="1" x14ac:dyDescent="0.3">
      <c r="A399" s="54">
        <f t="shared" si="14"/>
        <v>398</v>
      </c>
      <c r="B399" s="153" t="s">
        <v>73</v>
      </c>
      <c r="C399" s="50" t="s">
        <v>506</v>
      </c>
      <c r="D399" s="127"/>
      <c r="E399" s="127"/>
      <c r="F399" s="127">
        <v>4</v>
      </c>
      <c r="G399" s="127">
        <v>1</v>
      </c>
      <c r="H399" s="127">
        <v>1</v>
      </c>
      <c r="I399" s="127">
        <v>2</v>
      </c>
      <c r="J399" s="55">
        <f t="shared" si="13"/>
        <v>2</v>
      </c>
      <c r="K399" s="127"/>
      <c r="L399" s="127">
        <v>1</v>
      </c>
      <c r="M399" s="127"/>
      <c r="N399" s="127">
        <v>1</v>
      </c>
      <c r="O399" s="128" t="s">
        <v>12</v>
      </c>
      <c r="P399" s="116" t="s">
        <v>121</v>
      </c>
      <c r="R399" s="116" t="s">
        <v>53</v>
      </c>
      <c r="S399" s="130">
        <v>46191</v>
      </c>
      <c r="T399" t="s">
        <v>54</v>
      </c>
    </row>
    <row r="400" spans="1:35" s="129" customFormat="1" x14ac:dyDescent="0.3">
      <c r="A400" s="54">
        <f t="shared" si="14"/>
        <v>399</v>
      </c>
      <c r="B400" s="153" t="s">
        <v>78</v>
      </c>
      <c r="C400" s="126" t="s">
        <v>507</v>
      </c>
      <c r="D400" s="127"/>
      <c r="E400" s="127"/>
      <c r="F400" s="127">
        <v>4</v>
      </c>
      <c r="G400" s="127">
        <v>3</v>
      </c>
      <c r="H400" s="127">
        <v>3</v>
      </c>
      <c r="I400" s="127">
        <v>2</v>
      </c>
      <c r="J400" s="55">
        <f t="shared" si="13"/>
        <v>6</v>
      </c>
      <c r="K400" s="127"/>
      <c r="L400" s="127"/>
      <c r="M400" s="127">
        <v>1</v>
      </c>
      <c r="N400" s="127"/>
      <c r="O400" s="127" t="s">
        <v>16</v>
      </c>
      <c r="P400" s="116" t="s">
        <v>121</v>
      </c>
      <c r="R400" s="129" t="s">
        <v>56</v>
      </c>
      <c r="S400" s="130">
        <v>46191</v>
      </c>
      <c r="T400" t="s">
        <v>54</v>
      </c>
    </row>
    <row r="401" spans="1:20" s="129" customFormat="1" x14ac:dyDescent="0.3">
      <c r="A401" s="54">
        <f t="shared" si="14"/>
        <v>400</v>
      </c>
      <c r="B401" s="153" t="s">
        <v>72</v>
      </c>
      <c r="C401" s="50" t="s">
        <v>508</v>
      </c>
      <c r="D401" s="127"/>
      <c r="E401" s="127"/>
      <c r="F401" s="127">
        <v>5</v>
      </c>
      <c r="G401" s="127"/>
      <c r="H401" s="127">
        <v>1</v>
      </c>
      <c r="I401" s="127">
        <v>1</v>
      </c>
      <c r="J401" s="55">
        <f t="shared" si="13"/>
        <v>1</v>
      </c>
      <c r="K401" s="127"/>
      <c r="L401" s="127"/>
      <c r="M401" s="127"/>
      <c r="N401" s="127"/>
      <c r="O401" s="127" t="s">
        <v>12</v>
      </c>
      <c r="P401" s="116" t="s">
        <v>121</v>
      </c>
      <c r="R401" t="s">
        <v>58</v>
      </c>
      <c r="S401" s="130">
        <v>46191</v>
      </c>
      <c r="T401" t="s">
        <v>54</v>
      </c>
    </row>
    <row r="402" spans="1:20" s="129" customFormat="1" x14ac:dyDescent="0.3">
      <c r="A402" s="54">
        <f t="shared" si="14"/>
        <v>401</v>
      </c>
      <c r="B402" s="153" t="s">
        <v>77</v>
      </c>
      <c r="C402" s="126" t="s">
        <v>509</v>
      </c>
      <c r="D402" s="127"/>
      <c r="E402" s="127"/>
      <c r="F402" s="127">
        <v>14</v>
      </c>
      <c r="G402" s="127"/>
      <c r="H402" s="127">
        <v>1</v>
      </c>
      <c r="I402" s="127">
        <v>3</v>
      </c>
      <c r="J402" s="55">
        <f t="shared" si="13"/>
        <v>3</v>
      </c>
      <c r="K402" s="127"/>
      <c r="L402" s="127"/>
      <c r="M402" s="127">
        <v>1</v>
      </c>
      <c r="N402" s="127"/>
      <c r="O402" s="127" t="s">
        <v>12</v>
      </c>
      <c r="P402" s="116" t="s">
        <v>121</v>
      </c>
      <c r="R402" s="127" t="s">
        <v>53</v>
      </c>
      <c r="S402" s="130">
        <v>46191</v>
      </c>
      <c r="T402" t="s">
        <v>54</v>
      </c>
    </row>
    <row r="403" spans="1:20" s="129" customFormat="1" x14ac:dyDescent="0.3">
      <c r="A403" s="54">
        <f t="shared" si="14"/>
        <v>402</v>
      </c>
      <c r="B403" s="153" t="s">
        <v>72</v>
      </c>
      <c r="C403" s="50" t="s">
        <v>510</v>
      </c>
      <c r="D403" s="127"/>
      <c r="E403" s="127"/>
      <c r="F403" s="127"/>
      <c r="G403" s="127"/>
      <c r="H403" s="127">
        <v>1</v>
      </c>
      <c r="I403" s="127">
        <v>3</v>
      </c>
      <c r="J403" s="55">
        <f t="shared" ref="J403:J434" si="15">I403*H403</f>
        <v>3</v>
      </c>
      <c r="K403" s="127"/>
      <c r="L403" s="127"/>
      <c r="M403" s="127">
        <v>1</v>
      </c>
      <c r="N403" s="127"/>
      <c r="O403" s="131" t="s">
        <v>17</v>
      </c>
      <c r="P403" s="116" t="s">
        <v>121</v>
      </c>
      <c r="R403" s="127" t="s">
        <v>53</v>
      </c>
      <c r="S403" s="130">
        <v>46191</v>
      </c>
      <c r="T403" t="s">
        <v>54</v>
      </c>
    </row>
    <row r="404" spans="1:20" s="129" customFormat="1" x14ac:dyDescent="0.3">
      <c r="A404" s="54">
        <f t="shared" si="14"/>
        <v>403</v>
      </c>
      <c r="B404" s="153" t="s">
        <v>75</v>
      </c>
      <c r="C404" s="126" t="s">
        <v>511</v>
      </c>
      <c r="D404" s="127"/>
      <c r="E404" s="127"/>
      <c r="F404" s="127">
        <v>2</v>
      </c>
      <c r="G404" s="127">
        <v>1</v>
      </c>
      <c r="H404" s="127">
        <v>1</v>
      </c>
      <c r="I404" s="127">
        <v>3</v>
      </c>
      <c r="J404" s="55">
        <f t="shared" si="15"/>
        <v>3</v>
      </c>
      <c r="K404" s="127"/>
      <c r="L404" s="127"/>
      <c r="M404" s="127"/>
      <c r="N404" s="127">
        <v>1</v>
      </c>
      <c r="O404" s="127" t="s">
        <v>16</v>
      </c>
      <c r="P404" s="116" t="s">
        <v>121</v>
      </c>
      <c r="R404" s="127" t="s">
        <v>53</v>
      </c>
      <c r="S404" s="130">
        <v>46191</v>
      </c>
      <c r="T404" t="s">
        <v>54</v>
      </c>
    </row>
    <row r="405" spans="1:20" s="129" customFormat="1" x14ac:dyDescent="0.3">
      <c r="A405" s="54">
        <f t="shared" si="14"/>
        <v>404</v>
      </c>
      <c r="B405" s="153" t="s">
        <v>73</v>
      </c>
      <c r="C405" s="126" t="s">
        <v>512</v>
      </c>
      <c r="F405" s="129">
        <v>12</v>
      </c>
      <c r="G405" s="129">
        <v>1</v>
      </c>
      <c r="H405" s="129">
        <v>1</v>
      </c>
      <c r="I405" s="129">
        <v>1</v>
      </c>
      <c r="J405" s="55">
        <f t="shared" si="15"/>
        <v>1</v>
      </c>
      <c r="L405" s="129">
        <v>1</v>
      </c>
      <c r="N405" s="129">
        <v>1</v>
      </c>
      <c r="O405" s="129" t="s">
        <v>12</v>
      </c>
      <c r="P405" s="116" t="s">
        <v>121</v>
      </c>
      <c r="R405" s="129" t="s">
        <v>59</v>
      </c>
      <c r="S405" s="130">
        <v>46191</v>
      </c>
      <c r="T405" t="s">
        <v>54</v>
      </c>
    </row>
    <row r="406" spans="1:20" s="129" customFormat="1" x14ac:dyDescent="0.3">
      <c r="A406" s="54">
        <f t="shared" si="14"/>
        <v>405</v>
      </c>
      <c r="B406" s="153" t="s">
        <v>75</v>
      </c>
      <c r="C406" s="50" t="s">
        <v>513</v>
      </c>
      <c r="H406" s="129">
        <v>1</v>
      </c>
      <c r="I406" s="129">
        <v>3</v>
      </c>
      <c r="J406" s="55">
        <f t="shared" si="15"/>
        <v>3</v>
      </c>
      <c r="M406" s="129">
        <v>1</v>
      </c>
      <c r="O406" s="129" t="s">
        <v>18</v>
      </c>
      <c r="P406" s="116" t="s">
        <v>121</v>
      </c>
      <c r="R406" s="129" t="s">
        <v>56</v>
      </c>
      <c r="S406" s="130">
        <v>46191</v>
      </c>
      <c r="T406" t="s">
        <v>54</v>
      </c>
    </row>
    <row r="407" spans="1:20" s="129" customFormat="1" x14ac:dyDescent="0.3">
      <c r="A407" s="54">
        <f t="shared" si="14"/>
        <v>406</v>
      </c>
      <c r="B407" s="153" t="s">
        <v>78</v>
      </c>
      <c r="C407" s="126" t="s">
        <v>514</v>
      </c>
      <c r="H407" s="129">
        <v>1</v>
      </c>
      <c r="I407" s="129">
        <v>2</v>
      </c>
      <c r="J407" s="55">
        <f t="shared" si="15"/>
        <v>2</v>
      </c>
      <c r="M407" s="129">
        <v>1</v>
      </c>
      <c r="O407" s="129" t="s">
        <v>9</v>
      </c>
      <c r="P407" s="116" t="s">
        <v>121</v>
      </c>
      <c r="R407" s="129" t="s">
        <v>56</v>
      </c>
      <c r="S407" s="130">
        <v>46191</v>
      </c>
      <c r="T407" t="s">
        <v>54</v>
      </c>
    </row>
    <row r="408" spans="1:20" s="129" customFormat="1" x14ac:dyDescent="0.3">
      <c r="A408" s="54">
        <f t="shared" si="14"/>
        <v>407</v>
      </c>
      <c r="B408" s="153" t="s">
        <v>73</v>
      </c>
      <c r="C408" s="126" t="s">
        <v>515</v>
      </c>
      <c r="F408" s="129">
        <v>8</v>
      </c>
      <c r="G408" s="129">
        <v>1</v>
      </c>
      <c r="H408" s="129">
        <v>1</v>
      </c>
      <c r="I408" s="129">
        <v>3</v>
      </c>
      <c r="J408" s="55">
        <f t="shared" si="15"/>
        <v>3</v>
      </c>
      <c r="N408" s="129">
        <v>1</v>
      </c>
      <c r="O408" s="129" t="s">
        <v>17</v>
      </c>
      <c r="P408" s="116" t="s">
        <v>121</v>
      </c>
      <c r="R408" s="129" t="s">
        <v>56</v>
      </c>
      <c r="S408" s="130">
        <v>46191</v>
      </c>
      <c r="T408" t="s">
        <v>54</v>
      </c>
    </row>
    <row r="409" spans="1:20" x14ac:dyDescent="0.3">
      <c r="A409" s="54">
        <f t="shared" si="14"/>
        <v>408</v>
      </c>
      <c r="B409" s="153" t="s">
        <v>86</v>
      </c>
      <c r="C409" s="50" t="s">
        <v>516</v>
      </c>
      <c r="F409" s="129">
        <v>3</v>
      </c>
      <c r="G409" s="129">
        <v>1</v>
      </c>
      <c r="H409" s="129">
        <v>1</v>
      </c>
      <c r="I409" s="129">
        <v>3</v>
      </c>
      <c r="J409" s="55">
        <f t="shared" si="15"/>
        <v>3</v>
      </c>
      <c r="N409" s="129">
        <v>1</v>
      </c>
      <c r="O409" s="50" t="s">
        <v>16</v>
      </c>
      <c r="P409" s="116" t="s">
        <v>121</v>
      </c>
      <c r="R409" s="50" t="s">
        <v>58</v>
      </c>
      <c r="S409" s="47">
        <v>46192</v>
      </c>
      <c r="T409" t="s">
        <v>54</v>
      </c>
    </row>
    <row r="410" spans="1:20" x14ac:dyDescent="0.3">
      <c r="A410" s="54">
        <f t="shared" si="14"/>
        <v>409</v>
      </c>
      <c r="B410" s="153" t="s">
        <v>77</v>
      </c>
      <c r="C410" s="126" t="s">
        <v>517</v>
      </c>
      <c r="F410" s="133" t="s">
        <v>518</v>
      </c>
      <c r="G410" s="133" t="s">
        <v>422</v>
      </c>
      <c r="H410" s="133" t="s">
        <v>422</v>
      </c>
      <c r="I410" s="129">
        <v>2</v>
      </c>
      <c r="J410" s="55">
        <f t="shared" si="15"/>
        <v>4</v>
      </c>
      <c r="M410">
        <v>1</v>
      </c>
      <c r="O410" s="126" t="s">
        <v>17</v>
      </c>
      <c r="P410" s="116" t="s">
        <v>121</v>
      </c>
      <c r="R410" s="126" t="s">
        <v>53</v>
      </c>
      <c r="S410" s="47">
        <v>46192</v>
      </c>
      <c r="T410" t="s">
        <v>54</v>
      </c>
    </row>
    <row r="411" spans="1:20" x14ac:dyDescent="0.3">
      <c r="A411" s="54">
        <f t="shared" si="14"/>
        <v>410</v>
      </c>
      <c r="B411" s="153" t="s">
        <v>74</v>
      </c>
      <c r="C411" s="50" t="s">
        <v>519</v>
      </c>
      <c r="F411" s="132" t="s">
        <v>423</v>
      </c>
      <c r="G411" s="132" t="s">
        <v>423</v>
      </c>
      <c r="H411" s="132" t="s">
        <v>423</v>
      </c>
      <c r="I411" s="129">
        <v>4</v>
      </c>
      <c r="J411" s="55">
        <f>I410*H410</f>
        <v>4</v>
      </c>
      <c r="K411">
        <v>1</v>
      </c>
      <c r="M411" s="129">
        <v>1</v>
      </c>
      <c r="O411" s="45" t="s">
        <v>38</v>
      </c>
      <c r="P411" s="116" t="s">
        <v>37</v>
      </c>
      <c r="R411" s="50" t="s">
        <v>58</v>
      </c>
      <c r="S411" s="47">
        <v>46192</v>
      </c>
      <c r="T411" t="s">
        <v>54</v>
      </c>
    </row>
    <row r="412" spans="1:20" x14ac:dyDescent="0.3">
      <c r="A412" s="54">
        <f t="shared" si="14"/>
        <v>411</v>
      </c>
      <c r="B412" s="153" t="s">
        <v>81</v>
      </c>
      <c r="C412" s="126" t="s">
        <v>520</v>
      </c>
      <c r="F412" s="133" t="s">
        <v>518</v>
      </c>
      <c r="G412" s="133" t="s">
        <v>422</v>
      </c>
      <c r="H412" s="133" t="s">
        <v>422</v>
      </c>
      <c r="I412" s="129">
        <v>4</v>
      </c>
      <c r="J412" s="55">
        <f>I411*H411</f>
        <v>4</v>
      </c>
      <c r="K412">
        <v>1</v>
      </c>
      <c r="N412">
        <v>1</v>
      </c>
      <c r="O412" s="126" t="s">
        <v>17</v>
      </c>
      <c r="P412" s="116" t="s">
        <v>37</v>
      </c>
      <c r="R412" s="126" t="s">
        <v>53</v>
      </c>
      <c r="S412" s="47">
        <v>46192</v>
      </c>
      <c r="T412" t="s">
        <v>54</v>
      </c>
    </row>
    <row r="413" spans="1:20" x14ac:dyDescent="0.3">
      <c r="A413" s="54">
        <f t="shared" si="14"/>
        <v>412</v>
      </c>
      <c r="B413" s="153" t="s">
        <v>77</v>
      </c>
      <c r="C413" s="50" t="s">
        <v>521</v>
      </c>
      <c r="F413" s="132" t="s">
        <v>522</v>
      </c>
      <c r="G413" s="132" t="s">
        <v>523</v>
      </c>
      <c r="H413" s="132">
        <v>1</v>
      </c>
      <c r="I413" s="129">
        <v>3</v>
      </c>
      <c r="J413" s="55">
        <f>I412*H412</f>
        <v>8</v>
      </c>
      <c r="M413">
        <v>1</v>
      </c>
      <c r="O413" s="50" t="s">
        <v>16</v>
      </c>
      <c r="P413" s="116" t="s">
        <v>121</v>
      </c>
      <c r="R413" s="50" t="s">
        <v>56</v>
      </c>
      <c r="S413" s="47">
        <v>46192</v>
      </c>
      <c r="T413" t="s">
        <v>54</v>
      </c>
    </row>
    <row r="414" spans="1:20" x14ac:dyDescent="0.3">
      <c r="A414" s="54">
        <f t="shared" si="14"/>
        <v>413</v>
      </c>
      <c r="B414" s="153" t="s">
        <v>72</v>
      </c>
      <c r="C414" s="50" t="s">
        <v>524</v>
      </c>
      <c r="H414">
        <v>1</v>
      </c>
      <c r="I414" s="129">
        <v>2</v>
      </c>
      <c r="J414" s="55">
        <f>I413*H413</f>
        <v>3</v>
      </c>
      <c r="M414">
        <v>1</v>
      </c>
      <c r="O414" t="s">
        <v>17</v>
      </c>
      <c r="P414" s="116" t="s">
        <v>121</v>
      </c>
      <c r="R414" s="50" t="s">
        <v>58</v>
      </c>
      <c r="S414" s="47">
        <v>46192</v>
      </c>
      <c r="T414" t="s">
        <v>54</v>
      </c>
    </row>
    <row r="415" spans="1:20" x14ac:dyDescent="0.3">
      <c r="A415" s="54">
        <f t="shared" si="14"/>
        <v>414</v>
      </c>
      <c r="B415" s="153" t="s">
        <v>76</v>
      </c>
      <c r="C415" s="50" t="s">
        <v>525</v>
      </c>
      <c r="H415">
        <v>1</v>
      </c>
      <c r="I415" s="129">
        <v>2</v>
      </c>
      <c r="J415" s="55">
        <f t="shared" ref="J415:J459" si="16">I415*H415</f>
        <v>2</v>
      </c>
      <c r="M415">
        <v>1</v>
      </c>
      <c r="O415" s="134" t="s">
        <v>10</v>
      </c>
      <c r="P415" s="116" t="s">
        <v>121</v>
      </c>
      <c r="R415" s="50" t="s">
        <v>58</v>
      </c>
      <c r="S415" s="47">
        <v>46192</v>
      </c>
      <c r="T415" t="s">
        <v>54</v>
      </c>
    </row>
    <row r="416" spans="1:20" ht="30" customHeight="1" x14ac:dyDescent="0.3">
      <c r="A416" s="54">
        <f t="shared" si="14"/>
        <v>415</v>
      </c>
      <c r="B416" s="153" t="s">
        <v>73</v>
      </c>
      <c r="C416" s="135" t="s">
        <v>526</v>
      </c>
      <c r="F416">
        <v>8</v>
      </c>
      <c r="G416">
        <v>0</v>
      </c>
      <c r="H416">
        <v>1</v>
      </c>
      <c r="I416" s="129">
        <v>1</v>
      </c>
      <c r="J416" s="55">
        <f t="shared" si="16"/>
        <v>1</v>
      </c>
      <c r="O416" t="s">
        <v>16</v>
      </c>
      <c r="P416" s="116" t="s">
        <v>121</v>
      </c>
      <c r="R416" s="50" t="s">
        <v>56</v>
      </c>
      <c r="S416" s="47">
        <v>46192</v>
      </c>
      <c r="T416" t="s">
        <v>54</v>
      </c>
    </row>
    <row r="417" spans="1:20" x14ac:dyDescent="0.3">
      <c r="A417" s="54">
        <f t="shared" si="14"/>
        <v>416</v>
      </c>
      <c r="B417" s="153" t="s">
        <v>73</v>
      </c>
      <c r="C417" s="50" t="s">
        <v>527</v>
      </c>
      <c r="H417">
        <v>1</v>
      </c>
      <c r="I417" s="129">
        <v>2</v>
      </c>
      <c r="J417" s="55">
        <f t="shared" si="16"/>
        <v>2</v>
      </c>
      <c r="M417">
        <v>1</v>
      </c>
      <c r="O417" s="134" t="s">
        <v>17</v>
      </c>
      <c r="P417" s="116" t="s">
        <v>121</v>
      </c>
      <c r="R417" s="50" t="s">
        <v>58</v>
      </c>
      <c r="S417" s="47">
        <v>46192</v>
      </c>
      <c r="T417" t="s">
        <v>54</v>
      </c>
    </row>
    <row r="418" spans="1:20" x14ac:dyDescent="0.3">
      <c r="A418" s="54">
        <f t="shared" si="14"/>
        <v>417</v>
      </c>
      <c r="B418" s="153" t="s">
        <v>76</v>
      </c>
      <c r="C418" s="50" t="s">
        <v>528</v>
      </c>
      <c r="H418">
        <v>1</v>
      </c>
      <c r="I418" s="129">
        <v>3</v>
      </c>
      <c r="J418" s="55">
        <f t="shared" si="16"/>
        <v>3</v>
      </c>
      <c r="M418">
        <v>1</v>
      </c>
      <c r="O418" t="s">
        <v>9</v>
      </c>
      <c r="P418" s="116" t="s">
        <v>121</v>
      </c>
      <c r="R418" s="50" t="s">
        <v>58</v>
      </c>
      <c r="S418" s="47">
        <v>46192</v>
      </c>
      <c r="T418" t="s">
        <v>54</v>
      </c>
    </row>
    <row r="419" spans="1:20" x14ac:dyDescent="0.3">
      <c r="A419" s="54">
        <f t="shared" si="14"/>
        <v>418</v>
      </c>
      <c r="B419" s="153" t="s">
        <v>75</v>
      </c>
      <c r="C419" s="50" t="s">
        <v>529</v>
      </c>
      <c r="H419">
        <v>1</v>
      </c>
      <c r="I419" s="129">
        <v>3</v>
      </c>
      <c r="J419" s="55">
        <f t="shared" si="16"/>
        <v>3</v>
      </c>
      <c r="M419">
        <v>1</v>
      </c>
      <c r="O419" s="134" t="s">
        <v>18</v>
      </c>
      <c r="P419" s="116" t="s">
        <v>121</v>
      </c>
      <c r="R419" s="50" t="s">
        <v>56</v>
      </c>
      <c r="S419" s="47">
        <v>46192</v>
      </c>
      <c r="T419" t="s">
        <v>54</v>
      </c>
    </row>
    <row r="420" spans="1:20" x14ac:dyDescent="0.3">
      <c r="A420" s="54">
        <f t="shared" si="14"/>
        <v>419</v>
      </c>
      <c r="B420" s="153" t="s">
        <v>72</v>
      </c>
      <c r="C420" s="50" t="s">
        <v>530</v>
      </c>
      <c r="H420">
        <v>1</v>
      </c>
      <c r="I420" s="129">
        <v>1</v>
      </c>
      <c r="J420" s="55">
        <f t="shared" si="16"/>
        <v>1</v>
      </c>
      <c r="M420">
        <v>1</v>
      </c>
      <c r="O420" t="s">
        <v>9</v>
      </c>
      <c r="P420" s="116" t="s">
        <v>121</v>
      </c>
      <c r="R420" s="50" t="s">
        <v>58</v>
      </c>
      <c r="S420" s="47">
        <v>46192</v>
      </c>
      <c r="T420" t="s">
        <v>54</v>
      </c>
    </row>
    <row r="421" spans="1:20" x14ac:dyDescent="0.3">
      <c r="A421" s="54">
        <f t="shared" si="14"/>
        <v>420</v>
      </c>
      <c r="B421" s="153" t="s">
        <v>74</v>
      </c>
      <c r="C421" s="50" t="s">
        <v>531</v>
      </c>
      <c r="H421">
        <v>1</v>
      </c>
      <c r="I421" s="129">
        <v>2</v>
      </c>
      <c r="J421" s="55">
        <f t="shared" si="16"/>
        <v>2</v>
      </c>
      <c r="M421">
        <v>1</v>
      </c>
      <c r="O421" s="134" t="s">
        <v>18</v>
      </c>
      <c r="P421" s="116" t="s">
        <v>121</v>
      </c>
      <c r="R421" s="50" t="s">
        <v>56</v>
      </c>
      <c r="S421" s="47">
        <v>46192</v>
      </c>
      <c r="T421" t="s">
        <v>54</v>
      </c>
    </row>
    <row r="422" spans="1:20" x14ac:dyDescent="0.3">
      <c r="A422" s="54">
        <f t="shared" si="14"/>
        <v>421</v>
      </c>
      <c r="B422" s="153" t="s">
        <v>74</v>
      </c>
      <c r="C422" s="50" t="s">
        <v>532</v>
      </c>
      <c r="H422">
        <v>1</v>
      </c>
      <c r="I422" s="129">
        <v>3</v>
      </c>
      <c r="J422" s="55">
        <f t="shared" si="16"/>
        <v>3</v>
      </c>
      <c r="M422">
        <v>1</v>
      </c>
      <c r="O422" t="s">
        <v>13</v>
      </c>
      <c r="P422" s="116" t="s">
        <v>37</v>
      </c>
      <c r="R422" s="50" t="s">
        <v>56</v>
      </c>
      <c r="S422" s="47">
        <v>46192</v>
      </c>
      <c r="T422" t="s">
        <v>54</v>
      </c>
    </row>
    <row r="423" spans="1:20" x14ac:dyDescent="0.3">
      <c r="A423" s="54">
        <f t="shared" si="14"/>
        <v>422</v>
      </c>
      <c r="B423" s="153" t="s">
        <v>77</v>
      </c>
      <c r="C423" s="8" t="s">
        <v>533</v>
      </c>
      <c r="D423" s="8"/>
      <c r="E423" s="8"/>
      <c r="F423" s="8">
        <v>14</v>
      </c>
      <c r="G423" s="8">
        <v>0</v>
      </c>
      <c r="H423" s="8">
        <v>1</v>
      </c>
      <c r="I423" s="8">
        <v>3</v>
      </c>
      <c r="J423" s="55">
        <f t="shared" si="16"/>
        <v>3</v>
      </c>
      <c r="K423" s="8"/>
      <c r="L423" s="8"/>
      <c r="M423" s="8">
        <v>1</v>
      </c>
      <c r="N423" s="8"/>
      <c r="O423" s="8" t="s">
        <v>10</v>
      </c>
      <c r="P423" s="8" t="s">
        <v>121</v>
      </c>
      <c r="R423" s="8" t="s">
        <v>58</v>
      </c>
      <c r="S423" s="47">
        <v>46193</v>
      </c>
      <c r="T423" t="s">
        <v>54</v>
      </c>
    </row>
    <row r="424" spans="1:20" x14ac:dyDescent="0.3">
      <c r="A424" s="54">
        <f t="shared" si="14"/>
        <v>423</v>
      </c>
      <c r="B424" s="153" t="s">
        <v>74</v>
      </c>
      <c r="C424" s="8" t="s">
        <v>534</v>
      </c>
      <c r="D424" s="8"/>
      <c r="E424" s="8"/>
      <c r="F424" s="8">
        <v>0</v>
      </c>
      <c r="G424" s="8">
        <v>0</v>
      </c>
      <c r="H424" s="8">
        <v>1</v>
      </c>
      <c r="I424" s="8">
        <v>3</v>
      </c>
      <c r="J424" s="55">
        <f t="shared" si="16"/>
        <v>3</v>
      </c>
      <c r="K424" s="8"/>
      <c r="L424" s="8"/>
      <c r="M424" s="8">
        <v>1</v>
      </c>
      <c r="N424" s="8"/>
      <c r="O424" s="8" t="s">
        <v>9</v>
      </c>
      <c r="P424" s="8" t="s">
        <v>121</v>
      </c>
      <c r="R424" s="8" t="s">
        <v>58</v>
      </c>
      <c r="S424" s="47">
        <v>46193</v>
      </c>
      <c r="T424" t="s">
        <v>54</v>
      </c>
    </row>
    <row r="425" spans="1:20" x14ac:dyDescent="0.3">
      <c r="A425" s="54">
        <f t="shared" si="14"/>
        <v>424</v>
      </c>
      <c r="B425" s="153" t="s">
        <v>76</v>
      </c>
      <c r="C425" s="8" t="s">
        <v>535</v>
      </c>
      <c r="D425" s="8"/>
      <c r="E425" s="8"/>
      <c r="F425" s="8">
        <v>0</v>
      </c>
      <c r="G425" s="8">
        <v>0</v>
      </c>
      <c r="H425" s="8">
        <v>1</v>
      </c>
      <c r="I425" s="8">
        <v>2</v>
      </c>
      <c r="J425" s="55">
        <f t="shared" si="16"/>
        <v>2</v>
      </c>
      <c r="K425" s="8"/>
      <c r="L425" s="8"/>
      <c r="M425" s="8">
        <v>1</v>
      </c>
      <c r="N425" s="8"/>
      <c r="O425" s="8" t="s">
        <v>10</v>
      </c>
      <c r="P425" s="8" t="s">
        <v>121</v>
      </c>
      <c r="R425" s="8" t="s">
        <v>58</v>
      </c>
      <c r="S425" s="47">
        <v>46193</v>
      </c>
      <c r="T425" t="s">
        <v>54</v>
      </c>
    </row>
    <row r="426" spans="1:20" x14ac:dyDescent="0.3">
      <c r="A426" s="54">
        <f t="shared" si="14"/>
        <v>425</v>
      </c>
      <c r="B426" s="153" t="s">
        <v>79</v>
      </c>
      <c r="C426" s="8" t="s">
        <v>536</v>
      </c>
      <c r="D426" s="8"/>
      <c r="E426" s="8"/>
      <c r="F426" s="8">
        <v>4</v>
      </c>
      <c r="G426" s="8">
        <v>1</v>
      </c>
      <c r="H426" s="8">
        <v>1</v>
      </c>
      <c r="I426" s="8">
        <v>3</v>
      </c>
      <c r="J426" s="55">
        <f t="shared" si="16"/>
        <v>3</v>
      </c>
      <c r="K426" s="8"/>
      <c r="L426" s="8"/>
      <c r="M426" s="8"/>
      <c r="N426" s="8">
        <v>1</v>
      </c>
      <c r="O426" s="8" t="s">
        <v>12</v>
      </c>
      <c r="P426" s="8" t="s">
        <v>121</v>
      </c>
      <c r="R426" s="8" t="s">
        <v>59</v>
      </c>
      <c r="S426" s="47">
        <v>46193</v>
      </c>
      <c r="T426" t="s">
        <v>54</v>
      </c>
    </row>
    <row r="427" spans="1:20" x14ac:dyDescent="0.3">
      <c r="A427" s="54">
        <f t="shared" si="14"/>
        <v>426</v>
      </c>
      <c r="B427" s="153" t="s">
        <v>73</v>
      </c>
      <c r="C427" s="8" t="s">
        <v>537</v>
      </c>
      <c r="D427" s="8"/>
      <c r="E427" s="8"/>
      <c r="F427" s="8">
        <v>3</v>
      </c>
      <c r="G427" s="8">
        <v>5</v>
      </c>
      <c r="H427" s="8">
        <v>1</v>
      </c>
      <c r="I427" s="8">
        <v>3</v>
      </c>
      <c r="J427" s="55">
        <f t="shared" si="16"/>
        <v>3</v>
      </c>
      <c r="K427" s="8"/>
      <c r="L427" s="8"/>
      <c r="M427" s="8"/>
      <c r="N427" s="8">
        <v>1</v>
      </c>
      <c r="O427" s="8" t="s">
        <v>12</v>
      </c>
      <c r="P427" s="8" t="s">
        <v>121</v>
      </c>
      <c r="R427" s="8" t="s">
        <v>59</v>
      </c>
      <c r="S427" s="47">
        <v>46193</v>
      </c>
      <c r="T427" t="s">
        <v>54</v>
      </c>
    </row>
    <row r="428" spans="1:20" x14ac:dyDescent="0.3">
      <c r="A428" s="54">
        <f t="shared" si="14"/>
        <v>427</v>
      </c>
      <c r="B428" s="153" t="s">
        <v>74</v>
      </c>
      <c r="C428" s="8" t="s">
        <v>538</v>
      </c>
      <c r="D428" s="8"/>
      <c r="E428" s="8"/>
      <c r="F428" s="8">
        <v>0</v>
      </c>
      <c r="G428" s="8">
        <v>0</v>
      </c>
      <c r="H428" s="8">
        <v>1</v>
      </c>
      <c r="I428" s="8">
        <v>2</v>
      </c>
      <c r="J428" s="55">
        <f t="shared" si="16"/>
        <v>2</v>
      </c>
      <c r="K428" s="8"/>
      <c r="L428" s="8"/>
      <c r="M428" s="8">
        <v>1</v>
      </c>
      <c r="N428" s="8"/>
      <c r="O428" s="8" t="s">
        <v>51</v>
      </c>
      <c r="P428" s="8" t="s">
        <v>121</v>
      </c>
      <c r="R428" s="8" t="s">
        <v>59</v>
      </c>
      <c r="S428" s="47">
        <v>46193</v>
      </c>
      <c r="T428" t="s">
        <v>54</v>
      </c>
    </row>
    <row r="429" spans="1:20" x14ac:dyDescent="0.3">
      <c r="A429" s="54">
        <f t="shared" si="14"/>
        <v>428</v>
      </c>
      <c r="B429" s="153" t="s">
        <v>75</v>
      </c>
      <c r="C429" s="8" t="s">
        <v>539</v>
      </c>
      <c r="D429" s="8"/>
      <c r="E429" s="8"/>
      <c r="F429" s="8">
        <v>0</v>
      </c>
      <c r="G429" s="8">
        <v>0</v>
      </c>
      <c r="H429" s="8">
        <v>1</v>
      </c>
      <c r="I429" s="8">
        <v>2</v>
      </c>
      <c r="J429" s="55">
        <f t="shared" si="16"/>
        <v>2</v>
      </c>
      <c r="K429" s="8"/>
      <c r="L429" s="8"/>
      <c r="M429" s="8">
        <v>1</v>
      </c>
      <c r="N429" s="8"/>
      <c r="O429" s="8" t="s">
        <v>55</v>
      </c>
      <c r="P429" s="8" t="s">
        <v>121</v>
      </c>
      <c r="R429" s="8" t="s">
        <v>59</v>
      </c>
      <c r="S429" s="47">
        <v>46193</v>
      </c>
      <c r="T429" t="s">
        <v>54</v>
      </c>
    </row>
    <row r="430" spans="1:20" x14ac:dyDescent="0.3">
      <c r="A430" s="54">
        <f t="shared" si="14"/>
        <v>429</v>
      </c>
      <c r="B430" s="153" t="s">
        <v>72</v>
      </c>
      <c r="C430" s="134" t="s">
        <v>540</v>
      </c>
      <c r="F430" s="8">
        <v>10</v>
      </c>
      <c r="G430" s="8">
        <v>1</v>
      </c>
      <c r="H430" s="8">
        <v>1</v>
      </c>
      <c r="I430" s="8">
        <v>3</v>
      </c>
      <c r="J430" s="55">
        <f t="shared" si="16"/>
        <v>3</v>
      </c>
      <c r="M430" s="8">
        <v>1</v>
      </c>
      <c r="O430" s="8" t="s">
        <v>12</v>
      </c>
      <c r="P430" s="8" t="s">
        <v>121</v>
      </c>
      <c r="R430" s="8" t="s">
        <v>53</v>
      </c>
      <c r="S430" s="47">
        <v>46193</v>
      </c>
      <c r="T430" t="s">
        <v>54</v>
      </c>
    </row>
    <row r="431" spans="1:20" x14ac:dyDescent="0.3">
      <c r="A431" s="54">
        <f t="shared" si="14"/>
        <v>430</v>
      </c>
      <c r="B431" s="153" t="s">
        <v>72</v>
      </c>
      <c r="C431" s="134" t="s">
        <v>541</v>
      </c>
      <c r="F431" s="8">
        <v>1</v>
      </c>
      <c r="G431" s="8">
        <v>1</v>
      </c>
      <c r="H431" s="8">
        <v>1</v>
      </c>
      <c r="I431" s="8">
        <v>3</v>
      </c>
      <c r="J431" s="55">
        <f t="shared" si="16"/>
        <v>3</v>
      </c>
      <c r="N431">
        <v>1</v>
      </c>
      <c r="O431" s="134" t="s">
        <v>12</v>
      </c>
      <c r="P431" s="8" t="s">
        <v>121</v>
      </c>
      <c r="R431" s="8" t="s">
        <v>53</v>
      </c>
      <c r="S431" s="47">
        <v>46193</v>
      </c>
      <c r="T431" t="s">
        <v>54</v>
      </c>
    </row>
    <row r="432" spans="1:20" x14ac:dyDescent="0.3">
      <c r="A432" s="54">
        <f t="shared" si="14"/>
        <v>431</v>
      </c>
      <c r="B432" s="153" t="s">
        <v>74</v>
      </c>
      <c r="C432" t="s">
        <v>542</v>
      </c>
      <c r="F432" s="8">
        <v>1</v>
      </c>
      <c r="G432" s="8">
        <v>1</v>
      </c>
      <c r="H432" s="8">
        <v>1</v>
      </c>
      <c r="I432" s="8">
        <v>3</v>
      </c>
      <c r="J432" s="55">
        <f t="shared" si="16"/>
        <v>3</v>
      </c>
      <c r="O432" s="8" t="s">
        <v>10</v>
      </c>
      <c r="P432" s="8" t="s">
        <v>37</v>
      </c>
      <c r="R432" s="8" t="s">
        <v>58</v>
      </c>
      <c r="S432" s="47">
        <v>46193</v>
      </c>
      <c r="T432" t="s">
        <v>54</v>
      </c>
    </row>
    <row r="433" spans="1:20" x14ac:dyDescent="0.3">
      <c r="A433" s="54">
        <f t="shared" si="14"/>
        <v>432</v>
      </c>
      <c r="B433" s="153" t="s">
        <v>76</v>
      </c>
      <c r="C433" t="s">
        <v>543</v>
      </c>
      <c r="H433" s="8">
        <v>1</v>
      </c>
      <c r="I433" s="8">
        <v>2</v>
      </c>
      <c r="J433" s="55">
        <f t="shared" si="16"/>
        <v>2</v>
      </c>
      <c r="M433" s="8">
        <v>1</v>
      </c>
      <c r="O433" s="8" t="s">
        <v>10</v>
      </c>
      <c r="P433" s="8" t="s">
        <v>121</v>
      </c>
      <c r="R433" s="8" t="s">
        <v>56</v>
      </c>
      <c r="S433" s="47">
        <v>46193</v>
      </c>
      <c r="T433" t="s">
        <v>54</v>
      </c>
    </row>
    <row r="434" spans="1:20" x14ac:dyDescent="0.3">
      <c r="A434" s="54">
        <f t="shared" si="14"/>
        <v>433</v>
      </c>
      <c r="B434" s="153" t="s">
        <v>73</v>
      </c>
      <c r="C434" s="8" t="s">
        <v>544</v>
      </c>
      <c r="D434" s="8"/>
      <c r="E434" s="8"/>
      <c r="F434" s="8">
        <v>7</v>
      </c>
      <c r="G434" s="8">
        <v>2</v>
      </c>
      <c r="H434" s="8">
        <v>1</v>
      </c>
      <c r="I434" s="8">
        <v>3</v>
      </c>
      <c r="J434" s="55">
        <f t="shared" si="16"/>
        <v>3</v>
      </c>
      <c r="K434" s="8"/>
      <c r="L434" s="8">
        <v>1</v>
      </c>
      <c r="M434" s="8"/>
      <c r="N434" s="8">
        <v>1</v>
      </c>
      <c r="O434" s="8" t="s">
        <v>17</v>
      </c>
      <c r="P434" s="8" t="s">
        <v>121</v>
      </c>
      <c r="R434" s="8" t="s">
        <v>59</v>
      </c>
      <c r="S434" s="47">
        <v>46194</v>
      </c>
      <c r="T434" t="s">
        <v>54</v>
      </c>
    </row>
    <row r="435" spans="1:20" x14ac:dyDescent="0.3">
      <c r="A435" s="54">
        <f t="shared" si="14"/>
        <v>434</v>
      </c>
      <c r="B435" s="153" t="s">
        <v>81</v>
      </c>
      <c r="C435" s="8" t="s">
        <v>545</v>
      </c>
      <c r="D435" s="8"/>
      <c r="E435" s="8"/>
      <c r="F435" s="8">
        <v>0</v>
      </c>
      <c r="G435" s="8">
        <v>0</v>
      </c>
      <c r="H435" s="8">
        <v>1</v>
      </c>
      <c r="I435" s="8">
        <v>3</v>
      </c>
      <c r="J435" s="55">
        <f t="shared" si="16"/>
        <v>3</v>
      </c>
      <c r="K435" s="8"/>
      <c r="L435" s="8"/>
      <c r="M435" s="8">
        <v>1</v>
      </c>
      <c r="N435" s="8"/>
      <c r="O435" s="8" t="s">
        <v>11</v>
      </c>
      <c r="P435" s="8" t="s">
        <v>121</v>
      </c>
      <c r="R435" s="8" t="s">
        <v>59</v>
      </c>
      <c r="S435" s="47">
        <v>46194</v>
      </c>
      <c r="T435" t="s">
        <v>54</v>
      </c>
    </row>
    <row r="436" spans="1:20" x14ac:dyDescent="0.3">
      <c r="A436" s="54">
        <f t="shared" si="14"/>
        <v>435</v>
      </c>
      <c r="B436" s="153" t="s">
        <v>73</v>
      </c>
      <c r="C436" s="8" t="s">
        <v>546</v>
      </c>
      <c r="D436" s="8"/>
      <c r="E436" s="8"/>
      <c r="F436" s="8">
        <v>2</v>
      </c>
      <c r="G436" s="8">
        <v>1</v>
      </c>
      <c r="H436" s="8">
        <v>1</v>
      </c>
      <c r="I436" s="8">
        <v>2</v>
      </c>
      <c r="J436" s="55">
        <f t="shared" si="16"/>
        <v>2</v>
      </c>
      <c r="K436" s="8"/>
      <c r="L436" s="8">
        <v>1</v>
      </c>
      <c r="M436" s="8">
        <v>1</v>
      </c>
      <c r="N436" s="8">
        <v>1</v>
      </c>
      <c r="O436" s="8" t="s">
        <v>9</v>
      </c>
      <c r="P436" s="8" t="s">
        <v>121</v>
      </c>
      <c r="R436" s="8" t="s">
        <v>56</v>
      </c>
      <c r="S436" s="47">
        <v>46195</v>
      </c>
      <c r="T436" t="s">
        <v>54</v>
      </c>
    </row>
    <row r="437" spans="1:20" x14ac:dyDescent="0.3">
      <c r="A437" s="54">
        <f t="shared" si="14"/>
        <v>436</v>
      </c>
      <c r="B437" s="153" t="s">
        <v>72</v>
      </c>
      <c r="C437" s="8" t="s">
        <v>547</v>
      </c>
      <c r="D437" s="8"/>
      <c r="E437" s="8"/>
      <c r="F437" s="8">
        <v>7</v>
      </c>
      <c r="G437" s="8">
        <v>0</v>
      </c>
      <c r="H437" s="8">
        <v>1</v>
      </c>
      <c r="I437" s="8">
        <v>2</v>
      </c>
      <c r="J437" s="55">
        <f t="shared" si="16"/>
        <v>2</v>
      </c>
      <c r="K437" s="8"/>
      <c r="L437" s="8"/>
      <c r="M437" s="8">
        <v>1</v>
      </c>
      <c r="N437" s="8"/>
      <c r="O437" s="8" t="s">
        <v>50</v>
      </c>
      <c r="P437" s="8" t="s">
        <v>121</v>
      </c>
      <c r="R437" s="8" t="s">
        <v>53</v>
      </c>
      <c r="S437" s="47">
        <v>46195</v>
      </c>
      <c r="T437" t="s">
        <v>54</v>
      </c>
    </row>
    <row r="438" spans="1:20" x14ac:dyDescent="0.3">
      <c r="A438" s="54">
        <f t="shared" si="14"/>
        <v>437</v>
      </c>
      <c r="B438" s="153" t="s">
        <v>74</v>
      </c>
      <c r="C438" s="8" t="s">
        <v>548</v>
      </c>
      <c r="D438" s="8"/>
      <c r="E438" s="8"/>
      <c r="F438" s="8">
        <v>0</v>
      </c>
      <c r="G438" s="8">
        <v>0</v>
      </c>
      <c r="H438" s="8">
        <v>1</v>
      </c>
      <c r="I438" s="8">
        <v>3</v>
      </c>
      <c r="J438" s="55">
        <f t="shared" si="16"/>
        <v>3</v>
      </c>
      <c r="K438" s="8"/>
      <c r="L438" s="8"/>
      <c r="M438" s="8">
        <v>1</v>
      </c>
      <c r="N438" s="8"/>
      <c r="O438" s="8" t="s">
        <v>13</v>
      </c>
      <c r="P438" s="8" t="s">
        <v>121</v>
      </c>
      <c r="R438" s="8" t="s">
        <v>53</v>
      </c>
      <c r="S438" s="47">
        <v>46195</v>
      </c>
      <c r="T438" t="s">
        <v>54</v>
      </c>
    </row>
    <row r="439" spans="1:20" x14ac:dyDescent="0.3">
      <c r="A439" s="54">
        <f t="shared" si="14"/>
        <v>438</v>
      </c>
      <c r="B439" s="153" t="s">
        <v>77</v>
      </c>
      <c r="C439" s="8" t="s">
        <v>549</v>
      </c>
      <c r="D439" s="8"/>
      <c r="E439" s="8"/>
      <c r="F439" s="8">
        <v>0</v>
      </c>
      <c r="G439" s="8">
        <v>0</v>
      </c>
      <c r="H439" s="8">
        <v>1</v>
      </c>
      <c r="I439" s="8">
        <v>3</v>
      </c>
      <c r="J439" s="55">
        <f t="shared" si="16"/>
        <v>3</v>
      </c>
      <c r="K439" s="8"/>
      <c r="L439" s="8"/>
      <c r="M439" s="8">
        <v>1</v>
      </c>
      <c r="N439" s="8"/>
      <c r="O439" s="8" t="s">
        <v>22</v>
      </c>
      <c r="P439" s="8" t="s">
        <v>121</v>
      </c>
      <c r="R439" s="8" t="s">
        <v>53</v>
      </c>
      <c r="S439" s="47">
        <v>46195</v>
      </c>
      <c r="T439" t="s">
        <v>54</v>
      </c>
    </row>
    <row r="440" spans="1:20" x14ac:dyDescent="0.3">
      <c r="A440" s="54">
        <f t="shared" si="14"/>
        <v>439</v>
      </c>
      <c r="B440" s="153" t="s">
        <v>76</v>
      </c>
      <c r="C440" s="8" t="s">
        <v>550</v>
      </c>
      <c r="D440" s="8"/>
      <c r="E440" s="8"/>
      <c r="F440" s="8">
        <v>0</v>
      </c>
      <c r="G440" s="8">
        <v>0</v>
      </c>
      <c r="H440" s="8">
        <v>1</v>
      </c>
      <c r="I440" s="8">
        <v>2</v>
      </c>
      <c r="J440" s="55">
        <f t="shared" si="16"/>
        <v>2</v>
      </c>
      <c r="K440" s="8"/>
      <c r="L440" s="8"/>
      <c r="M440" s="8">
        <v>1</v>
      </c>
      <c r="N440" s="8"/>
      <c r="O440" s="8" t="s">
        <v>12</v>
      </c>
      <c r="P440" s="8" t="s">
        <v>121</v>
      </c>
      <c r="R440" s="8" t="s">
        <v>53</v>
      </c>
      <c r="S440" s="47">
        <v>46195</v>
      </c>
      <c r="T440" t="s">
        <v>54</v>
      </c>
    </row>
    <row r="441" spans="1:20" x14ac:dyDescent="0.3">
      <c r="A441" s="54">
        <f t="shared" si="14"/>
        <v>440</v>
      </c>
      <c r="B441" s="153" t="s">
        <v>74</v>
      </c>
      <c r="C441" s="8" t="s">
        <v>551</v>
      </c>
      <c r="D441" s="8"/>
      <c r="E441" s="8"/>
      <c r="F441" s="8">
        <v>0</v>
      </c>
      <c r="G441" s="8">
        <v>0</v>
      </c>
      <c r="H441" s="8">
        <v>1</v>
      </c>
      <c r="I441" s="8">
        <v>3</v>
      </c>
      <c r="J441" s="55">
        <f t="shared" si="16"/>
        <v>3</v>
      </c>
      <c r="K441" s="8"/>
      <c r="L441" s="8"/>
      <c r="M441" s="8">
        <v>1</v>
      </c>
      <c r="N441" s="8"/>
      <c r="O441" s="8" t="s">
        <v>42</v>
      </c>
      <c r="P441" s="8" t="s">
        <v>121</v>
      </c>
      <c r="R441" s="8" t="s">
        <v>53</v>
      </c>
      <c r="S441" s="47">
        <v>46195</v>
      </c>
      <c r="T441" t="s">
        <v>54</v>
      </c>
    </row>
    <row r="442" spans="1:20" x14ac:dyDescent="0.3">
      <c r="A442" s="54">
        <f t="shared" si="14"/>
        <v>441</v>
      </c>
      <c r="B442" s="153" t="s">
        <v>77</v>
      </c>
      <c r="C442" s="8" t="s">
        <v>552</v>
      </c>
      <c r="D442" s="8"/>
      <c r="E442" s="8"/>
      <c r="F442" s="8">
        <v>0</v>
      </c>
      <c r="G442" s="8">
        <v>0</v>
      </c>
      <c r="H442" s="8">
        <v>1</v>
      </c>
      <c r="I442" s="8">
        <v>3</v>
      </c>
      <c r="J442" s="55">
        <f t="shared" si="16"/>
        <v>3</v>
      </c>
      <c r="K442" s="8"/>
      <c r="L442" s="8"/>
      <c r="M442" s="8">
        <v>1</v>
      </c>
      <c r="N442" s="8"/>
      <c r="O442" s="8" t="s">
        <v>12</v>
      </c>
      <c r="P442" s="8" t="s">
        <v>121</v>
      </c>
      <c r="R442" s="8" t="s">
        <v>53</v>
      </c>
      <c r="S442" s="47">
        <v>46195</v>
      </c>
      <c r="T442" t="s">
        <v>54</v>
      </c>
    </row>
    <row r="443" spans="1:20" x14ac:dyDescent="0.3">
      <c r="A443" s="54">
        <f t="shared" si="14"/>
        <v>442</v>
      </c>
      <c r="B443" s="153" t="s">
        <v>73</v>
      </c>
      <c r="C443" s="8" t="s">
        <v>553</v>
      </c>
      <c r="D443" s="8"/>
      <c r="E443" s="8"/>
      <c r="F443" s="8">
        <v>8</v>
      </c>
      <c r="G443" s="8">
        <v>0</v>
      </c>
      <c r="H443" s="8">
        <v>1</v>
      </c>
      <c r="I443" s="8">
        <v>1</v>
      </c>
      <c r="J443" s="55">
        <f t="shared" si="16"/>
        <v>1</v>
      </c>
      <c r="K443" s="8"/>
      <c r="L443" s="8"/>
      <c r="M443" s="8"/>
      <c r="N443" s="8">
        <v>1</v>
      </c>
      <c r="O443" s="8" t="s">
        <v>554</v>
      </c>
      <c r="P443" s="8" t="s">
        <v>121</v>
      </c>
      <c r="R443" s="8" t="s">
        <v>53</v>
      </c>
      <c r="S443" s="47">
        <v>46195</v>
      </c>
      <c r="T443" t="s">
        <v>54</v>
      </c>
    </row>
    <row r="444" spans="1:20" x14ac:dyDescent="0.3">
      <c r="A444" s="54">
        <f t="shared" si="14"/>
        <v>443</v>
      </c>
      <c r="B444" s="153" t="s">
        <v>72</v>
      </c>
      <c r="C444" s="8" t="s">
        <v>555</v>
      </c>
      <c r="D444" s="8"/>
      <c r="E444" s="8"/>
      <c r="F444" s="8">
        <v>0</v>
      </c>
      <c r="G444" s="8">
        <v>0</v>
      </c>
      <c r="H444" s="8">
        <v>1</v>
      </c>
      <c r="I444" s="8">
        <v>4</v>
      </c>
      <c r="J444" s="55">
        <f t="shared" si="16"/>
        <v>4</v>
      </c>
      <c r="K444" s="8">
        <v>1</v>
      </c>
      <c r="L444" s="8"/>
      <c r="M444" s="8">
        <v>1</v>
      </c>
      <c r="N444" s="8"/>
      <c r="O444" s="8" t="s">
        <v>12</v>
      </c>
      <c r="P444" s="8" t="s">
        <v>121</v>
      </c>
      <c r="R444" s="8" t="s">
        <v>53</v>
      </c>
      <c r="S444" s="47">
        <v>46195</v>
      </c>
      <c r="T444" t="s">
        <v>54</v>
      </c>
    </row>
    <row r="445" spans="1:20" x14ac:dyDescent="0.3">
      <c r="A445" s="54">
        <f t="shared" si="14"/>
        <v>444</v>
      </c>
      <c r="B445" s="153" t="s">
        <v>77</v>
      </c>
      <c r="C445" s="8" t="s">
        <v>556</v>
      </c>
      <c r="D445" s="8"/>
      <c r="E445" s="8"/>
      <c r="F445" s="8">
        <v>0</v>
      </c>
      <c r="G445" s="8">
        <v>0</v>
      </c>
      <c r="H445" s="8">
        <v>1</v>
      </c>
      <c r="I445" s="8">
        <v>3</v>
      </c>
      <c r="J445" s="55">
        <f t="shared" si="16"/>
        <v>3</v>
      </c>
      <c r="K445" s="8"/>
      <c r="L445" s="8"/>
      <c r="M445" s="8">
        <v>1</v>
      </c>
      <c r="N445" s="8"/>
      <c r="O445" s="8" t="s">
        <v>12</v>
      </c>
      <c r="P445" s="8" t="s">
        <v>121</v>
      </c>
      <c r="R445" s="8" t="s">
        <v>53</v>
      </c>
      <c r="S445" s="47">
        <v>46195</v>
      </c>
      <c r="T445" t="s">
        <v>54</v>
      </c>
    </row>
    <row r="446" spans="1:20" x14ac:dyDescent="0.3">
      <c r="A446" s="54">
        <f t="shared" si="14"/>
        <v>445</v>
      </c>
      <c r="B446" s="153" t="s">
        <v>75</v>
      </c>
      <c r="C446" s="73" t="s">
        <v>557</v>
      </c>
      <c r="D446" s="8"/>
      <c r="E446" s="8"/>
      <c r="F446" s="8">
        <v>0</v>
      </c>
      <c r="G446" s="8">
        <v>0</v>
      </c>
      <c r="H446" s="8">
        <v>1</v>
      </c>
      <c r="I446" s="8">
        <v>3</v>
      </c>
      <c r="J446" s="55">
        <f t="shared" si="16"/>
        <v>3</v>
      </c>
      <c r="K446" s="8"/>
      <c r="L446" s="8"/>
      <c r="M446" s="8">
        <v>1</v>
      </c>
      <c r="N446" s="8"/>
      <c r="O446" s="8" t="s">
        <v>12</v>
      </c>
      <c r="P446" s="8" t="s">
        <v>37</v>
      </c>
      <c r="R446" s="8" t="s">
        <v>53</v>
      </c>
      <c r="S446" s="47">
        <v>46195</v>
      </c>
      <c r="T446" t="s">
        <v>54</v>
      </c>
    </row>
    <row r="447" spans="1:20" x14ac:dyDescent="0.3">
      <c r="A447" s="54">
        <f t="shared" si="14"/>
        <v>446</v>
      </c>
      <c r="B447" s="153" t="s">
        <v>72</v>
      </c>
      <c r="C447" s="8" t="s">
        <v>558</v>
      </c>
      <c r="D447" s="8"/>
      <c r="E447" s="8"/>
      <c r="F447" s="8">
        <v>12</v>
      </c>
      <c r="G447" s="8">
        <v>4</v>
      </c>
      <c r="H447" s="8">
        <v>1</v>
      </c>
      <c r="I447" s="8">
        <v>4</v>
      </c>
      <c r="J447" s="55">
        <f t="shared" si="16"/>
        <v>4</v>
      </c>
      <c r="K447" s="8">
        <v>1</v>
      </c>
      <c r="L447" s="8"/>
      <c r="M447" s="8"/>
      <c r="N447" s="8">
        <v>1</v>
      </c>
      <c r="O447" s="8" t="s">
        <v>17</v>
      </c>
      <c r="P447" s="8" t="s">
        <v>37</v>
      </c>
      <c r="R447" s="8" t="s">
        <v>53</v>
      </c>
      <c r="S447" s="47">
        <v>46195</v>
      </c>
      <c r="T447" t="s">
        <v>54</v>
      </c>
    </row>
    <row r="448" spans="1:20" x14ac:dyDescent="0.3">
      <c r="A448" s="54">
        <f t="shared" si="14"/>
        <v>447</v>
      </c>
      <c r="B448" s="153" t="s">
        <v>72</v>
      </c>
      <c r="C448" s="8" t="s">
        <v>559</v>
      </c>
      <c r="D448" s="8"/>
      <c r="E448" s="8"/>
      <c r="F448" s="8">
        <v>0</v>
      </c>
      <c r="G448" s="8">
        <v>0</v>
      </c>
      <c r="H448" s="8">
        <v>1</v>
      </c>
      <c r="I448" s="8">
        <v>3</v>
      </c>
      <c r="J448" s="55">
        <f t="shared" si="16"/>
        <v>3</v>
      </c>
      <c r="K448" s="8"/>
      <c r="L448" s="8"/>
      <c r="M448" s="8">
        <v>1</v>
      </c>
      <c r="N448" s="8"/>
      <c r="O448" s="8" t="s">
        <v>12</v>
      </c>
      <c r="P448" s="8" t="s">
        <v>121</v>
      </c>
      <c r="R448" s="8" t="s">
        <v>53</v>
      </c>
      <c r="S448" s="47">
        <v>46195</v>
      </c>
      <c r="T448" t="s">
        <v>54</v>
      </c>
    </row>
    <row r="449" spans="1:20" x14ac:dyDescent="0.3">
      <c r="A449" s="54">
        <f t="shared" si="14"/>
        <v>448</v>
      </c>
      <c r="B449" s="153" t="s">
        <v>78</v>
      </c>
      <c r="C449" s="8" t="s">
        <v>560</v>
      </c>
      <c r="D449" s="8"/>
      <c r="E449" s="8"/>
      <c r="F449" s="8">
        <v>1</v>
      </c>
      <c r="G449" s="8">
        <v>1</v>
      </c>
      <c r="H449" s="8">
        <v>1</v>
      </c>
      <c r="I449" s="8">
        <v>3</v>
      </c>
      <c r="J449" s="55">
        <f t="shared" si="16"/>
        <v>3</v>
      </c>
      <c r="K449" s="8"/>
      <c r="L449" s="8"/>
      <c r="M449" s="8">
        <v>1</v>
      </c>
      <c r="N449" s="8"/>
      <c r="O449" s="8" t="s">
        <v>16</v>
      </c>
      <c r="P449" s="8" t="s">
        <v>121</v>
      </c>
      <c r="R449" s="8" t="s">
        <v>56</v>
      </c>
      <c r="S449" s="47">
        <v>46195</v>
      </c>
      <c r="T449" t="s">
        <v>54</v>
      </c>
    </row>
    <row r="450" spans="1:20" x14ac:dyDescent="0.3">
      <c r="A450" s="54">
        <f t="shared" si="14"/>
        <v>449</v>
      </c>
      <c r="B450" s="153" t="s">
        <v>72</v>
      </c>
      <c r="C450" s="8" t="s">
        <v>561</v>
      </c>
      <c r="D450" s="8"/>
      <c r="E450" s="8"/>
      <c r="F450" s="8">
        <v>1</v>
      </c>
      <c r="G450" s="8">
        <v>1</v>
      </c>
      <c r="H450" s="8">
        <v>1</v>
      </c>
      <c r="I450" s="8">
        <v>2</v>
      </c>
      <c r="J450" s="55">
        <f t="shared" si="16"/>
        <v>2</v>
      </c>
      <c r="K450" s="8"/>
      <c r="L450" s="8"/>
      <c r="M450" s="8">
        <v>1</v>
      </c>
      <c r="N450" s="8"/>
      <c r="O450" s="8" t="s">
        <v>18</v>
      </c>
      <c r="P450" s="8" t="s">
        <v>121</v>
      </c>
      <c r="R450" s="8" t="s">
        <v>58</v>
      </c>
      <c r="S450" s="47">
        <v>46195</v>
      </c>
      <c r="T450" t="s">
        <v>54</v>
      </c>
    </row>
    <row r="451" spans="1:20" x14ac:dyDescent="0.3">
      <c r="A451" s="54">
        <f t="shared" ref="A451:A514" si="17">A450+1</f>
        <v>450</v>
      </c>
      <c r="B451" s="153" t="s">
        <v>77</v>
      </c>
      <c r="C451" s="140" t="s">
        <v>562</v>
      </c>
      <c r="D451" s="8"/>
      <c r="E451" s="8"/>
      <c r="F451" s="8">
        <v>1</v>
      </c>
      <c r="G451" s="8">
        <v>1</v>
      </c>
      <c r="H451" s="8">
        <v>1</v>
      </c>
      <c r="I451" s="8">
        <v>3</v>
      </c>
      <c r="J451" s="55">
        <f t="shared" si="16"/>
        <v>3</v>
      </c>
      <c r="K451" s="8"/>
      <c r="L451" s="8"/>
      <c r="M451" s="8">
        <v>1</v>
      </c>
      <c r="N451" s="8"/>
      <c r="O451" s="8" t="s">
        <v>13</v>
      </c>
      <c r="P451" s="8" t="s">
        <v>121</v>
      </c>
      <c r="R451" s="8" t="s">
        <v>56</v>
      </c>
      <c r="S451" s="47">
        <v>46195</v>
      </c>
      <c r="T451" t="s">
        <v>54</v>
      </c>
    </row>
    <row r="452" spans="1:20" x14ac:dyDescent="0.3">
      <c r="A452" s="54">
        <f t="shared" si="17"/>
        <v>451</v>
      </c>
      <c r="B452" s="153" t="s">
        <v>75</v>
      </c>
      <c r="C452" s="140" t="s">
        <v>563</v>
      </c>
      <c r="D452" s="8"/>
      <c r="E452" s="8"/>
      <c r="F452" s="8">
        <v>3</v>
      </c>
      <c r="G452" s="8">
        <v>5</v>
      </c>
      <c r="H452" s="8">
        <v>1</v>
      </c>
      <c r="I452" s="8">
        <v>3</v>
      </c>
      <c r="J452" s="55">
        <f t="shared" si="16"/>
        <v>3</v>
      </c>
      <c r="K452" s="8"/>
      <c r="L452" s="8"/>
      <c r="M452" s="8"/>
      <c r="N452" s="8">
        <v>1</v>
      </c>
      <c r="O452" s="140" t="s">
        <v>18</v>
      </c>
      <c r="P452" s="8" t="s">
        <v>121</v>
      </c>
      <c r="R452" s="8" t="s">
        <v>56</v>
      </c>
      <c r="S452" s="47">
        <v>46195</v>
      </c>
      <c r="T452" t="s">
        <v>54</v>
      </c>
    </row>
    <row r="453" spans="1:20" x14ac:dyDescent="0.3">
      <c r="A453" s="54">
        <f t="shared" si="17"/>
        <v>452</v>
      </c>
      <c r="B453" s="153" t="s">
        <v>75</v>
      </c>
      <c r="C453" s="140" t="s">
        <v>564</v>
      </c>
      <c r="D453" s="8"/>
      <c r="E453" s="8"/>
      <c r="F453" s="8">
        <v>0</v>
      </c>
      <c r="G453" s="8">
        <v>0</v>
      </c>
      <c r="H453" s="8">
        <v>1</v>
      </c>
      <c r="I453" s="8">
        <v>3</v>
      </c>
      <c r="J453" s="55">
        <f t="shared" si="16"/>
        <v>3</v>
      </c>
      <c r="K453" s="8"/>
      <c r="L453" s="8"/>
      <c r="M453" s="8">
        <v>1</v>
      </c>
      <c r="N453" s="8"/>
      <c r="O453" s="8" t="s">
        <v>18</v>
      </c>
      <c r="P453" s="8" t="s">
        <v>121</v>
      </c>
      <c r="R453" s="8" t="s">
        <v>56</v>
      </c>
      <c r="S453" s="47">
        <v>46195</v>
      </c>
      <c r="T453" t="s">
        <v>54</v>
      </c>
    </row>
    <row r="454" spans="1:20" x14ac:dyDescent="0.3">
      <c r="A454" s="54">
        <f t="shared" si="17"/>
        <v>453</v>
      </c>
      <c r="B454" s="153" t="s">
        <v>74</v>
      </c>
      <c r="C454" s="140" t="s">
        <v>565</v>
      </c>
      <c r="D454" s="8"/>
      <c r="E454" s="8"/>
      <c r="F454" s="8">
        <v>0</v>
      </c>
      <c r="G454" s="8">
        <v>0</v>
      </c>
      <c r="H454" s="8">
        <v>1</v>
      </c>
      <c r="I454" s="8">
        <v>3</v>
      </c>
      <c r="J454" s="55">
        <f t="shared" si="16"/>
        <v>3</v>
      </c>
      <c r="K454" s="8"/>
      <c r="L454" s="8"/>
      <c r="M454" s="8">
        <v>1</v>
      </c>
      <c r="N454" s="8"/>
      <c r="O454" s="8" t="s">
        <v>57</v>
      </c>
      <c r="P454" s="8" t="s">
        <v>121</v>
      </c>
      <c r="R454" s="8" t="s">
        <v>56</v>
      </c>
      <c r="S454" s="47">
        <v>46195</v>
      </c>
      <c r="T454" t="s">
        <v>54</v>
      </c>
    </row>
    <row r="455" spans="1:20" x14ac:dyDescent="0.3">
      <c r="A455" s="54">
        <f t="shared" si="17"/>
        <v>454</v>
      </c>
      <c r="B455" s="153" t="s">
        <v>75</v>
      </c>
      <c r="C455" s="73" t="s">
        <v>566</v>
      </c>
      <c r="F455" s="8">
        <v>0</v>
      </c>
      <c r="G455" s="8">
        <v>2</v>
      </c>
      <c r="H455" s="8">
        <v>2</v>
      </c>
      <c r="I455" s="8">
        <v>4</v>
      </c>
      <c r="J455" s="141">
        <f t="shared" si="16"/>
        <v>8</v>
      </c>
      <c r="K455" s="8">
        <v>1</v>
      </c>
      <c r="M455" s="8">
        <v>1</v>
      </c>
      <c r="O455" s="8" t="s">
        <v>18</v>
      </c>
      <c r="P455" s="8" t="s">
        <v>121</v>
      </c>
      <c r="R455" s="8" t="s">
        <v>56</v>
      </c>
      <c r="S455" s="47">
        <v>46195</v>
      </c>
      <c r="T455" t="s">
        <v>54</v>
      </c>
    </row>
    <row r="456" spans="1:20" x14ac:dyDescent="0.3">
      <c r="A456" s="54">
        <f t="shared" si="17"/>
        <v>455</v>
      </c>
      <c r="B456" s="153" t="s">
        <v>75</v>
      </c>
      <c r="C456" s="73" t="s">
        <v>567</v>
      </c>
      <c r="F456" s="8">
        <v>0</v>
      </c>
      <c r="G456" s="8">
        <v>2</v>
      </c>
      <c r="H456" s="8">
        <v>2</v>
      </c>
      <c r="I456" s="8">
        <v>4</v>
      </c>
      <c r="J456" s="141">
        <f t="shared" si="16"/>
        <v>8</v>
      </c>
      <c r="K456" s="8">
        <v>1</v>
      </c>
      <c r="N456">
        <v>1</v>
      </c>
      <c r="O456" s="8" t="s">
        <v>11</v>
      </c>
      <c r="P456" s="8" t="s">
        <v>121</v>
      </c>
      <c r="R456" s="8" t="s">
        <v>56</v>
      </c>
      <c r="S456" s="47">
        <v>46195</v>
      </c>
      <c r="T456" t="s">
        <v>54</v>
      </c>
    </row>
    <row r="457" spans="1:20" x14ac:dyDescent="0.3">
      <c r="A457" s="54">
        <f t="shared" si="17"/>
        <v>456</v>
      </c>
      <c r="B457" s="153" t="s">
        <v>81</v>
      </c>
      <c r="C457" s="73" t="s">
        <v>568</v>
      </c>
      <c r="H457" s="8">
        <v>1</v>
      </c>
      <c r="I457" s="8">
        <v>3</v>
      </c>
      <c r="J457" s="141">
        <f t="shared" si="16"/>
        <v>3</v>
      </c>
      <c r="M457" s="8">
        <v>1</v>
      </c>
      <c r="O457" s="8" t="s">
        <v>18</v>
      </c>
      <c r="P457" s="8" t="s">
        <v>121</v>
      </c>
      <c r="R457" s="8" t="s">
        <v>56</v>
      </c>
      <c r="S457" s="47">
        <v>46195</v>
      </c>
      <c r="T457" t="s">
        <v>54</v>
      </c>
    </row>
    <row r="458" spans="1:20" x14ac:dyDescent="0.3">
      <c r="A458" s="54">
        <f t="shared" si="17"/>
        <v>457</v>
      </c>
      <c r="B458" s="153" t="s">
        <v>75</v>
      </c>
      <c r="C458" s="73" t="s">
        <v>569</v>
      </c>
      <c r="F458" s="8">
        <v>3</v>
      </c>
      <c r="G458" s="8">
        <v>1</v>
      </c>
      <c r="H458" s="8">
        <v>1</v>
      </c>
      <c r="I458" s="8">
        <v>3</v>
      </c>
      <c r="J458" s="141">
        <f t="shared" si="16"/>
        <v>3</v>
      </c>
      <c r="N458">
        <v>1</v>
      </c>
      <c r="O458" s="8" t="s">
        <v>17</v>
      </c>
      <c r="P458" s="8" t="s">
        <v>121</v>
      </c>
      <c r="R458" s="8" t="s">
        <v>56</v>
      </c>
      <c r="S458" s="47">
        <v>46195</v>
      </c>
      <c r="T458" t="s">
        <v>54</v>
      </c>
    </row>
    <row r="459" spans="1:20" x14ac:dyDescent="0.3">
      <c r="A459" s="54">
        <f t="shared" si="17"/>
        <v>458</v>
      </c>
      <c r="B459" s="153" t="s">
        <v>75</v>
      </c>
      <c r="C459" s="73" t="s">
        <v>570</v>
      </c>
      <c r="F459" s="8">
        <v>0</v>
      </c>
      <c r="G459" s="8">
        <v>3</v>
      </c>
      <c r="H459" s="8">
        <v>3</v>
      </c>
      <c r="I459" s="8">
        <v>3</v>
      </c>
      <c r="J459" s="141">
        <f t="shared" si="16"/>
        <v>9</v>
      </c>
      <c r="N459">
        <v>1</v>
      </c>
      <c r="O459" s="8" t="s">
        <v>12</v>
      </c>
      <c r="P459" s="8" t="s">
        <v>121</v>
      </c>
      <c r="R459" s="8" t="s">
        <v>56</v>
      </c>
      <c r="S459" s="47">
        <v>46195</v>
      </c>
      <c r="T459" t="s">
        <v>54</v>
      </c>
    </row>
    <row r="460" spans="1:20" x14ac:dyDescent="0.3">
      <c r="A460" s="54">
        <f t="shared" si="17"/>
        <v>459</v>
      </c>
      <c r="B460" s="153" t="s">
        <v>73</v>
      </c>
      <c r="C460" s="116" t="s">
        <v>571</v>
      </c>
      <c r="D460" s="116"/>
      <c r="E460" s="116"/>
      <c r="F460" s="116">
        <v>1</v>
      </c>
      <c r="G460" s="116">
        <v>2</v>
      </c>
      <c r="H460" s="116">
        <v>1</v>
      </c>
      <c r="I460" s="116">
        <v>2</v>
      </c>
      <c r="J460" s="116">
        <v>2</v>
      </c>
      <c r="K460" s="116"/>
      <c r="L460" s="116"/>
      <c r="M460" s="116">
        <v>1</v>
      </c>
      <c r="N460" s="116"/>
      <c r="O460" s="116" t="s">
        <v>22</v>
      </c>
      <c r="P460" s="116" t="s">
        <v>121</v>
      </c>
      <c r="R460" s="116" t="s">
        <v>59</v>
      </c>
      <c r="S460" s="47">
        <v>46196</v>
      </c>
      <c r="T460" t="s">
        <v>54</v>
      </c>
    </row>
    <row r="461" spans="1:20" x14ac:dyDescent="0.3">
      <c r="A461" s="54">
        <f t="shared" si="17"/>
        <v>460</v>
      </c>
      <c r="B461" s="153" t="s">
        <v>76</v>
      </c>
      <c r="C461" s="116" t="s">
        <v>572</v>
      </c>
      <c r="D461" s="116"/>
      <c r="E461" s="116"/>
      <c r="F461" s="116">
        <v>16</v>
      </c>
      <c r="G461" s="116">
        <v>6</v>
      </c>
      <c r="H461" s="116">
        <v>1</v>
      </c>
      <c r="I461" s="116">
        <v>3</v>
      </c>
      <c r="J461" s="116">
        <v>3</v>
      </c>
      <c r="K461" s="116"/>
      <c r="L461" s="116"/>
      <c r="M461" s="116">
        <v>1</v>
      </c>
      <c r="N461" s="116"/>
      <c r="O461" s="116" t="s">
        <v>17</v>
      </c>
      <c r="P461" s="116" t="s">
        <v>121</v>
      </c>
      <c r="R461" s="116" t="s">
        <v>53</v>
      </c>
      <c r="S461" s="47">
        <v>46196</v>
      </c>
      <c r="T461" t="s">
        <v>54</v>
      </c>
    </row>
    <row r="462" spans="1:20" x14ac:dyDescent="0.3">
      <c r="A462" s="54">
        <f t="shared" si="17"/>
        <v>461</v>
      </c>
      <c r="B462" s="153" t="s">
        <v>75</v>
      </c>
      <c r="C462" s="116" t="s">
        <v>573</v>
      </c>
      <c r="D462" s="116"/>
      <c r="E462" s="116"/>
      <c r="F462" s="116">
        <v>14</v>
      </c>
      <c r="G462" s="116">
        <v>1</v>
      </c>
      <c r="H462" s="116">
        <v>1</v>
      </c>
      <c r="I462" s="116">
        <v>3</v>
      </c>
      <c r="J462" s="116">
        <v>3</v>
      </c>
      <c r="K462" s="116"/>
      <c r="L462" s="116"/>
      <c r="M462" s="116"/>
      <c r="N462" s="116">
        <v>1</v>
      </c>
      <c r="O462" s="116" t="s">
        <v>18</v>
      </c>
      <c r="P462" s="116" t="s">
        <v>121</v>
      </c>
      <c r="R462" s="116" t="s">
        <v>56</v>
      </c>
      <c r="S462" s="47">
        <v>46196</v>
      </c>
      <c r="T462" t="s">
        <v>54</v>
      </c>
    </row>
    <row r="463" spans="1:20" x14ac:dyDescent="0.3">
      <c r="A463" s="54">
        <f t="shared" si="17"/>
        <v>462</v>
      </c>
      <c r="B463" s="153" t="s">
        <v>75</v>
      </c>
      <c r="C463" s="116" t="s">
        <v>574</v>
      </c>
      <c r="D463" s="116"/>
      <c r="E463" s="116"/>
      <c r="F463" s="116">
        <v>14</v>
      </c>
      <c r="G463" s="116">
        <v>2</v>
      </c>
      <c r="H463" s="116">
        <v>1</v>
      </c>
      <c r="I463" s="116">
        <v>4</v>
      </c>
      <c r="J463" s="116">
        <v>4</v>
      </c>
      <c r="K463" s="116">
        <v>1</v>
      </c>
      <c r="L463" s="116"/>
      <c r="M463" s="116"/>
      <c r="N463" s="116">
        <v>1</v>
      </c>
      <c r="O463" s="116" t="s">
        <v>18</v>
      </c>
      <c r="P463" s="116" t="s">
        <v>37</v>
      </c>
      <c r="R463" s="116" t="s">
        <v>56</v>
      </c>
      <c r="S463" s="47">
        <v>46196</v>
      </c>
      <c r="T463" t="s">
        <v>54</v>
      </c>
    </row>
    <row r="464" spans="1:20" x14ac:dyDescent="0.3">
      <c r="A464" s="54">
        <f t="shared" si="17"/>
        <v>463</v>
      </c>
      <c r="B464" s="153" t="s">
        <v>76</v>
      </c>
      <c r="C464" s="116" t="s">
        <v>575</v>
      </c>
      <c r="D464" s="116"/>
      <c r="E464" s="116"/>
      <c r="F464" s="116">
        <v>0</v>
      </c>
      <c r="G464" s="116">
        <v>0</v>
      </c>
      <c r="H464" s="116">
        <v>1</v>
      </c>
      <c r="I464" s="116">
        <v>1</v>
      </c>
      <c r="J464" s="116">
        <v>1</v>
      </c>
      <c r="K464" s="116"/>
      <c r="L464" s="116"/>
      <c r="M464" s="116">
        <v>1</v>
      </c>
      <c r="N464" s="116"/>
      <c r="O464" s="116" t="s">
        <v>9</v>
      </c>
      <c r="P464" s="116" t="s">
        <v>121</v>
      </c>
      <c r="R464" s="116" t="s">
        <v>56</v>
      </c>
      <c r="S464" s="47">
        <v>46196</v>
      </c>
      <c r="T464" t="s">
        <v>54</v>
      </c>
    </row>
    <row r="465" spans="1:20" x14ac:dyDescent="0.3">
      <c r="A465" s="54">
        <f t="shared" si="17"/>
        <v>464</v>
      </c>
      <c r="B465" s="153" t="s">
        <v>84</v>
      </c>
      <c r="C465" s="116" t="s">
        <v>576</v>
      </c>
      <c r="D465" s="116"/>
      <c r="E465" s="116"/>
      <c r="F465" s="116">
        <v>0</v>
      </c>
      <c r="G465" s="116">
        <v>0</v>
      </c>
      <c r="H465" s="116">
        <v>1</v>
      </c>
      <c r="I465" s="116">
        <v>3</v>
      </c>
      <c r="J465" s="116">
        <v>3</v>
      </c>
      <c r="K465" s="116"/>
      <c r="L465" s="116"/>
      <c r="M465" s="116">
        <v>1</v>
      </c>
      <c r="N465" s="116"/>
      <c r="O465" s="116" t="s">
        <v>13</v>
      </c>
      <c r="P465" s="116" t="s">
        <v>121</v>
      </c>
      <c r="R465" s="116" t="s">
        <v>56</v>
      </c>
      <c r="S465" s="47">
        <v>46196</v>
      </c>
      <c r="T465" t="s">
        <v>54</v>
      </c>
    </row>
    <row r="466" spans="1:20" x14ac:dyDescent="0.3">
      <c r="A466" s="54">
        <f t="shared" si="17"/>
        <v>465</v>
      </c>
      <c r="B466" s="153" t="s">
        <v>72</v>
      </c>
      <c r="C466" s="116" t="s">
        <v>577</v>
      </c>
      <c r="D466" s="116"/>
      <c r="E466" s="116"/>
      <c r="F466" s="116">
        <v>3</v>
      </c>
      <c r="G466" s="116">
        <v>5</v>
      </c>
      <c r="H466" s="116">
        <v>1</v>
      </c>
      <c r="I466" s="116">
        <v>3</v>
      </c>
      <c r="J466" s="116">
        <v>3</v>
      </c>
      <c r="K466" s="116"/>
      <c r="L466" s="116"/>
      <c r="M466" s="116">
        <v>1</v>
      </c>
      <c r="N466" s="116"/>
      <c r="O466" s="116" t="s">
        <v>17</v>
      </c>
      <c r="P466" s="116" t="s">
        <v>121</v>
      </c>
      <c r="R466" s="116" t="s">
        <v>53</v>
      </c>
      <c r="S466" s="47">
        <v>46196</v>
      </c>
      <c r="T466" t="s">
        <v>54</v>
      </c>
    </row>
    <row r="467" spans="1:20" x14ac:dyDescent="0.3">
      <c r="A467" s="54">
        <f t="shared" si="17"/>
        <v>466</v>
      </c>
      <c r="B467" s="153" t="s">
        <v>75</v>
      </c>
      <c r="C467" s="116" t="s">
        <v>578</v>
      </c>
      <c r="D467" s="116"/>
      <c r="E467" s="116"/>
      <c r="F467" s="116">
        <v>0</v>
      </c>
      <c r="G467" s="116">
        <v>0</v>
      </c>
      <c r="H467" s="116">
        <v>1</v>
      </c>
      <c r="I467" s="116">
        <v>3</v>
      </c>
      <c r="J467" s="116">
        <v>3</v>
      </c>
      <c r="K467" s="116"/>
      <c r="L467" s="116"/>
      <c r="M467" s="116">
        <v>1</v>
      </c>
      <c r="N467" s="116"/>
      <c r="O467" s="116" t="s">
        <v>17</v>
      </c>
      <c r="P467" s="116" t="s">
        <v>121</v>
      </c>
      <c r="R467" s="116" t="s">
        <v>53</v>
      </c>
      <c r="S467" s="47">
        <v>46196</v>
      </c>
      <c r="T467" t="s">
        <v>54</v>
      </c>
    </row>
    <row r="468" spans="1:20" x14ac:dyDescent="0.3">
      <c r="A468" s="54">
        <f t="shared" si="17"/>
        <v>467</v>
      </c>
      <c r="B468" s="153" t="s">
        <v>78</v>
      </c>
      <c r="C468" s="116" t="s">
        <v>579</v>
      </c>
      <c r="D468" s="116"/>
      <c r="E468" s="116"/>
      <c r="F468" s="116">
        <v>0</v>
      </c>
      <c r="G468" s="116">
        <v>1</v>
      </c>
      <c r="H468" s="116">
        <v>1</v>
      </c>
      <c r="I468" s="116">
        <v>5</v>
      </c>
      <c r="J468" s="116">
        <v>5</v>
      </c>
      <c r="K468" s="116">
        <v>1</v>
      </c>
      <c r="L468" s="116"/>
      <c r="M468" s="116"/>
      <c r="N468" s="116">
        <v>1</v>
      </c>
      <c r="O468" s="116" t="s">
        <v>12</v>
      </c>
      <c r="P468" s="116" t="s">
        <v>37</v>
      </c>
      <c r="R468" s="116" t="s">
        <v>53</v>
      </c>
      <c r="S468" s="47">
        <v>46196</v>
      </c>
      <c r="T468" t="s">
        <v>54</v>
      </c>
    </row>
    <row r="469" spans="1:20" x14ac:dyDescent="0.3">
      <c r="A469" s="54">
        <f t="shared" si="17"/>
        <v>468</v>
      </c>
      <c r="B469" s="153" t="s">
        <v>75</v>
      </c>
      <c r="C469" s="116" t="s">
        <v>580</v>
      </c>
      <c r="D469" s="116"/>
      <c r="E469" s="116"/>
      <c r="F469" s="116">
        <v>0</v>
      </c>
      <c r="G469" s="116">
        <v>0</v>
      </c>
      <c r="H469" s="116">
        <v>1</v>
      </c>
      <c r="I469" s="116">
        <v>4</v>
      </c>
      <c r="J469" s="116">
        <v>4</v>
      </c>
      <c r="K469" s="116">
        <v>1</v>
      </c>
      <c r="L469" s="116"/>
      <c r="M469" s="116">
        <v>1</v>
      </c>
      <c r="N469" s="116"/>
      <c r="O469" s="116" t="s">
        <v>18</v>
      </c>
      <c r="P469" s="116" t="s">
        <v>121</v>
      </c>
      <c r="R469" s="116" t="s">
        <v>53</v>
      </c>
      <c r="S469" s="47">
        <v>46196</v>
      </c>
      <c r="T469" t="s">
        <v>54</v>
      </c>
    </row>
    <row r="470" spans="1:20" x14ac:dyDescent="0.3">
      <c r="A470" s="54">
        <f t="shared" si="17"/>
        <v>469</v>
      </c>
      <c r="B470" s="153" t="s">
        <v>76</v>
      </c>
      <c r="C470" s="116" t="s">
        <v>581</v>
      </c>
      <c r="D470" s="116"/>
      <c r="E470" s="116"/>
      <c r="F470" s="116">
        <v>0</v>
      </c>
      <c r="G470" s="116">
        <v>0</v>
      </c>
      <c r="H470" s="116">
        <v>1</v>
      </c>
      <c r="I470" s="116">
        <v>3</v>
      </c>
      <c r="J470" s="116">
        <v>3</v>
      </c>
      <c r="K470" s="116"/>
      <c r="L470" s="116"/>
      <c r="M470" s="116">
        <v>1</v>
      </c>
      <c r="N470" s="116"/>
      <c r="O470" s="116" t="s">
        <v>18</v>
      </c>
      <c r="P470" s="116" t="s">
        <v>121</v>
      </c>
      <c r="R470" s="116" t="s">
        <v>53</v>
      </c>
      <c r="S470" s="47">
        <v>46196</v>
      </c>
      <c r="T470" t="s">
        <v>54</v>
      </c>
    </row>
    <row r="471" spans="1:20" x14ac:dyDescent="0.3">
      <c r="A471" s="54">
        <f t="shared" si="17"/>
        <v>470</v>
      </c>
      <c r="B471" s="153" t="s">
        <v>86</v>
      </c>
      <c r="C471" s="116" t="s">
        <v>582</v>
      </c>
      <c r="D471" s="116"/>
      <c r="E471" s="116"/>
      <c r="F471" s="116">
        <v>0</v>
      </c>
      <c r="G471" s="116">
        <v>0</v>
      </c>
      <c r="H471" s="116">
        <v>1</v>
      </c>
      <c r="I471" s="116">
        <v>3</v>
      </c>
      <c r="J471" s="116">
        <v>3</v>
      </c>
      <c r="K471" s="116"/>
      <c r="L471" s="116"/>
      <c r="M471" s="116"/>
      <c r="N471" s="116">
        <v>1</v>
      </c>
      <c r="O471" s="116" t="s">
        <v>18</v>
      </c>
      <c r="P471" s="116" t="s">
        <v>121</v>
      </c>
      <c r="R471" s="116" t="s">
        <v>53</v>
      </c>
      <c r="S471" s="47">
        <v>46196</v>
      </c>
      <c r="T471" t="s">
        <v>54</v>
      </c>
    </row>
    <row r="472" spans="1:20" x14ac:dyDescent="0.3">
      <c r="A472" s="54">
        <f t="shared" si="17"/>
        <v>471</v>
      </c>
      <c r="B472" s="153" t="s">
        <v>75</v>
      </c>
      <c r="C472" s="116" t="s">
        <v>583</v>
      </c>
      <c r="D472" s="116"/>
      <c r="E472" s="116"/>
      <c r="F472" s="116">
        <v>0</v>
      </c>
      <c r="G472" s="116">
        <v>0</v>
      </c>
      <c r="H472" s="116">
        <v>1</v>
      </c>
      <c r="I472" s="116">
        <v>3</v>
      </c>
      <c r="J472" s="116">
        <v>3</v>
      </c>
      <c r="K472" s="116"/>
      <c r="L472" s="116"/>
      <c r="M472" s="116">
        <v>1</v>
      </c>
      <c r="N472" s="116"/>
      <c r="O472" s="116" t="s">
        <v>18</v>
      </c>
      <c r="P472" s="116" t="s">
        <v>121</v>
      </c>
      <c r="R472" s="116" t="s">
        <v>53</v>
      </c>
      <c r="S472" s="47">
        <v>46196</v>
      </c>
      <c r="T472" t="s">
        <v>54</v>
      </c>
    </row>
    <row r="473" spans="1:20" x14ac:dyDescent="0.3">
      <c r="A473" s="54">
        <f t="shared" si="17"/>
        <v>472</v>
      </c>
      <c r="B473" s="153" t="s">
        <v>73</v>
      </c>
      <c r="C473" s="116" t="s">
        <v>584</v>
      </c>
      <c r="D473" s="116"/>
      <c r="E473" s="116"/>
      <c r="F473" s="116">
        <v>18</v>
      </c>
      <c r="G473" s="116">
        <v>1</v>
      </c>
      <c r="H473" s="116">
        <v>1</v>
      </c>
      <c r="I473" s="116">
        <v>3</v>
      </c>
      <c r="J473" s="116">
        <v>3</v>
      </c>
      <c r="K473" s="116"/>
      <c r="L473" s="116">
        <v>1</v>
      </c>
      <c r="M473" s="116"/>
      <c r="N473" s="116">
        <v>1</v>
      </c>
      <c r="O473" s="116" t="s">
        <v>18</v>
      </c>
      <c r="P473" s="116" t="s">
        <v>121</v>
      </c>
      <c r="R473" s="116" t="s">
        <v>53</v>
      </c>
      <c r="S473" s="47">
        <v>46196</v>
      </c>
      <c r="T473" t="s">
        <v>54</v>
      </c>
    </row>
    <row r="474" spans="1:20" x14ac:dyDescent="0.3">
      <c r="A474" s="54">
        <f t="shared" si="17"/>
        <v>473</v>
      </c>
      <c r="B474" s="153" t="s">
        <v>72</v>
      </c>
      <c r="C474" s="116" t="s">
        <v>585</v>
      </c>
      <c r="D474" s="116"/>
      <c r="E474" s="116"/>
      <c r="F474" s="116">
        <v>0</v>
      </c>
      <c r="G474" s="116">
        <v>0</v>
      </c>
      <c r="H474" s="116">
        <v>1</v>
      </c>
      <c r="I474" s="116">
        <v>2</v>
      </c>
      <c r="J474" s="116">
        <v>2</v>
      </c>
      <c r="K474" s="116"/>
      <c r="L474" s="116"/>
      <c r="M474" s="116"/>
      <c r="N474" s="116">
        <v>1</v>
      </c>
      <c r="O474" s="116" t="s">
        <v>18</v>
      </c>
      <c r="P474" s="116" t="s">
        <v>121</v>
      </c>
      <c r="R474" s="116" t="s">
        <v>53</v>
      </c>
      <c r="S474" s="47">
        <v>46196</v>
      </c>
      <c r="T474" t="s">
        <v>54</v>
      </c>
    </row>
    <row r="475" spans="1:20" x14ac:dyDescent="0.3">
      <c r="A475" s="54">
        <f t="shared" si="17"/>
        <v>474</v>
      </c>
      <c r="B475" s="153" t="s">
        <v>75</v>
      </c>
      <c r="C475" s="116" t="s">
        <v>586</v>
      </c>
      <c r="D475" s="116"/>
      <c r="E475" s="116"/>
      <c r="F475" s="116">
        <v>3</v>
      </c>
      <c r="G475" s="116">
        <v>1</v>
      </c>
      <c r="H475" s="116">
        <v>1</v>
      </c>
      <c r="I475" s="116">
        <v>5</v>
      </c>
      <c r="J475" s="116">
        <v>5</v>
      </c>
      <c r="K475" s="116">
        <v>1</v>
      </c>
      <c r="L475" s="116"/>
      <c r="M475" s="116"/>
      <c r="N475" s="116">
        <v>1</v>
      </c>
      <c r="O475" s="116" t="s">
        <v>12</v>
      </c>
      <c r="P475" s="116" t="s">
        <v>37</v>
      </c>
      <c r="R475" s="116" t="s">
        <v>53</v>
      </c>
      <c r="S475" s="47">
        <v>46196</v>
      </c>
      <c r="T475" t="s">
        <v>54</v>
      </c>
    </row>
    <row r="476" spans="1:20" x14ac:dyDescent="0.3">
      <c r="A476" s="54">
        <f t="shared" si="17"/>
        <v>475</v>
      </c>
      <c r="B476" s="153" t="s">
        <v>82</v>
      </c>
      <c r="C476" s="116" t="s">
        <v>587</v>
      </c>
      <c r="D476" s="116"/>
      <c r="E476" s="116"/>
      <c r="F476" s="116">
        <v>2</v>
      </c>
      <c r="G476" s="116">
        <v>2</v>
      </c>
      <c r="H476" s="116">
        <v>1</v>
      </c>
      <c r="I476" s="116">
        <v>3</v>
      </c>
      <c r="J476" s="116">
        <v>3</v>
      </c>
      <c r="K476" s="116"/>
      <c r="L476" s="116"/>
      <c r="M476" s="116"/>
      <c r="N476" s="116">
        <v>1</v>
      </c>
      <c r="O476" s="116" t="s">
        <v>17</v>
      </c>
      <c r="P476" s="116" t="s">
        <v>121</v>
      </c>
      <c r="R476" s="116" t="s">
        <v>53</v>
      </c>
      <c r="S476" s="47">
        <v>46196</v>
      </c>
      <c r="T476" t="s">
        <v>54</v>
      </c>
    </row>
    <row r="477" spans="1:20" x14ac:dyDescent="0.3">
      <c r="A477" s="54">
        <f t="shared" si="17"/>
        <v>476</v>
      </c>
      <c r="B477" s="153" t="s">
        <v>72</v>
      </c>
      <c r="C477" s="116" t="s">
        <v>588</v>
      </c>
      <c r="D477" s="116"/>
      <c r="E477" s="116"/>
      <c r="F477" s="116">
        <v>3</v>
      </c>
      <c r="G477" s="116">
        <v>2</v>
      </c>
      <c r="H477" s="116">
        <v>1</v>
      </c>
      <c r="I477" s="116">
        <v>3</v>
      </c>
      <c r="J477" s="116">
        <v>3</v>
      </c>
      <c r="K477" s="116"/>
      <c r="L477" s="116"/>
      <c r="M477" s="116">
        <v>1</v>
      </c>
      <c r="N477" s="116"/>
      <c r="O477" s="116" t="s">
        <v>12</v>
      </c>
      <c r="P477" s="116" t="s">
        <v>121</v>
      </c>
      <c r="R477" s="116" t="s">
        <v>53</v>
      </c>
      <c r="S477" s="47">
        <v>46196</v>
      </c>
      <c r="T477" t="s">
        <v>54</v>
      </c>
    </row>
    <row r="478" spans="1:20" x14ac:dyDescent="0.3">
      <c r="A478" s="54">
        <f t="shared" si="17"/>
        <v>477</v>
      </c>
      <c r="B478" s="153" t="s">
        <v>77</v>
      </c>
      <c r="C478" s="116" t="s">
        <v>589</v>
      </c>
      <c r="D478" s="116"/>
      <c r="E478" s="116"/>
      <c r="F478" s="116">
        <v>1</v>
      </c>
      <c r="G478" s="116">
        <v>1</v>
      </c>
      <c r="H478" s="116">
        <v>1</v>
      </c>
      <c r="I478" s="116">
        <v>3</v>
      </c>
      <c r="J478" s="116">
        <v>3</v>
      </c>
      <c r="K478" s="116"/>
      <c r="L478" s="116"/>
      <c r="M478" s="116">
        <v>1</v>
      </c>
      <c r="N478" s="116"/>
      <c r="O478" s="116" t="s">
        <v>18</v>
      </c>
      <c r="P478" s="116" t="s">
        <v>121</v>
      </c>
      <c r="R478" s="116" t="s">
        <v>56</v>
      </c>
      <c r="S478" s="47">
        <v>46196</v>
      </c>
      <c r="T478" t="s">
        <v>54</v>
      </c>
    </row>
    <row r="479" spans="1:20" x14ac:dyDescent="0.3">
      <c r="A479" s="54">
        <f t="shared" si="17"/>
        <v>478</v>
      </c>
      <c r="B479" s="153" t="s">
        <v>76</v>
      </c>
      <c r="C479" s="116" t="s">
        <v>590</v>
      </c>
      <c r="D479" s="116"/>
      <c r="E479" s="116"/>
      <c r="F479" s="116">
        <v>0</v>
      </c>
      <c r="G479" s="116">
        <v>0</v>
      </c>
      <c r="H479" s="116">
        <v>1</v>
      </c>
      <c r="I479" s="116">
        <v>2</v>
      </c>
      <c r="J479" s="116">
        <v>2</v>
      </c>
      <c r="K479" s="116"/>
      <c r="L479" s="116"/>
      <c r="M479" s="116">
        <v>1</v>
      </c>
      <c r="N479" s="116"/>
      <c r="O479" s="116" t="s">
        <v>9</v>
      </c>
      <c r="P479" s="116" t="s">
        <v>121</v>
      </c>
      <c r="R479" s="116" t="s">
        <v>56</v>
      </c>
      <c r="S479" s="47">
        <v>46196</v>
      </c>
      <c r="T479" t="s">
        <v>54</v>
      </c>
    </row>
    <row r="480" spans="1:20" x14ac:dyDescent="0.3">
      <c r="A480" s="54">
        <f t="shared" si="17"/>
        <v>479</v>
      </c>
      <c r="B480" s="153" t="s">
        <v>79</v>
      </c>
      <c r="C480" s="116" t="s">
        <v>591</v>
      </c>
      <c r="D480" s="116"/>
      <c r="E480" s="116"/>
      <c r="F480" s="116">
        <v>0</v>
      </c>
      <c r="G480" s="116">
        <v>1</v>
      </c>
      <c r="H480" s="116">
        <v>1</v>
      </c>
      <c r="I480" s="116">
        <v>3</v>
      </c>
      <c r="J480" s="116">
        <v>3</v>
      </c>
      <c r="K480" s="116"/>
      <c r="L480" s="116"/>
      <c r="M480" s="116"/>
      <c r="N480" s="116">
        <v>1</v>
      </c>
      <c r="O480" s="45" t="s">
        <v>38</v>
      </c>
      <c r="P480" s="116" t="s">
        <v>121</v>
      </c>
      <c r="Q480" s="116"/>
      <c r="R480" s="116" t="s">
        <v>59</v>
      </c>
      <c r="S480" s="47">
        <v>46196</v>
      </c>
      <c r="T480" t="s">
        <v>54</v>
      </c>
    </row>
    <row r="481" spans="1:20" x14ac:dyDescent="0.3">
      <c r="A481" s="54">
        <f t="shared" si="17"/>
        <v>480</v>
      </c>
      <c r="B481" s="153" t="s">
        <v>72</v>
      </c>
      <c r="C481" s="116" t="s">
        <v>592</v>
      </c>
      <c r="D481" s="116"/>
      <c r="E481" s="116"/>
      <c r="F481" s="116">
        <v>3</v>
      </c>
      <c r="G481" s="116">
        <v>1</v>
      </c>
      <c r="H481" s="116">
        <v>1</v>
      </c>
      <c r="I481" s="116">
        <v>2</v>
      </c>
      <c r="J481" s="116">
        <v>2</v>
      </c>
      <c r="K481" s="116"/>
      <c r="L481" s="116"/>
      <c r="M481" s="116">
        <v>1</v>
      </c>
      <c r="N481" s="116"/>
      <c r="O481" s="116" t="s">
        <v>18</v>
      </c>
      <c r="P481" s="116" t="s">
        <v>121</v>
      </c>
      <c r="Q481" s="116"/>
      <c r="R481" s="116" t="s">
        <v>56</v>
      </c>
      <c r="S481" s="47">
        <v>46197</v>
      </c>
      <c r="T481" t="s">
        <v>54</v>
      </c>
    </row>
    <row r="482" spans="1:20" x14ac:dyDescent="0.3">
      <c r="A482" s="54">
        <f t="shared" si="17"/>
        <v>481</v>
      </c>
      <c r="B482" s="153" t="s">
        <v>75</v>
      </c>
      <c r="C482" s="116" t="s">
        <v>593</v>
      </c>
      <c r="D482" s="116"/>
      <c r="E482" s="116"/>
      <c r="F482" s="116">
        <v>8</v>
      </c>
      <c r="G482" s="116">
        <v>0</v>
      </c>
      <c r="H482" s="116">
        <v>1</v>
      </c>
      <c r="I482" s="116">
        <v>4</v>
      </c>
      <c r="J482" s="116">
        <v>4</v>
      </c>
      <c r="K482" s="116">
        <v>1</v>
      </c>
      <c r="L482" s="116"/>
      <c r="M482" s="116">
        <v>1</v>
      </c>
      <c r="N482" s="116"/>
      <c r="O482" s="116" t="s">
        <v>18</v>
      </c>
      <c r="P482" s="116" t="s">
        <v>37</v>
      </c>
      <c r="Q482" s="116"/>
      <c r="R482" s="116" t="s">
        <v>56</v>
      </c>
      <c r="S482" s="47">
        <v>46197</v>
      </c>
      <c r="T482" t="s">
        <v>54</v>
      </c>
    </row>
    <row r="483" spans="1:20" x14ac:dyDescent="0.3">
      <c r="A483" s="54">
        <f t="shared" si="17"/>
        <v>482</v>
      </c>
      <c r="B483" s="153" t="s">
        <v>83</v>
      </c>
      <c r="C483" s="116" t="s">
        <v>594</v>
      </c>
      <c r="D483" s="116"/>
      <c r="E483" s="116"/>
      <c r="F483" s="116">
        <v>0</v>
      </c>
      <c r="G483" s="116">
        <v>0</v>
      </c>
      <c r="H483" s="116">
        <v>1</v>
      </c>
      <c r="I483" s="116">
        <v>3</v>
      </c>
      <c r="J483" s="116">
        <v>3</v>
      </c>
      <c r="K483" s="116"/>
      <c r="L483" s="116"/>
      <c r="M483" s="116">
        <v>1</v>
      </c>
      <c r="N483" s="116"/>
      <c r="O483" s="116" t="s">
        <v>13</v>
      </c>
      <c r="P483" s="116" t="s">
        <v>121</v>
      </c>
      <c r="Q483" s="116"/>
      <c r="R483" s="116" t="s">
        <v>58</v>
      </c>
      <c r="S483" s="47">
        <v>46197</v>
      </c>
      <c r="T483" t="s">
        <v>54</v>
      </c>
    </row>
    <row r="484" spans="1:20" x14ac:dyDescent="0.3">
      <c r="A484" s="54">
        <f t="shared" si="17"/>
        <v>483</v>
      </c>
      <c r="B484" s="153" t="s">
        <v>72</v>
      </c>
      <c r="C484" s="116" t="s">
        <v>595</v>
      </c>
      <c r="D484" s="116"/>
      <c r="E484" s="116"/>
      <c r="F484" s="116">
        <v>0</v>
      </c>
      <c r="G484" s="116">
        <v>0</v>
      </c>
      <c r="H484" s="116">
        <v>1</v>
      </c>
      <c r="I484" s="116">
        <v>3</v>
      </c>
      <c r="J484" s="116">
        <v>3</v>
      </c>
      <c r="K484" s="116"/>
      <c r="L484" s="116"/>
      <c r="M484" s="116">
        <v>1</v>
      </c>
      <c r="N484" s="116"/>
      <c r="O484" s="116" t="s">
        <v>13</v>
      </c>
      <c r="P484" s="116" t="s">
        <v>121</v>
      </c>
      <c r="Q484" s="116"/>
      <c r="R484" s="116" t="s">
        <v>58</v>
      </c>
      <c r="S484" s="47">
        <v>46197</v>
      </c>
      <c r="T484" t="s">
        <v>54</v>
      </c>
    </row>
    <row r="485" spans="1:20" x14ac:dyDescent="0.3">
      <c r="A485" s="54">
        <f t="shared" si="17"/>
        <v>484</v>
      </c>
      <c r="B485" s="153" t="s">
        <v>596</v>
      </c>
      <c r="C485" s="116" t="s">
        <v>597</v>
      </c>
      <c r="D485" s="116"/>
      <c r="E485" s="116"/>
      <c r="F485" s="116">
        <v>0</v>
      </c>
      <c r="G485" s="116">
        <v>0</v>
      </c>
      <c r="H485" s="116">
        <v>1</v>
      </c>
      <c r="I485" s="116">
        <v>3</v>
      </c>
      <c r="J485" s="116">
        <v>3</v>
      </c>
      <c r="K485" s="116"/>
      <c r="L485" s="116"/>
      <c r="M485" s="116">
        <v>1</v>
      </c>
      <c r="N485" s="116"/>
      <c r="O485" s="8" t="s">
        <v>16</v>
      </c>
      <c r="P485" s="116" t="s">
        <v>121</v>
      </c>
      <c r="Q485" s="116"/>
      <c r="R485" s="116" t="s">
        <v>58</v>
      </c>
      <c r="S485" s="47">
        <v>46197</v>
      </c>
      <c r="T485" t="s">
        <v>54</v>
      </c>
    </row>
    <row r="486" spans="1:20" x14ac:dyDescent="0.3">
      <c r="A486" s="54">
        <f t="shared" si="17"/>
        <v>485</v>
      </c>
      <c r="B486" s="153" t="s">
        <v>74</v>
      </c>
      <c r="C486" s="116" t="s">
        <v>598</v>
      </c>
      <c r="D486" s="116"/>
      <c r="E486" s="116"/>
      <c r="F486" s="116">
        <v>0</v>
      </c>
      <c r="G486" s="116">
        <v>0</v>
      </c>
      <c r="H486" s="116">
        <v>1</v>
      </c>
      <c r="I486" s="116">
        <v>3</v>
      </c>
      <c r="J486" s="116">
        <v>3</v>
      </c>
      <c r="K486" s="116"/>
      <c r="L486" s="116"/>
      <c r="M486" s="116">
        <v>1</v>
      </c>
      <c r="N486" s="116"/>
      <c r="O486" s="116" t="s">
        <v>48</v>
      </c>
      <c r="P486" s="116" t="s">
        <v>121</v>
      </c>
      <c r="Q486" s="116"/>
      <c r="R486" s="116" t="s">
        <v>58</v>
      </c>
      <c r="S486" s="47">
        <v>46197</v>
      </c>
      <c r="T486" t="s">
        <v>54</v>
      </c>
    </row>
    <row r="487" spans="1:20" x14ac:dyDescent="0.3">
      <c r="A487" s="54">
        <f t="shared" si="17"/>
        <v>486</v>
      </c>
      <c r="B487" s="153" t="s">
        <v>74</v>
      </c>
      <c r="C487" s="116" t="s">
        <v>599</v>
      </c>
      <c r="D487" s="116"/>
      <c r="E487" s="116"/>
      <c r="F487" s="116">
        <v>0</v>
      </c>
      <c r="G487" s="116">
        <v>0</v>
      </c>
      <c r="H487" s="116">
        <v>1</v>
      </c>
      <c r="I487" s="116">
        <v>4</v>
      </c>
      <c r="J487" s="116">
        <v>4</v>
      </c>
      <c r="K487" s="116">
        <v>1</v>
      </c>
      <c r="L487" s="116"/>
      <c r="M487" s="116">
        <v>1</v>
      </c>
      <c r="N487" s="116"/>
      <c r="O487" s="116" t="s">
        <v>48</v>
      </c>
      <c r="P487" s="116" t="s">
        <v>121</v>
      </c>
      <c r="Q487" s="116"/>
      <c r="R487" s="116" t="s">
        <v>58</v>
      </c>
      <c r="S487" s="47">
        <v>46197</v>
      </c>
      <c r="T487" t="s">
        <v>54</v>
      </c>
    </row>
    <row r="488" spans="1:20" x14ac:dyDescent="0.3">
      <c r="A488" s="54">
        <f t="shared" si="17"/>
        <v>487</v>
      </c>
      <c r="B488" s="153" t="s">
        <v>73</v>
      </c>
      <c r="C488" s="116" t="s">
        <v>600</v>
      </c>
      <c r="D488" s="116"/>
      <c r="E488" s="116"/>
      <c r="F488" s="116">
        <v>5</v>
      </c>
      <c r="G488" s="116">
        <v>2</v>
      </c>
      <c r="H488" s="116">
        <v>1</v>
      </c>
      <c r="I488" s="116">
        <v>2</v>
      </c>
      <c r="J488" s="116">
        <v>2</v>
      </c>
      <c r="K488" s="116"/>
      <c r="L488" s="116"/>
      <c r="M488" s="116"/>
      <c r="N488" s="116">
        <v>1</v>
      </c>
      <c r="O488" s="116" t="s">
        <v>12</v>
      </c>
      <c r="P488" s="116" t="s">
        <v>121</v>
      </c>
      <c r="Q488" s="116"/>
      <c r="R488" s="116" t="s">
        <v>53</v>
      </c>
      <c r="S488" s="47">
        <v>46197</v>
      </c>
      <c r="T488" t="s">
        <v>54</v>
      </c>
    </row>
    <row r="489" spans="1:20" x14ac:dyDescent="0.3">
      <c r="A489" s="54">
        <f t="shared" si="17"/>
        <v>488</v>
      </c>
      <c r="B489" s="153" t="s">
        <v>81</v>
      </c>
      <c r="C489" s="116" t="s">
        <v>601</v>
      </c>
      <c r="D489" s="116"/>
      <c r="E489" s="116"/>
      <c r="F489" s="116">
        <v>0</v>
      </c>
      <c r="G489" s="116">
        <v>0</v>
      </c>
      <c r="H489" s="116">
        <v>1</v>
      </c>
      <c r="I489" s="116">
        <v>3</v>
      </c>
      <c r="J489" s="116">
        <v>3</v>
      </c>
      <c r="K489" s="116"/>
      <c r="L489" s="116"/>
      <c r="M489" s="116">
        <v>1</v>
      </c>
      <c r="N489" s="116"/>
      <c r="O489" s="116" t="s">
        <v>17</v>
      </c>
      <c r="P489" s="116" t="s">
        <v>121</v>
      </c>
      <c r="Q489" s="116"/>
      <c r="R489" s="116" t="s">
        <v>53</v>
      </c>
      <c r="S489" s="47">
        <v>46197</v>
      </c>
      <c r="T489" t="s">
        <v>54</v>
      </c>
    </row>
    <row r="490" spans="1:20" x14ac:dyDescent="0.3">
      <c r="A490" s="54">
        <f t="shared" si="17"/>
        <v>489</v>
      </c>
      <c r="B490" s="153" t="s">
        <v>73</v>
      </c>
      <c r="C490" s="116" t="s">
        <v>602</v>
      </c>
      <c r="D490" s="116"/>
      <c r="E490" s="116"/>
      <c r="F490" s="116">
        <v>4</v>
      </c>
      <c r="G490" s="116">
        <v>1</v>
      </c>
      <c r="H490" s="116">
        <v>1</v>
      </c>
      <c r="I490" s="116">
        <v>3</v>
      </c>
      <c r="J490" s="116">
        <v>3</v>
      </c>
      <c r="K490" s="116"/>
      <c r="L490" s="116">
        <v>1</v>
      </c>
      <c r="M490" s="116"/>
      <c r="N490" s="116">
        <v>1</v>
      </c>
      <c r="O490" s="116" t="s">
        <v>12</v>
      </c>
      <c r="P490" s="116" t="s">
        <v>121</v>
      </c>
      <c r="Q490" s="116"/>
      <c r="R490" s="116" t="s">
        <v>53</v>
      </c>
      <c r="S490" s="47">
        <v>46197</v>
      </c>
      <c r="T490" t="s">
        <v>54</v>
      </c>
    </row>
    <row r="491" spans="1:20" x14ac:dyDescent="0.3">
      <c r="A491" s="54">
        <f t="shared" si="17"/>
        <v>490</v>
      </c>
      <c r="B491" s="153" t="s">
        <v>78</v>
      </c>
      <c r="C491" s="116" t="s">
        <v>603</v>
      </c>
      <c r="D491" s="116"/>
      <c r="E491" s="116"/>
      <c r="F491" s="116">
        <v>13</v>
      </c>
      <c r="G491" s="116">
        <v>0</v>
      </c>
      <c r="H491" s="116">
        <v>1</v>
      </c>
      <c r="I491" s="116">
        <v>2</v>
      </c>
      <c r="J491" s="116">
        <v>2</v>
      </c>
      <c r="K491" s="116"/>
      <c r="L491" s="116"/>
      <c r="M491" s="116">
        <v>1</v>
      </c>
      <c r="N491" s="116"/>
      <c r="O491" s="116" t="s">
        <v>604</v>
      </c>
      <c r="P491" s="116" t="s">
        <v>121</v>
      </c>
      <c r="R491" s="116" t="s">
        <v>59</v>
      </c>
      <c r="S491" s="47">
        <v>46197</v>
      </c>
      <c r="T491" t="s">
        <v>54</v>
      </c>
    </row>
    <row r="492" spans="1:20" x14ac:dyDescent="0.3">
      <c r="A492" s="54">
        <f t="shared" si="17"/>
        <v>491</v>
      </c>
      <c r="B492" s="153" t="s">
        <v>73</v>
      </c>
      <c r="C492" s="116" t="s">
        <v>605</v>
      </c>
      <c r="D492" s="116"/>
      <c r="E492" s="116"/>
      <c r="F492" s="116">
        <v>9</v>
      </c>
      <c r="G492" s="116">
        <v>3</v>
      </c>
      <c r="H492" s="116">
        <v>1</v>
      </c>
      <c r="I492" s="116">
        <v>3</v>
      </c>
      <c r="J492" s="116">
        <v>3</v>
      </c>
      <c r="K492" s="116"/>
      <c r="L492" s="116">
        <v>1</v>
      </c>
      <c r="M492" s="116"/>
      <c r="N492" s="116">
        <v>1</v>
      </c>
      <c r="O492" s="116" t="s">
        <v>17</v>
      </c>
      <c r="P492" s="116" t="s">
        <v>121</v>
      </c>
      <c r="R492" s="116" t="s">
        <v>59</v>
      </c>
      <c r="S492" s="47">
        <v>46197</v>
      </c>
      <c r="T492" t="s">
        <v>54</v>
      </c>
    </row>
    <row r="493" spans="1:20" x14ac:dyDescent="0.3">
      <c r="A493" s="54">
        <f t="shared" si="17"/>
        <v>492</v>
      </c>
      <c r="B493" s="153" t="s">
        <v>73</v>
      </c>
      <c r="C493" s="116" t="s">
        <v>606</v>
      </c>
      <c r="D493" s="116"/>
      <c r="E493" s="116"/>
      <c r="F493" s="116">
        <v>1</v>
      </c>
      <c r="G493" s="116">
        <v>2</v>
      </c>
      <c r="H493" s="116">
        <v>1</v>
      </c>
      <c r="I493" s="116">
        <v>3</v>
      </c>
      <c r="J493" s="116">
        <v>3</v>
      </c>
      <c r="K493" s="116"/>
      <c r="L493" s="116"/>
      <c r="M493" s="116">
        <v>1</v>
      </c>
      <c r="N493" s="116"/>
      <c r="O493" s="116" t="s">
        <v>22</v>
      </c>
      <c r="P493" s="116" t="s">
        <v>121</v>
      </c>
      <c r="Q493" s="116"/>
      <c r="R493" s="116" t="s">
        <v>58</v>
      </c>
      <c r="S493" s="47">
        <v>46198</v>
      </c>
      <c r="T493" t="s">
        <v>54</v>
      </c>
    </row>
    <row r="494" spans="1:20" x14ac:dyDescent="0.3">
      <c r="A494" s="54">
        <f t="shared" si="17"/>
        <v>493</v>
      </c>
      <c r="B494" s="153" t="s">
        <v>77</v>
      </c>
      <c r="C494" s="116" t="s">
        <v>607</v>
      </c>
      <c r="D494" s="116"/>
      <c r="E494" s="116"/>
      <c r="F494" s="116">
        <v>1</v>
      </c>
      <c r="G494" s="116">
        <v>1</v>
      </c>
      <c r="H494" s="116">
        <v>1</v>
      </c>
      <c r="I494" s="116">
        <v>3</v>
      </c>
      <c r="J494" s="116">
        <v>3</v>
      </c>
      <c r="K494" s="116"/>
      <c r="L494" s="116"/>
      <c r="M494" s="116">
        <v>1</v>
      </c>
      <c r="N494" s="116"/>
      <c r="O494" s="116" t="s">
        <v>17</v>
      </c>
      <c r="P494" s="116" t="s">
        <v>121</v>
      </c>
      <c r="Q494" s="116"/>
      <c r="R494" s="116" t="s">
        <v>56</v>
      </c>
      <c r="S494" s="47">
        <v>46198</v>
      </c>
      <c r="T494" t="s">
        <v>54</v>
      </c>
    </row>
    <row r="495" spans="1:20" x14ac:dyDescent="0.3">
      <c r="A495" s="54">
        <f t="shared" si="17"/>
        <v>494</v>
      </c>
      <c r="B495" s="153" t="s">
        <v>78</v>
      </c>
      <c r="C495" s="116" t="s">
        <v>608</v>
      </c>
      <c r="D495" s="116"/>
      <c r="E495" s="116"/>
      <c r="F495" s="116">
        <v>12</v>
      </c>
      <c r="G495" s="116">
        <v>0</v>
      </c>
      <c r="H495" s="116">
        <v>1</v>
      </c>
      <c r="I495" s="116">
        <v>3</v>
      </c>
      <c r="J495" s="116">
        <v>3</v>
      </c>
      <c r="K495" s="116"/>
      <c r="L495" s="116"/>
      <c r="M495" s="116">
        <v>1</v>
      </c>
      <c r="N495" s="116"/>
      <c r="O495" s="116" t="s">
        <v>17</v>
      </c>
      <c r="P495" s="116" t="s">
        <v>121</v>
      </c>
      <c r="R495" s="116" t="s">
        <v>53</v>
      </c>
      <c r="S495" s="47">
        <v>46198</v>
      </c>
      <c r="T495" t="s">
        <v>54</v>
      </c>
    </row>
    <row r="496" spans="1:20" x14ac:dyDescent="0.3">
      <c r="A496" s="54">
        <f t="shared" si="17"/>
        <v>495</v>
      </c>
      <c r="B496" s="153" t="s">
        <v>74</v>
      </c>
      <c r="C496" s="116" t="s">
        <v>609</v>
      </c>
      <c r="D496" s="116"/>
      <c r="E496" s="116"/>
      <c r="F496" s="116">
        <v>0</v>
      </c>
      <c r="G496" s="116">
        <v>0</v>
      </c>
      <c r="H496" s="116">
        <v>1</v>
      </c>
      <c r="I496" s="116">
        <v>3</v>
      </c>
      <c r="J496" s="116">
        <v>3</v>
      </c>
      <c r="K496" s="116"/>
      <c r="L496" s="116"/>
      <c r="M496" s="116">
        <v>1</v>
      </c>
      <c r="N496" s="116"/>
      <c r="O496" s="116" t="s">
        <v>17</v>
      </c>
      <c r="P496" s="116" t="s">
        <v>121</v>
      </c>
      <c r="R496" s="116" t="s">
        <v>53</v>
      </c>
      <c r="S496" s="47">
        <v>46198</v>
      </c>
      <c r="T496" t="s">
        <v>54</v>
      </c>
    </row>
    <row r="497" spans="1:20" x14ac:dyDescent="0.3">
      <c r="A497" s="54">
        <f t="shared" si="17"/>
        <v>496</v>
      </c>
      <c r="B497" s="153" t="s">
        <v>73</v>
      </c>
      <c r="C497" s="116" t="s">
        <v>610</v>
      </c>
      <c r="D497" s="116"/>
      <c r="E497" s="116"/>
      <c r="F497" s="116">
        <v>6</v>
      </c>
      <c r="G497" s="116">
        <v>4</v>
      </c>
      <c r="H497" s="116">
        <v>1</v>
      </c>
      <c r="I497" s="116">
        <v>3</v>
      </c>
      <c r="J497" s="116">
        <v>3</v>
      </c>
      <c r="K497" s="116"/>
      <c r="L497" s="116"/>
      <c r="M497" s="116"/>
      <c r="N497" s="116">
        <v>1</v>
      </c>
      <c r="O497" s="116" t="s">
        <v>274</v>
      </c>
      <c r="P497" s="116" t="s">
        <v>121</v>
      </c>
      <c r="R497" s="116" t="s">
        <v>53</v>
      </c>
      <c r="S497" s="47">
        <v>46198</v>
      </c>
      <c r="T497" t="s">
        <v>54</v>
      </c>
    </row>
    <row r="498" spans="1:20" x14ac:dyDescent="0.3">
      <c r="A498" s="54">
        <f t="shared" si="17"/>
        <v>497</v>
      </c>
      <c r="B498" s="153" t="s">
        <v>79</v>
      </c>
      <c r="C498" s="116" t="s">
        <v>611</v>
      </c>
      <c r="D498" s="116"/>
      <c r="E498" s="116"/>
      <c r="F498" s="116">
        <v>0</v>
      </c>
      <c r="G498" s="116">
        <v>2</v>
      </c>
      <c r="H498" s="116">
        <v>1</v>
      </c>
      <c r="I498" s="116">
        <v>3</v>
      </c>
      <c r="J498" s="116">
        <v>3</v>
      </c>
      <c r="K498" s="116"/>
      <c r="L498" s="116"/>
      <c r="M498" s="116"/>
      <c r="N498" s="116">
        <v>1</v>
      </c>
      <c r="O498" s="116" t="s">
        <v>22</v>
      </c>
      <c r="P498" s="116" t="s">
        <v>121</v>
      </c>
      <c r="R498" s="116" t="s">
        <v>58</v>
      </c>
      <c r="S498" s="47">
        <v>46199</v>
      </c>
      <c r="T498" t="s">
        <v>54</v>
      </c>
    </row>
    <row r="499" spans="1:20" x14ac:dyDescent="0.3">
      <c r="A499" s="54">
        <f t="shared" si="17"/>
        <v>498</v>
      </c>
      <c r="B499" s="153" t="s">
        <v>72</v>
      </c>
      <c r="C499" s="116" t="s">
        <v>612</v>
      </c>
      <c r="D499" s="116"/>
      <c r="E499" s="116"/>
      <c r="F499" s="116">
        <v>1</v>
      </c>
      <c r="G499" s="116">
        <v>1</v>
      </c>
      <c r="H499" s="116">
        <v>1</v>
      </c>
      <c r="I499" s="116">
        <v>4</v>
      </c>
      <c r="J499" s="116">
        <v>4</v>
      </c>
      <c r="K499" s="116">
        <v>1</v>
      </c>
      <c r="L499" s="116"/>
      <c r="M499" s="116">
        <v>1</v>
      </c>
      <c r="N499" s="116"/>
      <c r="O499" s="116" t="s">
        <v>12</v>
      </c>
      <c r="P499" s="116" t="s">
        <v>121</v>
      </c>
      <c r="R499" s="116" t="s">
        <v>53</v>
      </c>
      <c r="S499" s="47">
        <v>46199</v>
      </c>
      <c r="T499" t="s">
        <v>54</v>
      </c>
    </row>
    <row r="500" spans="1:20" x14ac:dyDescent="0.3">
      <c r="A500" s="54">
        <f t="shared" si="17"/>
        <v>499</v>
      </c>
      <c r="B500" s="153" t="s">
        <v>77</v>
      </c>
      <c r="C500" s="116" t="s">
        <v>613</v>
      </c>
      <c r="D500" s="116"/>
      <c r="E500" s="116"/>
      <c r="F500" s="116">
        <v>10</v>
      </c>
      <c r="G500" s="116">
        <v>1</v>
      </c>
      <c r="H500" s="116">
        <v>1</v>
      </c>
      <c r="I500" s="116">
        <v>3</v>
      </c>
      <c r="J500" s="116">
        <v>3</v>
      </c>
      <c r="K500" s="116"/>
      <c r="L500" s="116"/>
      <c r="M500" s="116">
        <v>1</v>
      </c>
      <c r="N500" s="116"/>
      <c r="O500" s="116" t="s">
        <v>614</v>
      </c>
      <c r="P500" s="116" t="s">
        <v>121</v>
      </c>
      <c r="R500" s="116" t="s">
        <v>53</v>
      </c>
      <c r="S500" s="47">
        <v>46199</v>
      </c>
      <c r="T500" t="s">
        <v>54</v>
      </c>
    </row>
    <row r="501" spans="1:20" x14ac:dyDescent="0.3">
      <c r="A501" s="54">
        <f t="shared" si="17"/>
        <v>500</v>
      </c>
      <c r="B501" s="153" t="s">
        <v>72</v>
      </c>
      <c r="C501" s="116" t="s">
        <v>615</v>
      </c>
      <c r="D501" s="116"/>
      <c r="E501" s="116"/>
      <c r="F501" s="116">
        <v>0</v>
      </c>
      <c r="G501" s="116">
        <v>0</v>
      </c>
      <c r="H501" s="116">
        <v>1</v>
      </c>
      <c r="I501" s="116">
        <v>3</v>
      </c>
      <c r="J501" s="116">
        <v>3</v>
      </c>
      <c r="K501" s="116"/>
      <c r="L501" s="116"/>
      <c r="M501" s="116">
        <v>1</v>
      </c>
      <c r="N501" s="116"/>
      <c r="O501" s="116" t="s">
        <v>614</v>
      </c>
      <c r="P501" s="116" t="s">
        <v>121</v>
      </c>
      <c r="R501" s="116" t="s">
        <v>53</v>
      </c>
      <c r="S501" s="47">
        <v>46199</v>
      </c>
      <c r="T501" t="s">
        <v>54</v>
      </c>
    </row>
    <row r="502" spans="1:20" x14ac:dyDescent="0.3">
      <c r="A502" s="54">
        <f t="shared" si="17"/>
        <v>501</v>
      </c>
      <c r="B502" s="153" t="s">
        <v>74</v>
      </c>
      <c r="C502" s="116" t="s">
        <v>616</v>
      </c>
      <c r="D502" s="116"/>
      <c r="E502" s="116"/>
      <c r="F502" s="116">
        <v>5</v>
      </c>
      <c r="G502" s="116">
        <v>3</v>
      </c>
      <c r="H502" s="116">
        <v>1</v>
      </c>
      <c r="I502" s="116">
        <v>3</v>
      </c>
      <c r="J502" s="116">
        <v>3</v>
      </c>
      <c r="K502" s="116"/>
      <c r="L502" s="116"/>
      <c r="M502" s="116">
        <v>1</v>
      </c>
      <c r="N502" s="116"/>
      <c r="O502" s="116" t="s">
        <v>18</v>
      </c>
      <c r="P502" s="116" t="s">
        <v>121</v>
      </c>
      <c r="R502" s="116" t="s">
        <v>56</v>
      </c>
      <c r="S502" s="47">
        <v>46199</v>
      </c>
      <c r="T502" t="s">
        <v>54</v>
      </c>
    </row>
    <row r="503" spans="1:20" x14ac:dyDescent="0.3">
      <c r="A503" s="54">
        <f t="shared" si="17"/>
        <v>502</v>
      </c>
      <c r="B503" s="153" t="s">
        <v>78</v>
      </c>
      <c r="C503" s="116" t="s">
        <v>617</v>
      </c>
      <c r="D503" s="116"/>
      <c r="E503" s="116"/>
      <c r="F503" s="116">
        <v>0</v>
      </c>
      <c r="G503" s="116">
        <v>0</v>
      </c>
      <c r="H503" s="116">
        <v>1</v>
      </c>
      <c r="I503" s="116">
        <v>2</v>
      </c>
      <c r="J503" s="116">
        <v>2</v>
      </c>
      <c r="K503" s="116"/>
      <c r="L503" s="116"/>
      <c r="M503" s="116">
        <v>1</v>
      </c>
      <c r="N503" s="116"/>
      <c r="O503" s="116" t="s">
        <v>18</v>
      </c>
      <c r="P503" s="116" t="s">
        <v>121</v>
      </c>
      <c r="R503" s="116" t="s">
        <v>56</v>
      </c>
      <c r="S503" s="47">
        <v>46199</v>
      </c>
      <c r="T503" t="s">
        <v>54</v>
      </c>
    </row>
    <row r="504" spans="1:20" x14ac:dyDescent="0.3">
      <c r="A504" s="54">
        <f t="shared" si="17"/>
        <v>503</v>
      </c>
      <c r="B504" s="153" t="s">
        <v>76</v>
      </c>
      <c r="C504" s="116" t="s">
        <v>618</v>
      </c>
      <c r="D504" s="116"/>
      <c r="E504" s="116"/>
      <c r="F504" s="116">
        <v>2</v>
      </c>
      <c r="G504" s="116">
        <v>0</v>
      </c>
      <c r="H504" s="116">
        <v>1</v>
      </c>
      <c r="I504" s="116">
        <v>1</v>
      </c>
      <c r="J504" s="116">
        <v>1</v>
      </c>
      <c r="K504" s="116"/>
      <c r="L504" s="116"/>
      <c r="M504" s="116">
        <v>1</v>
      </c>
      <c r="N504" s="116"/>
      <c r="O504" s="116" t="s">
        <v>22</v>
      </c>
      <c r="P504" s="116" t="s">
        <v>121</v>
      </c>
      <c r="R504" s="116" t="s">
        <v>59</v>
      </c>
      <c r="S504" s="47">
        <v>46200</v>
      </c>
      <c r="T504" t="s">
        <v>54</v>
      </c>
    </row>
    <row r="505" spans="1:20" x14ac:dyDescent="0.3">
      <c r="A505" s="54">
        <f t="shared" si="17"/>
        <v>504</v>
      </c>
      <c r="B505" s="153" t="s">
        <v>73</v>
      </c>
      <c r="C505" s="116" t="s">
        <v>619</v>
      </c>
      <c r="D505" s="116"/>
      <c r="E505" s="116"/>
      <c r="F505" s="116">
        <v>5</v>
      </c>
      <c r="G505" s="116">
        <v>7</v>
      </c>
      <c r="H505" s="116">
        <v>1</v>
      </c>
      <c r="I505" s="116">
        <v>3</v>
      </c>
      <c r="J505" s="116">
        <v>3</v>
      </c>
      <c r="K505" s="116"/>
      <c r="L505" s="116">
        <v>1</v>
      </c>
      <c r="M505" s="116"/>
      <c r="N505" s="116">
        <v>1</v>
      </c>
      <c r="O505" s="116" t="s">
        <v>12</v>
      </c>
      <c r="P505" s="116" t="s">
        <v>121</v>
      </c>
      <c r="R505" s="116" t="s">
        <v>53</v>
      </c>
      <c r="S505" s="47">
        <v>46200</v>
      </c>
      <c r="T505" t="s">
        <v>54</v>
      </c>
    </row>
    <row r="506" spans="1:20" x14ac:dyDescent="0.3">
      <c r="A506" s="54">
        <f t="shared" si="17"/>
        <v>505</v>
      </c>
      <c r="B506" s="153" t="s">
        <v>72</v>
      </c>
      <c r="C506" s="116" t="s">
        <v>620</v>
      </c>
      <c r="D506" s="116"/>
      <c r="E506" s="116"/>
      <c r="F506" s="116">
        <v>1</v>
      </c>
      <c r="G506" s="116">
        <v>1</v>
      </c>
      <c r="H506" s="116">
        <v>1</v>
      </c>
      <c r="I506" s="116">
        <v>3</v>
      </c>
      <c r="J506" s="116">
        <v>3</v>
      </c>
      <c r="K506" s="116"/>
      <c r="L506" s="116"/>
      <c r="M506" s="116">
        <v>1</v>
      </c>
      <c r="N506" s="116"/>
      <c r="O506" s="116" t="s">
        <v>17</v>
      </c>
      <c r="P506" s="116" t="s">
        <v>121</v>
      </c>
      <c r="R506" s="116" t="s">
        <v>53</v>
      </c>
      <c r="S506" s="47">
        <v>46200</v>
      </c>
      <c r="T506" t="s">
        <v>54</v>
      </c>
    </row>
    <row r="507" spans="1:20" x14ac:dyDescent="0.3">
      <c r="A507" s="54">
        <f t="shared" si="17"/>
        <v>506</v>
      </c>
      <c r="B507" s="153" t="s">
        <v>75</v>
      </c>
      <c r="C507" s="116" t="s">
        <v>621</v>
      </c>
      <c r="D507" s="116"/>
      <c r="E507" s="116"/>
      <c r="F507" s="116">
        <v>10</v>
      </c>
      <c r="G507" s="116">
        <v>1</v>
      </c>
      <c r="H507" s="116">
        <v>1</v>
      </c>
      <c r="I507" s="116">
        <v>2</v>
      </c>
      <c r="J507" s="116">
        <v>2</v>
      </c>
      <c r="K507" s="116"/>
      <c r="L507" s="116"/>
      <c r="M507" s="116"/>
      <c r="N507" s="116">
        <v>1</v>
      </c>
      <c r="O507" s="116" t="s">
        <v>17</v>
      </c>
      <c r="P507" s="116" t="s">
        <v>121</v>
      </c>
      <c r="R507" s="116" t="s">
        <v>53</v>
      </c>
      <c r="S507" s="47">
        <v>46200</v>
      </c>
      <c r="T507" t="s">
        <v>54</v>
      </c>
    </row>
    <row r="508" spans="1:20" x14ac:dyDescent="0.3">
      <c r="A508" s="54">
        <f t="shared" si="17"/>
        <v>507</v>
      </c>
      <c r="B508" s="153" t="s">
        <v>77</v>
      </c>
      <c r="C508" s="116" t="s">
        <v>622</v>
      </c>
      <c r="D508" s="116"/>
      <c r="E508" s="116"/>
      <c r="F508" s="116">
        <v>0</v>
      </c>
      <c r="G508" s="116">
        <v>0</v>
      </c>
      <c r="H508" s="116">
        <v>1</v>
      </c>
      <c r="I508" s="116">
        <v>4</v>
      </c>
      <c r="J508" s="116">
        <v>4</v>
      </c>
      <c r="K508" s="116">
        <v>1</v>
      </c>
      <c r="L508" s="116"/>
      <c r="M508" s="116">
        <v>1</v>
      </c>
      <c r="N508" s="116"/>
      <c r="O508" s="116" t="s">
        <v>22</v>
      </c>
      <c r="P508" s="116" t="s">
        <v>37</v>
      </c>
      <c r="R508" s="116" t="s">
        <v>53</v>
      </c>
      <c r="S508" s="47">
        <v>46200</v>
      </c>
      <c r="T508" t="s">
        <v>54</v>
      </c>
    </row>
    <row r="509" spans="1:20" x14ac:dyDescent="0.3">
      <c r="A509" s="54">
        <f t="shared" si="17"/>
        <v>508</v>
      </c>
      <c r="B509" s="153" t="s">
        <v>75</v>
      </c>
      <c r="C509" s="116" t="s">
        <v>623</v>
      </c>
      <c r="D509" s="116"/>
      <c r="E509" s="116"/>
      <c r="F509" s="116">
        <v>6</v>
      </c>
      <c r="G509" s="116">
        <v>1</v>
      </c>
      <c r="H509" s="116">
        <v>1</v>
      </c>
      <c r="I509" s="116">
        <v>4</v>
      </c>
      <c r="J509" s="116">
        <v>4</v>
      </c>
      <c r="K509" s="116">
        <v>1</v>
      </c>
      <c r="L509" s="116"/>
      <c r="M509" s="116">
        <v>1</v>
      </c>
      <c r="N509" s="116"/>
      <c r="O509" s="8" t="s">
        <v>11</v>
      </c>
      <c r="P509" s="116" t="s">
        <v>121</v>
      </c>
      <c r="R509" s="116" t="s">
        <v>56</v>
      </c>
      <c r="S509" s="47">
        <v>46202</v>
      </c>
      <c r="T509" t="s">
        <v>54</v>
      </c>
    </row>
    <row r="510" spans="1:20" x14ac:dyDescent="0.3">
      <c r="A510" s="54">
        <f t="shared" si="17"/>
        <v>509</v>
      </c>
      <c r="B510" s="153" t="s">
        <v>76</v>
      </c>
      <c r="C510" s="116" t="s">
        <v>624</v>
      </c>
      <c r="D510" s="116"/>
      <c r="E510" s="116"/>
      <c r="F510" s="116">
        <v>0</v>
      </c>
      <c r="G510" s="116">
        <v>0</v>
      </c>
      <c r="H510" s="116">
        <v>1</v>
      </c>
      <c r="I510" s="116">
        <v>1</v>
      </c>
      <c r="J510" s="116">
        <v>1</v>
      </c>
      <c r="K510" s="116"/>
      <c r="L510" s="116"/>
      <c r="M510" s="116">
        <v>1</v>
      </c>
      <c r="N510" s="116"/>
      <c r="O510" s="116" t="s">
        <v>9</v>
      </c>
      <c r="P510" s="116" t="s">
        <v>121</v>
      </c>
      <c r="R510" s="116" t="s">
        <v>56</v>
      </c>
      <c r="S510" s="47">
        <v>46202</v>
      </c>
      <c r="T510" t="s">
        <v>54</v>
      </c>
    </row>
    <row r="511" spans="1:20" x14ac:dyDescent="0.3">
      <c r="A511" s="54">
        <f t="shared" si="17"/>
        <v>510</v>
      </c>
      <c r="B511" s="153" t="s">
        <v>76</v>
      </c>
      <c r="C511" s="116" t="s">
        <v>625</v>
      </c>
      <c r="D511" s="116"/>
      <c r="E511" s="116"/>
      <c r="F511" s="116">
        <v>0</v>
      </c>
      <c r="G511" s="116">
        <v>2</v>
      </c>
      <c r="H511" s="116">
        <v>1</v>
      </c>
      <c r="I511" s="116">
        <v>3</v>
      </c>
      <c r="J511" s="116">
        <v>3</v>
      </c>
      <c r="K511" s="116"/>
      <c r="L511" s="116"/>
      <c r="M511" s="116"/>
      <c r="N511" s="116">
        <v>1</v>
      </c>
      <c r="O511" s="116" t="s">
        <v>17</v>
      </c>
      <c r="P511" s="116" t="s">
        <v>121</v>
      </c>
      <c r="R511" s="116" t="s">
        <v>59</v>
      </c>
      <c r="S511" s="47">
        <v>46202</v>
      </c>
      <c r="T511" t="s">
        <v>54</v>
      </c>
    </row>
    <row r="512" spans="1:20" x14ac:dyDescent="0.3">
      <c r="A512" s="54">
        <f t="shared" si="17"/>
        <v>511</v>
      </c>
      <c r="B512" s="153" t="s">
        <v>75</v>
      </c>
      <c r="C512" s="116" t="s">
        <v>626</v>
      </c>
      <c r="D512" s="116"/>
      <c r="E512" s="116"/>
      <c r="F512" s="116">
        <v>10</v>
      </c>
      <c r="G512" s="116">
        <v>1</v>
      </c>
      <c r="H512" s="116">
        <v>1</v>
      </c>
      <c r="I512" s="116">
        <v>3</v>
      </c>
      <c r="J512" s="116">
        <v>3</v>
      </c>
      <c r="K512" s="116"/>
      <c r="L512" s="116">
        <v>1</v>
      </c>
      <c r="M512" s="116"/>
      <c r="N512" s="116">
        <v>1</v>
      </c>
      <c r="O512" s="116" t="s">
        <v>17</v>
      </c>
      <c r="P512" s="116" t="s">
        <v>121</v>
      </c>
      <c r="R512" s="116" t="s">
        <v>53</v>
      </c>
      <c r="S512" s="47">
        <v>46202</v>
      </c>
      <c r="T512" t="s">
        <v>54</v>
      </c>
    </row>
    <row r="513" spans="1:20" x14ac:dyDescent="0.3">
      <c r="A513" s="54">
        <f t="shared" si="17"/>
        <v>512</v>
      </c>
      <c r="B513" s="153" t="s">
        <v>75</v>
      </c>
      <c r="C513" s="116" t="s">
        <v>627</v>
      </c>
      <c r="D513" s="116"/>
      <c r="E513" s="116"/>
      <c r="F513" s="116">
        <v>0</v>
      </c>
      <c r="G513" s="116">
        <v>0</v>
      </c>
      <c r="H513" s="116">
        <v>1</v>
      </c>
      <c r="I513" s="116">
        <v>3</v>
      </c>
      <c r="J513" s="116">
        <v>3</v>
      </c>
      <c r="K513" s="116"/>
      <c r="L513" s="116"/>
      <c r="M513" s="116">
        <v>1</v>
      </c>
      <c r="N513" s="116"/>
      <c r="O513" s="116" t="s">
        <v>17</v>
      </c>
      <c r="P513" s="116" t="s">
        <v>121</v>
      </c>
      <c r="R513" s="116" t="s">
        <v>53</v>
      </c>
      <c r="S513" s="47">
        <v>46202</v>
      </c>
      <c r="T513" t="s">
        <v>54</v>
      </c>
    </row>
    <row r="514" spans="1:20" x14ac:dyDescent="0.3">
      <c r="A514" s="54">
        <f t="shared" si="17"/>
        <v>513</v>
      </c>
      <c r="B514" s="153" t="s">
        <v>596</v>
      </c>
      <c r="C514" s="116" t="s">
        <v>628</v>
      </c>
      <c r="D514" s="116"/>
      <c r="E514" s="116"/>
      <c r="F514" s="116">
        <v>0</v>
      </c>
      <c r="G514" s="116">
        <v>0</v>
      </c>
      <c r="H514" s="116">
        <v>1</v>
      </c>
      <c r="I514" s="116">
        <v>3</v>
      </c>
      <c r="J514" s="116">
        <v>3</v>
      </c>
      <c r="K514" s="116"/>
      <c r="L514" s="116"/>
      <c r="M514" s="116">
        <v>1</v>
      </c>
      <c r="N514" s="116"/>
      <c r="O514" s="116" t="s">
        <v>17</v>
      </c>
      <c r="P514" s="116" t="s">
        <v>121</v>
      </c>
      <c r="R514" s="116" t="s">
        <v>53</v>
      </c>
      <c r="S514" s="47">
        <v>46202</v>
      </c>
      <c r="T514" t="s">
        <v>54</v>
      </c>
    </row>
    <row r="515" spans="1:20" x14ac:dyDescent="0.3">
      <c r="A515" s="54">
        <f t="shared" ref="A515:A538" si="18">A514+1</f>
        <v>514</v>
      </c>
      <c r="B515" s="153" t="s">
        <v>72</v>
      </c>
      <c r="C515" s="116" t="s">
        <v>629</v>
      </c>
      <c r="D515" s="116"/>
      <c r="E515" s="116"/>
      <c r="F515" s="116">
        <v>21</v>
      </c>
      <c r="G515" s="116">
        <v>1</v>
      </c>
      <c r="H515" s="116">
        <v>1</v>
      </c>
      <c r="I515" s="116">
        <v>3</v>
      </c>
      <c r="J515" s="116">
        <v>3</v>
      </c>
      <c r="K515" s="116"/>
      <c r="L515" s="116"/>
      <c r="M515" s="116"/>
      <c r="N515" s="116">
        <v>1</v>
      </c>
      <c r="O515" s="116" t="s">
        <v>17</v>
      </c>
      <c r="P515" s="116" t="s">
        <v>121</v>
      </c>
      <c r="R515" s="116" t="s">
        <v>53</v>
      </c>
      <c r="S515" s="47">
        <v>46202</v>
      </c>
      <c r="T515" t="s">
        <v>54</v>
      </c>
    </row>
    <row r="516" spans="1:20" x14ac:dyDescent="0.3">
      <c r="A516" s="54">
        <f t="shared" si="18"/>
        <v>515</v>
      </c>
      <c r="B516" s="153" t="s">
        <v>75</v>
      </c>
      <c r="C516" s="116" t="s">
        <v>630</v>
      </c>
      <c r="D516" s="116"/>
      <c r="E516" s="116"/>
      <c r="F516" s="116">
        <v>0</v>
      </c>
      <c r="G516" s="116">
        <v>0</v>
      </c>
      <c r="H516" s="116">
        <v>1</v>
      </c>
      <c r="I516" s="116">
        <v>4</v>
      </c>
      <c r="J516" s="116">
        <v>4</v>
      </c>
      <c r="K516" s="116">
        <v>1</v>
      </c>
      <c r="L516" s="116"/>
      <c r="M516" s="116">
        <v>1</v>
      </c>
      <c r="N516" s="116"/>
      <c r="O516" s="116" t="s">
        <v>17</v>
      </c>
      <c r="P516" s="116" t="s">
        <v>37</v>
      </c>
      <c r="R516" s="116" t="s">
        <v>53</v>
      </c>
      <c r="S516" s="47">
        <v>46202</v>
      </c>
      <c r="T516" t="s">
        <v>54</v>
      </c>
    </row>
    <row r="517" spans="1:20" x14ac:dyDescent="0.3">
      <c r="A517" s="54">
        <f t="shared" si="18"/>
        <v>516</v>
      </c>
      <c r="B517" s="153" t="s">
        <v>81</v>
      </c>
      <c r="C517" s="116" t="s">
        <v>631</v>
      </c>
      <c r="D517" s="116"/>
      <c r="E517" s="116"/>
      <c r="F517" s="116">
        <v>0</v>
      </c>
      <c r="G517" s="116">
        <v>0</v>
      </c>
      <c r="H517" s="116">
        <v>1</v>
      </c>
      <c r="I517" s="116">
        <v>3</v>
      </c>
      <c r="J517" s="116">
        <v>3</v>
      </c>
      <c r="K517" s="116"/>
      <c r="L517" s="116"/>
      <c r="M517" s="116">
        <v>1</v>
      </c>
      <c r="N517" s="116"/>
      <c r="O517" s="116" t="s">
        <v>17</v>
      </c>
      <c r="P517" s="116" t="s">
        <v>121</v>
      </c>
      <c r="R517" s="116" t="s">
        <v>53</v>
      </c>
      <c r="S517" s="47">
        <v>46202</v>
      </c>
      <c r="T517" t="s">
        <v>54</v>
      </c>
    </row>
    <row r="518" spans="1:20" x14ac:dyDescent="0.3">
      <c r="A518" s="54">
        <f t="shared" si="18"/>
        <v>517</v>
      </c>
      <c r="B518" s="153" t="s">
        <v>72</v>
      </c>
      <c r="C518" s="116" t="s">
        <v>632</v>
      </c>
      <c r="D518" s="116"/>
      <c r="E518" s="116"/>
      <c r="F518" s="116">
        <v>12</v>
      </c>
      <c r="G518" s="116">
        <v>10</v>
      </c>
      <c r="H518" s="116">
        <v>1</v>
      </c>
      <c r="I518" s="116">
        <v>4</v>
      </c>
      <c r="J518" s="116">
        <v>4</v>
      </c>
      <c r="K518" s="116">
        <v>1</v>
      </c>
      <c r="L518" s="116"/>
      <c r="M518" s="116"/>
      <c r="N518" s="116">
        <v>1</v>
      </c>
      <c r="O518" s="116" t="s">
        <v>17</v>
      </c>
      <c r="P518" s="116" t="s">
        <v>121</v>
      </c>
      <c r="R518" s="116" t="s">
        <v>53</v>
      </c>
      <c r="S518" s="47">
        <v>46202</v>
      </c>
      <c r="T518" t="s">
        <v>54</v>
      </c>
    </row>
    <row r="519" spans="1:20" x14ac:dyDescent="0.3">
      <c r="A519" s="54">
        <f t="shared" si="18"/>
        <v>518</v>
      </c>
      <c r="B519" s="153" t="s">
        <v>72</v>
      </c>
      <c r="C519" s="116" t="s">
        <v>633</v>
      </c>
      <c r="D519" s="116"/>
      <c r="E519" s="116"/>
      <c r="F519" s="116">
        <v>0</v>
      </c>
      <c r="G519" s="116">
        <v>0</v>
      </c>
      <c r="H519" s="116">
        <v>1</v>
      </c>
      <c r="I519" s="116">
        <v>3</v>
      </c>
      <c r="J519" s="116">
        <v>3</v>
      </c>
      <c r="K519" s="116"/>
      <c r="L519" s="116"/>
      <c r="M519" s="116">
        <v>1</v>
      </c>
      <c r="N519" s="116"/>
      <c r="O519" s="116" t="s">
        <v>634</v>
      </c>
      <c r="P519" s="116" t="s">
        <v>121</v>
      </c>
      <c r="R519" s="116" t="s">
        <v>58</v>
      </c>
      <c r="S519" s="47">
        <v>46202</v>
      </c>
      <c r="T519" t="s">
        <v>54</v>
      </c>
    </row>
    <row r="520" spans="1:20" x14ac:dyDescent="0.3">
      <c r="A520" s="54">
        <f t="shared" si="18"/>
        <v>519</v>
      </c>
      <c r="B520" s="153" t="s">
        <v>78</v>
      </c>
      <c r="C520" s="116" t="s">
        <v>635</v>
      </c>
      <c r="D520" s="116"/>
      <c r="E520" s="116"/>
      <c r="F520" s="116">
        <v>0</v>
      </c>
      <c r="G520" s="116">
        <v>0</v>
      </c>
      <c r="H520" s="116">
        <v>1</v>
      </c>
      <c r="I520" s="116">
        <v>2</v>
      </c>
      <c r="J520" s="116">
        <v>2</v>
      </c>
      <c r="K520" s="116"/>
      <c r="L520" s="116"/>
      <c r="M520" s="116">
        <v>1</v>
      </c>
      <c r="N520" s="116"/>
      <c r="O520" s="116" t="s">
        <v>17</v>
      </c>
      <c r="P520" s="116" t="s">
        <v>121</v>
      </c>
      <c r="R520" s="116" t="s">
        <v>58</v>
      </c>
      <c r="S520" s="47">
        <v>46202</v>
      </c>
      <c r="T520" t="s">
        <v>54</v>
      </c>
    </row>
    <row r="521" spans="1:20" x14ac:dyDescent="0.3">
      <c r="A521" s="54">
        <f t="shared" si="18"/>
        <v>520</v>
      </c>
      <c r="B521" s="153" t="s">
        <v>75</v>
      </c>
      <c r="C521" s="116" t="s">
        <v>636</v>
      </c>
      <c r="D521" s="116"/>
      <c r="E521" s="116"/>
      <c r="F521" s="116">
        <v>12</v>
      </c>
      <c r="G521" s="116">
        <v>4</v>
      </c>
      <c r="H521" s="116">
        <v>1</v>
      </c>
      <c r="I521" s="116">
        <v>3</v>
      </c>
      <c r="J521" s="116">
        <v>3</v>
      </c>
      <c r="K521" s="116"/>
      <c r="L521" s="116"/>
      <c r="M521" s="116">
        <v>1</v>
      </c>
      <c r="N521" s="116"/>
      <c r="O521" s="116" t="s">
        <v>17</v>
      </c>
      <c r="P521" s="116" t="s">
        <v>121</v>
      </c>
      <c r="R521" s="116" t="s">
        <v>53</v>
      </c>
      <c r="S521" s="47">
        <v>46202</v>
      </c>
      <c r="T521" t="s">
        <v>54</v>
      </c>
    </row>
    <row r="522" spans="1:20" x14ac:dyDescent="0.3">
      <c r="A522" s="54">
        <f t="shared" si="18"/>
        <v>521</v>
      </c>
      <c r="B522" s="153" t="s">
        <v>72</v>
      </c>
      <c r="C522" s="116" t="s">
        <v>637</v>
      </c>
      <c r="D522" s="116"/>
      <c r="E522" s="116"/>
      <c r="F522" s="116">
        <v>2</v>
      </c>
      <c r="G522" s="116">
        <v>5</v>
      </c>
      <c r="H522" s="116">
        <v>1</v>
      </c>
      <c r="I522" s="116">
        <v>1</v>
      </c>
      <c r="J522" s="116">
        <v>1</v>
      </c>
      <c r="K522" s="116"/>
      <c r="L522" s="116"/>
      <c r="M522" s="116"/>
      <c r="N522" s="116">
        <v>1</v>
      </c>
      <c r="O522" s="45" t="s">
        <v>38</v>
      </c>
      <c r="P522" s="116" t="s">
        <v>121</v>
      </c>
      <c r="R522" s="116" t="s">
        <v>53</v>
      </c>
      <c r="S522" s="47">
        <v>46202</v>
      </c>
      <c r="T522" t="s">
        <v>54</v>
      </c>
    </row>
    <row r="523" spans="1:20" x14ac:dyDescent="0.3">
      <c r="A523" s="54">
        <f t="shared" si="18"/>
        <v>522</v>
      </c>
      <c r="B523" s="153" t="s">
        <v>78</v>
      </c>
      <c r="C523" s="116" t="s">
        <v>638</v>
      </c>
      <c r="D523" s="116"/>
      <c r="E523" s="116"/>
      <c r="F523" s="116">
        <v>0</v>
      </c>
      <c r="G523" s="116">
        <v>0</v>
      </c>
      <c r="H523" s="116">
        <v>1</v>
      </c>
      <c r="I523" s="116">
        <v>2</v>
      </c>
      <c r="J523" s="116">
        <v>2</v>
      </c>
      <c r="K523" s="116"/>
      <c r="L523" s="116"/>
      <c r="M523" s="116">
        <v>1</v>
      </c>
      <c r="N523" s="116"/>
      <c r="O523" s="116" t="s">
        <v>22</v>
      </c>
      <c r="P523" s="116" t="s">
        <v>121</v>
      </c>
      <c r="R523" s="116" t="s">
        <v>53</v>
      </c>
      <c r="S523" s="47">
        <v>46202</v>
      </c>
      <c r="T523" t="s">
        <v>54</v>
      </c>
    </row>
    <row r="524" spans="1:20" x14ac:dyDescent="0.3">
      <c r="A524" s="54">
        <f t="shared" si="18"/>
        <v>523</v>
      </c>
      <c r="B524" s="153" t="s">
        <v>72</v>
      </c>
      <c r="C524" s="116" t="s">
        <v>639</v>
      </c>
      <c r="D524" s="116"/>
      <c r="E524" s="116"/>
      <c r="F524" s="116">
        <v>0</v>
      </c>
      <c r="G524" s="116">
        <v>0</v>
      </c>
      <c r="H524" s="116">
        <v>1</v>
      </c>
      <c r="I524" s="116">
        <v>2</v>
      </c>
      <c r="J524" s="116">
        <v>2</v>
      </c>
      <c r="K524" s="116"/>
      <c r="L524" s="116"/>
      <c r="M524" s="116">
        <v>1</v>
      </c>
      <c r="N524" s="116"/>
      <c r="O524" s="116" t="s">
        <v>12</v>
      </c>
      <c r="P524" s="116" t="s">
        <v>121</v>
      </c>
      <c r="R524" s="116" t="s">
        <v>53</v>
      </c>
      <c r="S524" s="47">
        <v>46202</v>
      </c>
      <c r="T524" t="s">
        <v>54</v>
      </c>
    </row>
    <row r="525" spans="1:20" x14ac:dyDescent="0.3">
      <c r="A525" s="54">
        <f t="shared" si="18"/>
        <v>524</v>
      </c>
      <c r="B525" s="153" t="s">
        <v>73</v>
      </c>
      <c r="C525" s="116" t="s">
        <v>544</v>
      </c>
      <c r="D525" s="116"/>
      <c r="E525" s="116"/>
      <c r="F525" s="116">
        <v>1</v>
      </c>
      <c r="G525" s="116">
        <v>1</v>
      </c>
      <c r="H525" s="116">
        <v>1</v>
      </c>
      <c r="I525" s="116">
        <v>3</v>
      </c>
      <c r="J525" s="116">
        <v>3</v>
      </c>
      <c r="K525" s="116"/>
      <c r="L525" s="116">
        <v>1</v>
      </c>
      <c r="M525" s="116"/>
      <c r="N525" s="116">
        <v>1</v>
      </c>
      <c r="O525" s="116" t="s">
        <v>17</v>
      </c>
      <c r="P525" s="116" t="s">
        <v>121</v>
      </c>
      <c r="R525" s="116" t="s">
        <v>53</v>
      </c>
      <c r="S525" s="47">
        <v>46202</v>
      </c>
      <c r="T525" t="s">
        <v>54</v>
      </c>
    </row>
    <row r="526" spans="1:20" x14ac:dyDescent="0.3">
      <c r="A526" s="54">
        <f t="shared" si="18"/>
        <v>525</v>
      </c>
      <c r="B526" s="153" t="s">
        <v>74</v>
      </c>
      <c r="C526" s="116" t="s">
        <v>640</v>
      </c>
      <c r="D526" s="116"/>
      <c r="E526" s="116"/>
      <c r="F526" s="116">
        <v>0</v>
      </c>
      <c r="G526" s="116">
        <v>0</v>
      </c>
      <c r="H526" s="116">
        <v>1</v>
      </c>
      <c r="I526" s="116">
        <v>4</v>
      </c>
      <c r="J526" s="116">
        <v>4</v>
      </c>
      <c r="K526" s="116">
        <v>1</v>
      </c>
      <c r="L526" s="116"/>
      <c r="M526" s="116">
        <v>1</v>
      </c>
      <c r="N526" s="116"/>
      <c r="O526" s="116" t="s">
        <v>17</v>
      </c>
      <c r="P526" s="116" t="s">
        <v>37</v>
      </c>
      <c r="R526" s="116" t="s">
        <v>53</v>
      </c>
      <c r="S526" s="47">
        <v>46202</v>
      </c>
      <c r="T526" t="s">
        <v>54</v>
      </c>
    </row>
    <row r="527" spans="1:20" x14ac:dyDescent="0.3">
      <c r="A527" s="54">
        <f t="shared" si="18"/>
        <v>526</v>
      </c>
      <c r="B527" s="153" t="s">
        <v>82</v>
      </c>
      <c r="C527" s="116" t="s">
        <v>641</v>
      </c>
      <c r="D527" s="116"/>
      <c r="E527" s="116"/>
      <c r="F527" s="116">
        <v>0</v>
      </c>
      <c r="G527" s="116">
        <v>0</v>
      </c>
      <c r="H527" s="116">
        <v>1</v>
      </c>
      <c r="I527" s="116">
        <v>3</v>
      </c>
      <c r="J527" s="116">
        <v>3</v>
      </c>
      <c r="K527" s="116"/>
      <c r="L527" s="116"/>
      <c r="M527" s="116">
        <v>1</v>
      </c>
      <c r="N527" s="116"/>
      <c r="O527" s="116" t="s">
        <v>17</v>
      </c>
      <c r="P527" s="116" t="s">
        <v>121</v>
      </c>
      <c r="R527" s="116" t="s">
        <v>53</v>
      </c>
      <c r="S527" s="47">
        <v>46202</v>
      </c>
      <c r="T527" t="s">
        <v>54</v>
      </c>
    </row>
    <row r="528" spans="1:20" x14ac:dyDescent="0.3">
      <c r="A528" s="54">
        <f t="shared" si="18"/>
        <v>527</v>
      </c>
      <c r="B528" s="153" t="s">
        <v>73</v>
      </c>
      <c r="C528" s="116" t="s">
        <v>642</v>
      </c>
      <c r="D528" s="116"/>
      <c r="E528" s="116"/>
      <c r="F528" s="116">
        <v>2</v>
      </c>
      <c r="G528" s="116">
        <v>1</v>
      </c>
      <c r="H528" s="116">
        <v>1</v>
      </c>
      <c r="I528" s="116">
        <v>5</v>
      </c>
      <c r="J528" s="116">
        <v>5</v>
      </c>
      <c r="K528" s="116">
        <v>1</v>
      </c>
      <c r="L528" s="116"/>
      <c r="M528" s="116"/>
      <c r="N528" s="116">
        <v>1</v>
      </c>
      <c r="O528" s="116" t="s">
        <v>12</v>
      </c>
      <c r="P528" s="116" t="s">
        <v>37</v>
      </c>
      <c r="R528" s="116" t="s">
        <v>53</v>
      </c>
      <c r="S528" s="47">
        <v>46202</v>
      </c>
      <c r="T528" t="s">
        <v>54</v>
      </c>
    </row>
    <row r="529" spans="1:20" x14ac:dyDescent="0.3">
      <c r="A529" s="54">
        <f t="shared" si="18"/>
        <v>528</v>
      </c>
      <c r="B529" s="153" t="s">
        <v>75</v>
      </c>
      <c r="C529" s="116" t="s">
        <v>643</v>
      </c>
      <c r="D529" s="116"/>
      <c r="E529" s="116"/>
      <c r="F529" s="116">
        <v>0</v>
      </c>
      <c r="G529" s="116">
        <v>0</v>
      </c>
      <c r="H529" s="116">
        <v>1</v>
      </c>
      <c r="I529" s="116">
        <v>2</v>
      </c>
      <c r="J529" s="116">
        <v>2</v>
      </c>
      <c r="K529" s="116"/>
      <c r="L529" s="116"/>
      <c r="M529" s="116">
        <v>1</v>
      </c>
      <c r="N529" s="116"/>
      <c r="O529" s="116" t="s">
        <v>12</v>
      </c>
      <c r="P529" s="116" t="s">
        <v>121</v>
      </c>
      <c r="R529" s="116" t="s">
        <v>53</v>
      </c>
      <c r="S529" s="47">
        <v>46202</v>
      </c>
      <c r="T529" t="s">
        <v>54</v>
      </c>
    </row>
    <row r="530" spans="1:20" x14ac:dyDescent="0.3">
      <c r="A530" s="54">
        <f t="shared" si="18"/>
        <v>529</v>
      </c>
      <c r="B530" s="153" t="s">
        <v>77</v>
      </c>
      <c r="C530" s="116" t="s">
        <v>644</v>
      </c>
      <c r="D530" s="116"/>
      <c r="E530" s="116"/>
      <c r="F530" s="116">
        <v>0</v>
      </c>
      <c r="G530" s="116">
        <v>4</v>
      </c>
      <c r="H530" s="116">
        <v>1</v>
      </c>
      <c r="I530" s="116">
        <v>5</v>
      </c>
      <c r="J530" s="116">
        <v>5</v>
      </c>
      <c r="K530" s="116">
        <v>1</v>
      </c>
      <c r="L530" s="116"/>
      <c r="M530" s="116"/>
      <c r="N530" s="116">
        <v>1</v>
      </c>
      <c r="O530" s="116" t="s">
        <v>12</v>
      </c>
      <c r="P530" s="116" t="s">
        <v>37</v>
      </c>
      <c r="R530" s="116" t="s">
        <v>53</v>
      </c>
      <c r="S530" s="47">
        <v>46202</v>
      </c>
      <c r="T530" t="s">
        <v>54</v>
      </c>
    </row>
    <row r="531" spans="1:20" x14ac:dyDescent="0.3">
      <c r="A531" s="54">
        <f t="shared" si="18"/>
        <v>530</v>
      </c>
      <c r="B531" s="153" t="s">
        <v>76</v>
      </c>
      <c r="C531" s="116" t="s">
        <v>645</v>
      </c>
      <c r="D531" s="116"/>
      <c r="E531" s="116"/>
      <c r="F531" s="116">
        <v>0</v>
      </c>
      <c r="G531" s="116">
        <v>0</v>
      </c>
      <c r="H531" s="116">
        <v>1</v>
      </c>
      <c r="I531" s="116">
        <v>4</v>
      </c>
      <c r="J531" s="116">
        <v>4</v>
      </c>
      <c r="K531" s="116">
        <v>1</v>
      </c>
      <c r="L531" s="116"/>
      <c r="M531" s="116">
        <v>1</v>
      </c>
      <c r="N531" s="116"/>
      <c r="O531" s="116" t="s">
        <v>9</v>
      </c>
      <c r="P531" s="116" t="s">
        <v>121</v>
      </c>
      <c r="R531" s="116" t="s">
        <v>59</v>
      </c>
      <c r="S531" s="47">
        <v>46202</v>
      </c>
      <c r="T531" t="s">
        <v>54</v>
      </c>
    </row>
    <row r="532" spans="1:20" x14ac:dyDescent="0.3">
      <c r="A532" s="54">
        <f t="shared" si="18"/>
        <v>531</v>
      </c>
      <c r="B532" s="153" t="s">
        <v>75</v>
      </c>
      <c r="C532" s="116" t="s">
        <v>646</v>
      </c>
      <c r="D532" s="116"/>
      <c r="E532" s="116"/>
      <c r="F532" s="116">
        <v>0</v>
      </c>
      <c r="G532" s="116">
        <v>0</v>
      </c>
      <c r="H532" s="116">
        <v>1</v>
      </c>
      <c r="I532" s="116">
        <v>4</v>
      </c>
      <c r="J532" s="116">
        <v>4</v>
      </c>
      <c r="K532" s="116">
        <v>1</v>
      </c>
      <c r="L532" s="116"/>
      <c r="M532" s="116">
        <v>1</v>
      </c>
      <c r="N532" s="116"/>
      <c r="O532" s="116" t="s">
        <v>18</v>
      </c>
      <c r="P532" s="116" t="s">
        <v>37</v>
      </c>
      <c r="R532" s="116" t="s">
        <v>59</v>
      </c>
      <c r="S532" s="47">
        <v>46202</v>
      </c>
      <c r="T532" t="s">
        <v>54</v>
      </c>
    </row>
    <row r="533" spans="1:20" x14ac:dyDescent="0.3">
      <c r="A533" s="54">
        <f t="shared" si="18"/>
        <v>532</v>
      </c>
      <c r="B533" s="153" t="s">
        <v>76</v>
      </c>
      <c r="C533" s="116" t="s">
        <v>647</v>
      </c>
      <c r="D533" s="116"/>
      <c r="E533" s="116"/>
      <c r="F533" s="116">
        <v>0</v>
      </c>
      <c r="G533" s="116">
        <v>0</v>
      </c>
      <c r="H533" s="116">
        <v>1</v>
      </c>
      <c r="I533" s="116">
        <v>1</v>
      </c>
      <c r="J533" s="116">
        <v>1</v>
      </c>
      <c r="K533" s="116"/>
      <c r="L533" s="116"/>
      <c r="M533" s="116">
        <v>1</v>
      </c>
      <c r="N533" s="116"/>
      <c r="O533" s="116" t="s">
        <v>12</v>
      </c>
      <c r="P533" s="116" t="s">
        <v>121</v>
      </c>
      <c r="R533" s="116" t="s">
        <v>59</v>
      </c>
      <c r="S533" s="47">
        <v>46202</v>
      </c>
      <c r="T533" t="s">
        <v>54</v>
      </c>
    </row>
    <row r="534" spans="1:20" x14ac:dyDescent="0.3">
      <c r="A534" s="54">
        <f t="shared" si="18"/>
        <v>533</v>
      </c>
      <c r="B534" s="153" t="s">
        <v>76</v>
      </c>
      <c r="C534" s="116" t="s">
        <v>648</v>
      </c>
      <c r="D534" s="116"/>
      <c r="E534" s="116"/>
      <c r="F534" s="116">
        <v>0</v>
      </c>
      <c r="G534" s="116">
        <v>0</v>
      </c>
      <c r="H534" s="116">
        <v>1</v>
      </c>
      <c r="I534" s="116">
        <v>2</v>
      </c>
      <c r="J534" s="116">
        <v>2</v>
      </c>
      <c r="K534" s="116"/>
      <c r="L534" s="116"/>
      <c r="M534" s="116">
        <v>1</v>
      </c>
      <c r="N534" s="116"/>
      <c r="O534" s="116" t="s">
        <v>18</v>
      </c>
      <c r="P534" s="116" t="s">
        <v>121</v>
      </c>
      <c r="R534" s="116" t="s">
        <v>59</v>
      </c>
      <c r="S534" s="47">
        <v>46202</v>
      </c>
      <c r="T534" t="s">
        <v>54</v>
      </c>
    </row>
    <row r="535" spans="1:20" x14ac:dyDescent="0.3">
      <c r="A535" s="54">
        <f t="shared" si="18"/>
        <v>534</v>
      </c>
      <c r="B535" s="153" t="s">
        <v>73</v>
      </c>
      <c r="C535" s="116" t="s">
        <v>649</v>
      </c>
      <c r="D535" s="116"/>
      <c r="E535" s="116"/>
      <c r="F535" s="116">
        <v>10</v>
      </c>
      <c r="G535" s="116">
        <v>2</v>
      </c>
      <c r="H535" s="116">
        <v>1</v>
      </c>
      <c r="I535" s="116">
        <v>4</v>
      </c>
      <c r="J535" s="116">
        <v>4</v>
      </c>
      <c r="K535" s="116">
        <v>1</v>
      </c>
      <c r="L535" s="116">
        <v>1</v>
      </c>
      <c r="M535" s="116"/>
      <c r="N535" s="116">
        <v>1</v>
      </c>
      <c r="O535" s="116" t="s">
        <v>18</v>
      </c>
      <c r="P535" s="116" t="s">
        <v>37</v>
      </c>
      <c r="R535" s="116" t="s">
        <v>59</v>
      </c>
      <c r="S535" s="47">
        <v>46202</v>
      </c>
      <c r="T535" t="s">
        <v>54</v>
      </c>
    </row>
    <row r="536" spans="1:20" x14ac:dyDescent="0.3">
      <c r="A536" s="54">
        <f t="shared" si="18"/>
        <v>535</v>
      </c>
      <c r="B536" s="153" t="s">
        <v>75</v>
      </c>
      <c r="C536" s="116" t="s">
        <v>650</v>
      </c>
      <c r="D536" s="116"/>
      <c r="E536" s="116"/>
      <c r="F536" s="116">
        <v>1</v>
      </c>
      <c r="G536" s="116">
        <v>0</v>
      </c>
      <c r="H536" s="116">
        <v>1</v>
      </c>
      <c r="I536" s="116">
        <v>2</v>
      </c>
      <c r="J536" s="116">
        <v>2</v>
      </c>
      <c r="K536" s="116"/>
      <c r="L536" s="116"/>
      <c r="M536" s="116">
        <v>1</v>
      </c>
      <c r="N536" s="116"/>
      <c r="O536" s="116" t="s">
        <v>18</v>
      </c>
      <c r="P536" s="116" t="s">
        <v>121</v>
      </c>
      <c r="R536" s="116" t="s">
        <v>56</v>
      </c>
      <c r="S536" s="47">
        <v>46202</v>
      </c>
      <c r="T536" t="s">
        <v>54</v>
      </c>
    </row>
    <row r="537" spans="1:20" x14ac:dyDescent="0.3">
      <c r="A537" s="54">
        <f t="shared" si="18"/>
        <v>536</v>
      </c>
      <c r="B537" s="153" t="s">
        <v>76</v>
      </c>
      <c r="C537" s="152" t="s">
        <v>651</v>
      </c>
      <c r="D537" s="116"/>
      <c r="E537" s="116"/>
      <c r="F537" s="116">
        <v>0</v>
      </c>
      <c r="G537" s="116">
        <v>0</v>
      </c>
      <c r="H537" s="116">
        <v>1</v>
      </c>
      <c r="I537" s="116">
        <v>3</v>
      </c>
      <c r="J537" s="116">
        <v>3</v>
      </c>
      <c r="K537" s="116"/>
      <c r="L537" s="116"/>
      <c r="M537" s="116">
        <v>1</v>
      </c>
      <c r="N537" s="116"/>
      <c r="O537" s="116" t="s">
        <v>9</v>
      </c>
      <c r="P537" s="116" t="s">
        <v>121</v>
      </c>
      <c r="R537" s="116" t="s">
        <v>56</v>
      </c>
      <c r="S537" s="47">
        <v>46202</v>
      </c>
      <c r="T537" t="s">
        <v>54</v>
      </c>
    </row>
    <row r="538" spans="1:20" x14ac:dyDescent="0.3">
      <c r="A538" s="54">
        <f t="shared" si="18"/>
        <v>537</v>
      </c>
      <c r="B538" s="153" t="s">
        <v>75</v>
      </c>
      <c r="C538" s="116" t="s">
        <v>652</v>
      </c>
      <c r="D538" s="116"/>
      <c r="E538" s="116"/>
      <c r="F538" s="116">
        <v>0</v>
      </c>
      <c r="G538" s="116">
        <v>0</v>
      </c>
      <c r="H538" s="116">
        <v>1</v>
      </c>
      <c r="I538" s="116">
        <v>3</v>
      </c>
      <c r="J538" s="116">
        <v>3</v>
      </c>
      <c r="K538" s="116"/>
      <c r="L538" s="116"/>
      <c r="M538" s="116">
        <v>1</v>
      </c>
      <c r="N538" s="116"/>
      <c r="O538" s="116" t="s">
        <v>17</v>
      </c>
      <c r="P538" s="116" t="s">
        <v>121</v>
      </c>
      <c r="R538" s="116" t="s">
        <v>56</v>
      </c>
      <c r="S538" s="47">
        <v>46202</v>
      </c>
      <c r="T538" t="s">
        <v>54</v>
      </c>
    </row>
    <row r="539" spans="1:20" x14ac:dyDescent="0.3">
      <c r="A539" s="54">
        <v>1</v>
      </c>
      <c r="C539" t="s">
        <v>653</v>
      </c>
      <c r="F539">
        <v>1</v>
      </c>
      <c r="G539">
        <v>2</v>
      </c>
      <c r="H539">
        <v>1</v>
      </c>
      <c r="I539">
        <v>2</v>
      </c>
      <c r="J539">
        <v>2</v>
      </c>
      <c r="N539">
        <v>1</v>
      </c>
      <c r="O539" t="s">
        <v>9</v>
      </c>
      <c r="P539" t="s">
        <v>121</v>
      </c>
      <c r="R539" t="s">
        <v>53</v>
      </c>
      <c r="S539" s="164">
        <v>46203</v>
      </c>
      <c r="T539" t="s">
        <v>54</v>
      </c>
    </row>
    <row r="540" spans="1:20" x14ac:dyDescent="0.3">
      <c r="A540" s="54">
        <f t="shared" ref="A540:A571" si="19">A539+1</f>
        <v>2</v>
      </c>
    </row>
    <row r="541" spans="1:20" x14ac:dyDescent="0.3">
      <c r="A541" s="54">
        <f t="shared" si="19"/>
        <v>3</v>
      </c>
    </row>
    <row r="542" spans="1:20" x14ac:dyDescent="0.3">
      <c r="A542" s="54">
        <f t="shared" si="19"/>
        <v>4</v>
      </c>
    </row>
    <row r="543" spans="1:20" x14ac:dyDescent="0.3">
      <c r="A543" s="54">
        <f t="shared" si="19"/>
        <v>5</v>
      </c>
    </row>
    <row r="544" spans="1:20" x14ac:dyDescent="0.3">
      <c r="A544" s="54">
        <f t="shared" si="19"/>
        <v>6</v>
      </c>
    </row>
    <row r="545" spans="1:1" x14ac:dyDescent="0.3">
      <c r="A545" s="54">
        <f t="shared" si="19"/>
        <v>7</v>
      </c>
    </row>
    <row r="546" spans="1:1" x14ac:dyDescent="0.3">
      <c r="A546" s="54">
        <f t="shared" si="19"/>
        <v>8</v>
      </c>
    </row>
    <row r="547" spans="1:1" x14ac:dyDescent="0.3">
      <c r="A547" s="54">
        <f t="shared" si="19"/>
        <v>9</v>
      </c>
    </row>
    <row r="548" spans="1:1" x14ac:dyDescent="0.3">
      <c r="A548" s="54">
        <f t="shared" si="19"/>
        <v>10</v>
      </c>
    </row>
    <row r="549" spans="1:1" x14ac:dyDescent="0.3">
      <c r="A549" s="54">
        <f t="shared" si="19"/>
        <v>11</v>
      </c>
    </row>
    <row r="550" spans="1:1" x14ac:dyDescent="0.3">
      <c r="A550" s="54">
        <f t="shared" si="19"/>
        <v>12</v>
      </c>
    </row>
    <row r="551" spans="1:1" x14ac:dyDescent="0.3">
      <c r="A551" s="54">
        <f t="shared" si="19"/>
        <v>13</v>
      </c>
    </row>
    <row r="552" spans="1:1" x14ac:dyDescent="0.3">
      <c r="A552" s="54">
        <f t="shared" si="19"/>
        <v>14</v>
      </c>
    </row>
    <row r="553" spans="1:1" x14ac:dyDescent="0.3">
      <c r="A553" s="54">
        <f t="shared" si="19"/>
        <v>15</v>
      </c>
    </row>
    <row r="554" spans="1:1" x14ac:dyDescent="0.3">
      <c r="A554" s="54">
        <f t="shared" si="19"/>
        <v>16</v>
      </c>
    </row>
    <row r="555" spans="1:1" x14ac:dyDescent="0.3">
      <c r="A555" s="54">
        <f t="shared" si="19"/>
        <v>17</v>
      </c>
    </row>
    <row r="556" spans="1:1" x14ac:dyDescent="0.3">
      <c r="A556" s="54">
        <f t="shared" si="19"/>
        <v>18</v>
      </c>
    </row>
    <row r="557" spans="1:1" x14ac:dyDescent="0.3">
      <c r="A557" s="54">
        <f t="shared" si="19"/>
        <v>19</v>
      </c>
    </row>
    <row r="558" spans="1:1" x14ac:dyDescent="0.3">
      <c r="A558" s="54">
        <f t="shared" si="19"/>
        <v>20</v>
      </c>
    </row>
    <row r="559" spans="1:1" x14ac:dyDescent="0.3">
      <c r="A559" s="54">
        <f t="shared" si="19"/>
        <v>21</v>
      </c>
    </row>
    <row r="560" spans="1:1" x14ac:dyDescent="0.3">
      <c r="A560" s="54">
        <f t="shared" si="19"/>
        <v>22</v>
      </c>
    </row>
    <row r="561" spans="1:1" x14ac:dyDescent="0.3">
      <c r="A561" s="54">
        <f t="shared" si="19"/>
        <v>23</v>
      </c>
    </row>
    <row r="562" spans="1:1" x14ac:dyDescent="0.3">
      <c r="A562" s="54">
        <f t="shared" si="19"/>
        <v>24</v>
      </c>
    </row>
    <row r="563" spans="1:1" x14ac:dyDescent="0.3">
      <c r="A563" s="54">
        <f t="shared" si="19"/>
        <v>25</v>
      </c>
    </row>
    <row r="564" spans="1:1" x14ac:dyDescent="0.3">
      <c r="A564" s="54">
        <f t="shared" si="19"/>
        <v>26</v>
      </c>
    </row>
    <row r="565" spans="1:1" x14ac:dyDescent="0.3">
      <c r="A565" s="54">
        <f t="shared" si="19"/>
        <v>27</v>
      </c>
    </row>
    <row r="566" spans="1:1" x14ac:dyDescent="0.3">
      <c r="A566" s="54">
        <f t="shared" si="19"/>
        <v>28</v>
      </c>
    </row>
    <row r="567" spans="1:1" x14ac:dyDescent="0.3">
      <c r="A567" s="54">
        <f t="shared" si="19"/>
        <v>29</v>
      </c>
    </row>
    <row r="568" spans="1:1" x14ac:dyDescent="0.3">
      <c r="A568" s="54">
        <f t="shared" si="19"/>
        <v>30</v>
      </c>
    </row>
    <row r="569" spans="1:1" x14ac:dyDescent="0.3">
      <c r="A569" s="54">
        <f t="shared" si="19"/>
        <v>31</v>
      </c>
    </row>
    <row r="570" spans="1:1" x14ac:dyDescent="0.3">
      <c r="A570" s="54">
        <f t="shared" si="19"/>
        <v>32</v>
      </c>
    </row>
    <row r="571" spans="1:1" x14ac:dyDescent="0.3">
      <c r="A571" s="54">
        <f t="shared" si="19"/>
        <v>33</v>
      </c>
    </row>
    <row r="572" spans="1:1" x14ac:dyDescent="0.3">
      <c r="A572" s="54">
        <f t="shared" ref="A572:A603" si="20">A571+1</f>
        <v>34</v>
      </c>
    </row>
    <row r="573" spans="1:1" x14ac:dyDescent="0.3">
      <c r="A573" s="54">
        <f t="shared" si="20"/>
        <v>35</v>
      </c>
    </row>
    <row r="574" spans="1:1" x14ac:dyDescent="0.3">
      <c r="A574" s="54">
        <f t="shared" si="20"/>
        <v>36</v>
      </c>
    </row>
    <row r="575" spans="1:1" x14ac:dyDescent="0.3">
      <c r="A575" s="54">
        <f t="shared" si="20"/>
        <v>37</v>
      </c>
    </row>
    <row r="576" spans="1:1" x14ac:dyDescent="0.3">
      <c r="A576" s="54">
        <f t="shared" si="20"/>
        <v>38</v>
      </c>
    </row>
    <row r="577" spans="1:1" x14ac:dyDescent="0.3">
      <c r="A577" s="54">
        <f t="shared" si="20"/>
        <v>39</v>
      </c>
    </row>
    <row r="578" spans="1:1" x14ac:dyDescent="0.3">
      <c r="A578" s="54">
        <f t="shared" si="20"/>
        <v>40</v>
      </c>
    </row>
    <row r="579" spans="1:1" x14ac:dyDescent="0.3">
      <c r="A579" s="54">
        <f t="shared" si="20"/>
        <v>41</v>
      </c>
    </row>
    <row r="580" spans="1:1" x14ac:dyDescent="0.3">
      <c r="A580" s="54">
        <f t="shared" si="20"/>
        <v>42</v>
      </c>
    </row>
    <row r="581" spans="1:1" x14ac:dyDescent="0.3">
      <c r="A581" s="54">
        <f t="shared" si="20"/>
        <v>43</v>
      </c>
    </row>
    <row r="582" spans="1:1" x14ac:dyDescent="0.3">
      <c r="A582" s="54">
        <f t="shared" si="20"/>
        <v>44</v>
      </c>
    </row>
    <row r="583" spans="1:1" x14ac:dyDescent="0.3">
      <c r="A583" s="54">
        <f t="shared" si="20"/>
        <v>45</v>
      </c>
    </row>
    <row r="584" spans="1:1" x14ac:dyDescent="0.3">
      <c r="A584" s="54">
        <f t="shared" si="20"/>
        <v>46</v>
      </c>
    </row>
    <row r="585" spans="1:1" x14ac:dyDescent="0.3">
      <c r="A585" s="54">
        <f t="shared" si="20"/>
        <v>47</v>
      </c>
    </row>
    <row r="586" spans="1:1" x14ac:dyDescent="0.3">
      <c r="A586" s="54">
        <f t="shared" si="20"/>
        <v>48</v>
      </c>
    </row>
    <row r="587" spans="1:1" x14ac:dyDescent="0.3">
      <c r="A587" s="54">
        <f t="shared" si="20"/>
        <v>49</v>
      </c>
    </row>
    <row r="588" spans="1:1" x14ac:dyDescent="0.3">
      <c r="A588" s="54">
        <f t="shared" si="20"/>
        <v>50</v>
      </c>
    </row>
    <row r="589" spans="1:1" x14ac:dyDescent="0.3">
      <c r="A589" s="54">
        <f t="shared" si="20"/>
        <v>51</v>
      </c>
    </row>
    <row r="590" spans="1:1" x14ac:dyDescent="0.3">
      <c r="A590" s="54">
        <f t="shared" si="20"/>
        <v>52</v>
      </c>
    </row>
    <row r="591" spans="1:1" x14ac:dyDescent="0.3">
      <c r="A591" s="54">
        <f t="shared" si="20"/>
        <v>53</v>
      </c>
    </row>
    <row r="592" spans="1:1" x14ac:dyDescent="0.3">
      <c r="A592" s="54">
        <f t="shared" si="20"/>
        <v>54</v>
      </c>
    </row>
    <row r="593" spans="1:1" x14ac:dyDescent="0.3">
      <c r="A593" s="54">
        <f t="shared" si="20"/>
        <v>55</v>
      </c>
    </row>
    <row r="594" spans="1:1" x14ac:dyDescent="0.3">
      <c r="A594" s="54">
        <f t="shared" si="20"/>
        <v>56</v>
      </c>
    </row>
    <row r="595" spans="1:1" x14ac:dyDescent="0.3">
      <c r="A595" s="54">
        <f t="shared" si="20"/>
        <v>57</v>
      </c>
    </row>
    <row r="596" spans="1:1" x14ac:dyDescent="0.3">
      <c r="A596" s="54">
        <f t="shared" si="20"/>
        <v>58</v>
      </c>
    </row>
    <row r="597" spans="1:1" x14ac:dyDescent="0.3">
      <c r="A597" s="54">
        <f t="shared" si="20"/>
        <v>59</v>
      </c>
    </row>
    <row r="598" spans="1:1" x14ac:dyDescent="0.3">
      <c r="A598" s="54">
        <f t="shared" si="20"/>
        <v>60</v>
      </c>
    </row>
    <row r="599" spans="1:1" x14ac:dyDescent="0.3">
      <c r="A599" s="54">
        <f t="shared" si="20"/>
        <v>61</v>
      </c>
    </row>
    <row r="600" spans="1:1" x14ac:dyDescent="0.3">
      <c r="A600" s="54">
        <f t="shared" si="20"/>
        <v>62</v>
      </c>
    </row>
    <row r="601" spans="1:1" x14ac:dyDescent="0.3">
      <c r="A601" s="54">
        <f t="shared" si="20"/>
        <v>63</v>
      </c>
    </row>
    <row r="602" spans="1:1" x14ac:dyDescent="0.3">
      <c r="A602" s="54">
        <f t="shared" si="20"/>
        <v>64</v>
      </c>
    </row>
    <row r="603" spans="1:1" x14ac:dyDescent="0.3">
      <c r="A603" s="54">
        <f t="shared" si="20"/>
        <v>65</v>
      </c>
    </row>
    <row r="604" spans="1:1" x14ac:dyDescent="0.3">
      <c r="A604" s="54">
        <f t="shared" ref="A604:A635" si="21">A603+1</f>
        <v>66</v>
      </c>
    </row>
    <row r="605" spans="1:1" x14ac:dyDescent="0.3">
      <c r="A605" s="54">
        <f t="shared" si="21"/>
        <v>67</v>
      </c>
    </row>
    <row r="606" spans="1:1" x14ac:dyDescent="0.3">
      <c r="A606" s="54">
        <f t="shared" si="21"/>
        <v>68</v>
      </c>
    </row>
    <row r="607" spans="1:1" x14ac:dyDescent="0.3">
      <c r="A607" s="54">
        <f t="shared" si="21"/>
        <v>69</v>
      </c>
    </row>
    <row r="608" spans="1:1" x14ac:dyDescent="0.3">
      <c r="A608" s="54">
        <f t="shared" si="21"/>
        <v>70</v>
      </c>
    </row>
    <row r="609" spans="1:1" x14ac:dyDescent="0.3">
      <c r="A609" s="54">
        <f t="shared" si="21"/>
        <v>71</v>
      </c>
    </row>
    <row r="610" spans="1:1" x14ac:dyDescent="0.3">
      <c r="A610" s="54">
        <f t="shared" si="21"/>
        <v>72</v>
      </c>
    </row>
    <row r="611" spans="1:1" x14ac:dyDescent="0.3">
      <c r="A611" s="54">
        <f t="shared" si="21"/>
        <v>73</v>
      </c>
    </row>
    <row r="612" spans="1:1" x14ac:dyDescent="0.3">
      <c r="A612" s="54">
        <f t="shared" si="21"/>
        <v>74</v>
      </c>
    </row>
    <row r="613" spans="1:1" x14ac:dyDescent="0.3">
      <c r="A613" s="54">
        <f t="shared" si="21"/>
        <v>75</v>
      </c>
    </row>
    <row r="614" spans="1:1" x14ac:dyDescent="0.3">
      <c r="A614" s="54">
        <f t="shared" si="21"/>
        <v>76</v>
      </c>
    </row>
    <row r="615" spans="1:1" x14ac:dyDescent="0.3">
      <c r="A615" s="54">
        <f t="shared" si="21"/>
        <v>77</v>
      </c>
    </row>
    <row r="616" spans="1:1" x14ac:dyDescent="0.3">
      <c r="A616" s="54">
        <f t="shared" si="21"/>
        <v>78</v>
      </c>
    </row>
    <row r="617" spans="1:1" x14ac:dyDescent="0.3">
      <c r="A617" s="54">
        <f t="shared" si="21"/>
        <v>79</v>
      </c>
    </row>
    <row r="618" spans="1:1" x14ac:dyDescent="0.3">
      <c r="A618" s="54">
        <f t="shared" si="21"/>
        <v>80</v>
      </c>
    </row>
    <row r="619" spans="1:1" x14ac:dyDescent="0.3">
      <c r="A619" s="54">
        <f t="shared" si="21"/>
        <v>81</v>
      </c>
    </row>
    <row r="620" spans="1:1" x14ac:dyDescent="0.3">
      <c r="A620" s="54">
        <f t="shared" si="21"/>
        <v>82</v>
      </c>
    </row>
    <row r="621" spans="1:1" x14ac:dyDescent="0.3">
      <c r="A621" s="54">
        <f t="shared" si="21"/>
        <v>83</v>
      </c>
    </row>
    <row r="622" spans="1:1" x14ac:dyDescent="0.3">
      <c r="A622" s="54">
        <f t="shared" si="21"/>
        <v>84</v>
      </c>
    </row>
    <row r="623" spans="1:1" x14ac:dyDescent="0.3">
      <c r="A623" s="54">
        <f t="shared" si="21"/>
        <v>85</v>
      </c>
    </row>
    <row r="624" spans="1:1" x14ac:dyDescent="0.3">
      <c r="A624" s="54">
        <f t="shared" si="21"/>
        <v>86</v>
      </c>
    </row>
    <row r="625" spans="1:1" x14ac:dyDescent="0.3">
      <c r="A625" s="54">
        <f t="shared" si="21"/>
        <v>87</v>
      </c>
    </row>
    <row r="626" spans="1:1" x14ac:dyDescent="0.3">
      <c r="A626" s="54">
        <f t="shared" si="21"/>
        <v>88</v>
      </c>
    </row>
    <row r="627" spans="1:1" x14ac:dyDescent="0.3">
      <c r="A627" s="54">
        <f t="shared" si="21"/>
        <v>89</v>
      </c>
    </row>
    <row r="628" spans="1:1" x14ac:dyDescent="0.3">
      <c r="A628" s="54">
        <f t="shared" si="21"/>
        <v>90</v>
      </c>
    </row>
    <row r="629" spans="1:1" x14ac:dyDescent="0.3">
      <c r="A629" s="54">
        <f t="shared" si="21"/>
        <v>91</v>
      </c>
    </row>
    <row r="630" spans="1:1" x14ac:dyDescent="0.3">
      <c r="A630" s="54">
        <f t="shared" si="21"/>
        <v>92</v>
      </c>
    </row>
    <row r="631" spans="1:1" x14ac:dyDescent="0.3">
      <c r="A631" s="54">
        <f t="shared" si="21"/>
        <v>93</v>
      </c>
    </row>
    <row r="632" spans="1:1" x14ac:dyDescent="0.3">
      <c r="A632" s="54">
        <f t="shared" si="21"/>
        <v>94</v>
      </c>
    </row>
    <row r="633" spans="1:1" x14ac:dyDescent="0.3">
      <c r="A633" s="54">
        <f t="shared" si="21"/>
        <v>95</v>
      </c>
    </row>
    <row r="634" spans="1:1" x14ac:dyDescent="0.3">
      <c r="A634" s="54">
        <f t="shared" si="21"/>
        <v>96</v>
      </c>
    </row>
    <row r="635" spans="1:1" x14ac:dyDescent="0.3">
      <c r="A635" s="54">
        <f t="shared" si="21"/>
        <v>97</v>
      </c>
    </row>
    <row r="636" spans="1:1" x14ac:dyDescent="0.3">
      <c r="A636" s="54">
        <f t="shared" ref="A636:A655" si="22">A635+1</f>
        <v>98</v>
      </c>
    </row>
    <row r="637" spans="1:1" x14ac:dyDescent="0.3">
      <c r="A637" s="54">
        <f t="shared" si="22"/>
        <v>99</v>
      </c>
    </row>
    <row r="638" spans="1:1" x14ac:dyDescent="0.3">
      <c r="A638" s="54">
        <f t="shared" si="22"/>
        <v>100</v>
      </c>
    </row>
    <row r="639" spans="1:1" x14ac:dyDescent="0.3">
      <c r="A639" s="54">
        <f t="shared" si="22"/>
        <v>101</v>
      </c>
    </row>
    <row r="640" spans="1:1" x14ac:dyDescent="0.3">
      <c r="A640" s="54">
        <f t="shared" si="22"/>
        <v>102</v>
      </c>
    </row>
    <row r="641" spans="1:1" x14ac:dyDescent="0.3">
      <c r="A641" s="54">
        <f t="shared" si="22"/>
        <v>103</v>
      </c>
    </row>
    <row r="642" spans="1:1" x14ac:dyDescent="0.3">
      <c r="A642" s="54">
        <f t="shared" si="22"/>
        <v>104</v>
      </c>
    </row>
    <row r="643" spans="1:1" x14ac:dyDescent="0.3">
      <c r="A643" s="54">
        <f t="shared" si="22"/>
        <v>105</v>
      </c>
    </row>
    <row r="644" spans="1:1" x14ac:dyDescent="0.3">
      <c r="A644" s="54">
        <f t="shared" si="22"/>
        <v>106</v>
      </c>
    </row>
    <row r="645" spans="1:1" x14ac:dyDescent="0.3">
      <c r="A645" s="54">
        <f t="shared" si="22"/>
        <v>107</v>
      </c>
    </row>
    <row r="646" spans="1:1" x14ac:dyDescent="0.3">
      <c r="A646" s="54">
        <f t="shared" si="22"/>
        <v>108</v>
      </c>
    </row>
    <row r="647" spans="1:1" x14ac:dyDescent="0.3">
      <c r="A647" s="54">
        <f t="shared" si="22"/>
        <v>109</v>
      </c>
    </row>
    <row r="648" spans="1:1" x14ac:dyDescent="0.3">
      <c r="A648" s="54">
        <f t="shared" si="22"/>
        <v>110</v>
      </c>
    </row>
    <row r="649" spans="1:1" x14ac:dyDescent="0.3">
      <c r="A649" s="54">
        <f t="shared" si="22"/>
        <v>111</v>
      </c>
    </row>
    <row r="650" spans="1:1" x14ac:dyDescent="0.3">
      <c r="A650" s="54">
        <f t="shared" si="22"/>
        <v>112</v>
      </c>
    </row>
    <row r="651" spans="1:1" x14ac:dyDescent="0.3">
      <c r="A651" s="54">
        <f t="shared" si="22"/>
        <v>113</v>
      </c>
    </row>
    <row r="652" spans="1:1" x14ac:dyDescent="0.3">
      <c r="A652" s="54">
        <f t="shared" si="22"/>
        <v>114</v>
      </c>
    </row>
    <row r="653" spans="1:1" x14ac:dyDescent="0.3">
      <c r="A653" s="54">
        <f t="shared" si="22"/>
        <v>115</v>
      </c>
    </row>
    <row r="654" spans="1:1" x14ac:dyDescent="0.3">
      <c r="A654" s="54">
        <f t="shared" si="22"/>
        <v>116</v>
      </c>
    </row>
    <row r="655" spans="1:1" x14ac:dyDescent="0.3">
      <c r="A655" s="54">
        <f t="shared" si="22"/>
        <v>117</v>
      </c>
    </row>
  </sheetData>
  <autoFilter ref="A1:S655" xr:uid="{00000000-0009-0000-0000-000001000000}"/>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AB50"/>
  <sheetViews>
    <sheetView topLeftCell="O21" workbookViewId="0">
      <selection activeCell="AA34" sqref="AA34"/>
    </sheetView>
  </sheetViews>
  <sheetFormatPr defaultRowHeight="14.4" x14ac:dyDescent="0.3"/>
  <cols>
    <col min="1" max="1" width="13.109375" bestFit="1" customWidth="1"/>
    <col min="2" max="2" width="24.109375" bestFit="1" customWidth="1"/>
    <col min="3" max="3" width="8.33203125" bestFit="1" customWidth="1"/>
    <col min="4" max="4" width="7.33203125" bestFit="1" customWidth="1"/>
    <col min="5" max="5" width="11.33203125" bestFit="1" customWidth="1"/>
    <col min="6" max="6" width="11.33203125" customWidth="1"/>
    <col min="8" max="8" width="19.33203125" customWidth="1"/>
    <col min="9" max="9" width="18.109375" bestFit="1" customWidth="1"/>
    <col min="10" max="10" width="11" customWidth="1"/>
    <col min="11" max="11" width="16.33203125" customWidth="1"/>
    <col min="12" max="12" width="20.6640625" bestFit="1" customWidth="1"/>
    <col min="13" max="13" width="12.5546875" bestFit="1" customWidth="1"/>
    <col min="14" max="14" width="30.6640625" bestFit="1" customWidth="1"/>
    <col min="15" max="15" width="20.6640625" bestFit="1" customWidth="1"/>
    <col min="16" max="16" width="9.109375" style="159" customWidth="1"/>
    <col min="17" max="17" width="18.5546875" bestFit="1" customWidth="1"/>
    <col min="18" max="18" width="12" bestFit="1" customWidth="1"/>
    <col min="21" max="21" width="10" bestFit="1" customWidth="1"/>
    <col min="22" max="22" width="9.44140625" bestFit="1" customWidth="1"/>
    <col min="23" max="23" width="19.33203125" bestFit="1" customWidth="1"/>
    <col min="24" max="24" width="26.109375" bestFit="1" customWidth="1"/>
  </cols>
  <sheetData>
    <row r="1" spans="1:20" x14ac:dyDescent="0.3">
      <c r="A1" s="37" t="s">
        <v>0</v>
      </c>
      <c r="B1" t="s">
        <v>1</v>
      </c>
    </row>
    <row r="3" spans="1:20" x14ac:dyDescent="0.3">
      <c r="A3" s="37" t="s">
        <v>2</v>
      </c>
      <c r="B3" s="37" t="s">
        <v>3</v>
      </c>
      <c r="S3" s="114"/>
      <c r="T3" s="115"/>
    </row>
    <row r="4" spans="1:20" x14ac:dyDescent="0.3">
      <c r="B4" t="s">
        <v>4</v>
      </c>
      <c r="C4" t="s">
        <v>5</v>
      </c>
      <c r="D4" t="s">
        <v>6</v>
      </c>
      <c r="E4" t="s">
        <v>7</v>
      </c>
      <c r="S4" s="114"/>
      <c r="T4" s="115"/>
    </row>
    <row r="5" spans="1:20" x14ac:dyDescent="0.3">
      <c r="S5" s="114"/>
      <c r="T5" s="115"/>
    </row>
    <row r="6" spans="1:20" x14ac:dyDescent="0.3">
      <c r="A6" s="37" t="s">
        <v>8</v>
      </c>
      <c r="S6" s="114"/>
      <c r="T6" s="115"/>
    </row>
    <row r="7" spans="1:20" x14ac:dyDescent="0.3">
      <c r="A7" s="38" t="s">
        <v>9</v>
      </c>
      <c r="C7">
        <v>19</v>
      </c>
      <c r="D7">
        <v>28</v>
      </c>
      <c r="E7">
        <v>47</v>
      </c>
      <c r="S7" s="114"/>
      <c r="T7" s="115"/>
    </row>
    <row r="8" spans="1:20" x14ac:dyDescent="0.3">
      <c r="A8" s="38" t="s">
        <v>10</v>
      </c>
      <c r="D8">
        <v>3</v>
      </c>
      <c r="E8">
        <v>3</v>
      </c>
      <c r="S8" s="114"/>
      <c r="T8" s="115"/>
    </row>
    <row r="9" spans="1:20" x14ac:dyDescent="0.3">
      <c r="A9" s="38" t="s">
        <v>11</v>
      </c>
      <c r="C9">
        <v>8</v>
      </c>
      <c r="D9">
        <v>11</v>
      </c>
      <c r="E9">
        <v>19</v>
      </c>
      <c r="S9" s="114"/>
      <c r="T9" s="115"/>
    </row>
    <row r="10" spans="1:20" x14ac:dyDescent="0.3">
      <c r="A10" s="38" t="s">
        <v>12</v>
      </c>
      <c r="C10">
        <v>47</v>
      </c>
      <c r="D10">
        <v>54</v>
      </c>
      <c r="E10">
        <v>101</v>
      </c>
      <c r="K10" s="48"/>
      <c r="L10" s="48"/>
      <c r="S10" s="114"/>
      <c r="T10" s="115"/>
    </row>
    <row r="11" spans="1:20" x14ac:dyDescent="0.3">
      <c r="A11" s="38" t="s">
        <v>13</v>
      </c>
      <c r="C11">
        <v>3</v>
      </c>
      <c r="D11">
        <v>32</v>
      </c>
      <c r="E11">
        <v>35</v>
      </c>
      <c r="K11" s="71"/>
      <c r="L11" s="48"/>
      <c r="S11" s="114"/>
      <c r="T11" s="115"/>
    </row>
    <row r="12" spans="1:20" x14ac:dyDescent="0.3">
      <c r="A12" s="38" t="s">
        <v>14</v>
      </c>
      <c r="C12">
        <v>7</v>
      </c>
      <c r="D12">
        <v>6</v>
      </c>
      <c r="E12">
        <v>13</v>
      </c>
      <c r="K12" s="71"/>
      <c r="L12" s="48"/>
      <c r="S12" s="114"/>
      <c r="T12" s="115"/>
    </row>
    <row r="13" spans="1:20" x14ac:dyDescent="0.3">
      <c r="A13" s="38" t="s">
        <v>15</v>
      </c>
      <c r="D13">
        <v>3</v>
      </c>
      <c r="E13">
        <v>3</v>
      </c>
      <c r="K13" s="71"/>
      <c r="L13" s="48"/>
      <c r="S13" s="114"/>
      <c r="T13" s="115"/>
    </row>
    <row r="14" spans="1:20" x14ac:dyDescent="0.3">
      <c r="A14" s="38" t="s">
        <v>16</v>
      </c>
      <c r="C14">
        <v>13</v>
      </c>
      <c r="D14">
        <v>24</v>
      </c>
      <c r="E14">
        <v>37</v>
      </c>
      <c r="K14" s="71"/>
      <c r="L14" s="48"/>
    </row>
    <row r="15" spans="1:20" ht="15.75" customHeight="1" thickBot="1" x14ac:dyDescent="0.35">
      <c r="A15" s="38" t="s">
        <v>17</v>
      </c>
      <c r="C15">
        <v>31</v>
      </c>
      <c r="D15">
        <v>79</v>
      </c>
      <c r="E15">
        <v>110</v>
      </c>
      <c r="H15" s="102"/>
      <c r="K15" s="71"/>
      <c r="L15" s="48"/>
    </row>
    <row r="16" spans="1:20" x14ac:dyDescent="0.3">
      <c r="A16" s="38" t="s">
        <v>18</v>
      </c>
      <c r="C16">
        <v>7</v>
      </c>
      <c r="D16">
        <v>23</v>
      </c>
      <c r="E16">
        <v>30</v>
      </c>
      <c r="G16" s="165" t="s">
        <v>19</v>
      </c>
      <c r="H16" s="166"/>
      <c r="I16" s="167"/>
      <c r="K16" s="71"/>
      <c r="L16" s="48"/>
    </row>
    <row r="17" spans="1:28" x14ac:dyDescent="0.3">
      <c r="A17" s="38" t="s">
        <v>20</v>
      </c>
      <c r="C17">
        <v>1</v>
      </c>
      <c r="E17">
        <v>1</v>
      </c>
      <c r="G17" s="156"/>
      <c r="H17" s="157"/>
      <c r="I17" s="158"/>
      <c r="K17" s="71"/>
      <c r="L17" s="48"/>
      <c r="U17" t="s">
        <v>21</v>
      </c>
    </row>
    <row r="18" spans="1:28" ht="30" customHeight="1" x14ac:dyDescent="0.3">
      <c r="A18" s="38" t="s">
        <v>22</v>
      </c>
      <c r="D18">
        <v>1</v>
      </c>
      <c r="E18">
        <v>1</v>
      </c>
      <c r="G18" s="154" t="s">
        <v>23</v>
      </c>
      <c r="H18" s="137"/>
      <c r="I18" s="146" t="s">
        <v>24</v>
      </c>
      <c r="J18" s="136" t="s">
        <v>25</v>
      </c>
      <c r="K18" s="162" t="s">
        <v>26</v>
      </c>
      <c r="L18" s="136" t="s">
        <v>27</v>
      </c>
      <c r="N18" s="136" t="s">
        <v>23</v>
      </c>
      <c r="O18" s="136" t="s">
        <v>28</v>
      </c>
      <c r="P18" s="160" t="s">
        <v>29</v>
      </c>
      <c r="Q18" s="136" t="s">
        <v>30</v>
      </c>
      <c r="R18" s="136"/>
      <c r="S18" s="136"/>
      <c r="U18" t="s">
        <v>31</v>
      </c>
      <c r="V18" t="s">
        <v>32</v>
      </c>
      <c r="W18" t="s">
        <v>33</v>
      </c>
      <c r="X18" t="s">
        <v>34</v>
      </c>
    </row>
    <row r="19" spans="1:28" x14ac:dyDescent="0.3">
      <c r="A19" s="38" t="s">
        <v>35</v>
      </c>
      <c r="C19">
        <v>4</v>
      </c>
      <c r="E19">
        <v>4</v>
      </c>
      <c r="G19" s="154"/>
      <c r="H19" s="137" t="s">
        <v>36</v>
      </c>
      <c r="I19" s="146">
        <f>SUMIFS('CSFA Accumilative data'!I:I,'CSFA Accumilative data'!O:O,'Severity info'!H19)/COUNTIFS('CSFA Accumilative data'!O:O,'Severity info'!H19)</f>
        <v>2.6190476190476191</v>
      </c>
      <c r="J19" s="136">
        <f>SUMIFS('CSFA Accumilative data'!N:N,'CSFA Accumilative data'!O:O,'Severity info'!H19)</f>
        <v>13</v>
      </c>
      <c r="K19" s="146">
        <f>SUMIFS('CSFA Accumilative data'!I364:I538,'CSFA Accumilative data'!O364:O538,'Severity info'!H19)/COUNTIFS('CSFA Accumilative data'!O364:O538,'Severity info'!H19)</f>
        <v>2.5</v>
      </c>
      <c r="L19" s="136">
        <f>SUMIFS('CSFA Accumilative data'!N364:N538,'CSFA Accumilative data'!O364:O538,'Severity info'!H19)</f>
        <v>2</v>
      </c>
      <c r="N19" s="138" t="s">
        <v>37</v>
      </c>
      <c r="O19" s="136">
        <v>4</v>
      </c>
      <c r="P19" s="160">
        <f>COUNTIFS('CSFA Accumilative data'!I:I,'Severity info'!O19)</f>
        <v>73</v>
      </c>
      <c r="Q19" s="136">
        <f>COUNTIFS('CSFA Accumilative data'!I:I,'Severity info'!O19,'CSFA Accumilative data'!P:P,'Severity info'!N19)</f>
        <v>63</v>
      </c>
      <c r="R19" s="136"/>
      <c r="S19" s="136"/>
      <c r="U19" t="s">
        <v>9</v>
      </c>
      <c r="V19" t="s">
        <v>5</v>
      </c>
      <c r="W19">
        <f>SUMIFS('CSFA Accumilative data'!K:K,'CSFA Accumilative data'!T:T,'Severity info'!V19,'CSFA Accumilative data'!O:O,'Severity info'!U19)</f>
        <v>4</v>
      </c>
    </row>
    <row r="20" spans="1:28" x14ac:dyDescent="0.3">
      <c r="A20" s="38" t="s">
        <v>38</v>
      </c>
      <c r="C20">
        <v>11</v>
      </c>
      <c r="D20">
        <v>20</v>
      </c>
      <c r="E20">
        <v>31</v>
      </c>
      <c r="G20" s="168" t="s">
        <v>31</v>
      </c>
      <c r="H20" s="137" t="s">
        <v>12</v>
      </c>
      <c r="I20" s="146">
        <f>SUMIFS('CSFA Accumilative data'!I:I,'CSFA Accumilative data'!O:O,'Severity info'!H20)/COUNTIFS('CSFA Accumilative data'!O:O,'Severity info'!H20)</f>
        <v>3.0169491525423728</v>
      </c>
      <c r="J20" s="136">
        <f>SUMIFS('CSFA Accumilative data'!N:N,'CSFA Accumilative data'!O:O,'Severity info'!H20)</f>
        <v>54</v>
      </c>
      <c r="K20" s="146">
        <f>SUMIFS('CSFA Accumilative data'!I365:I539,'CSFA Accumilative data'!O365:O539,'Severity info'!H20)/COUNTIFS('CSFA Accumilative data'!O365:O539,'Severity info'!H20)</f>
        <v>3.0882352941176472</v>
      </c>
      <c r="L20" s="136">
        <f>SUMIFS('CSFA Accumilative data'!N365:N539,'CSFA Accumilative data'!O365:O539,'Severity info'!H20)</f>
        <v>16</v>
      </c>
      <c r="N20" s="138" t="s">
        <v>37</v>
      </c>
      <c r="O20" s="136">
        <v>5</v>
      </c>
      <c r="P20" s="160">
        <f>COUNTIFS('CSFA Accumilative data'!I:I,'Severity info'!O20)</f>
        <v>12</v>
      </c>
      <c r="Q20" s="136">
        <f>COUNTIFS('CSFA Accumilative data'!I:I,'Severity info'!O20,'CSFA Accumilative data'!P:P,'Severity info'!N20)</f>
        <v>12</v>
      </c>
      <c r="R20" s="136"/>
      <c r="S20" s="136"/>
      <c r="U20" t="s">
        <v>11</v>
      </c>
      <c r="V20" t="s">
        <v>5</v>
      </c>
      <c r="W20">
        <f>SUMIFS('CSFA Accumilative data'!K:K,'CSFA Accumilative data'!T:T,'Severity info'!V20,'CSFA Accumilative data'!O:O,'Severity info'!U20)</f>
        <v>2</v>
      </c>
    </row>
    <row r="21" spans="1:28" x14ac:dyDescent="0.3">
      <c r="A21" s="38" t="s">
        <v>39</v>
      </c>
      <c r="D21">
        <v>1</v>
      </c>
      <c r="E21">
        <v>1</v>
      </c>
      <c r="G21" s="169"/>
      <c r="H21" s="137" t="s">
        <v>17</v>
      </c>
      <c r="I21" s="146">
        <f>SUMIFS('CSFA Accumilative data'!I:I,'CSFA Accumilative data'!O:O,'Severity info'!H21)/COUNTIFS('CSFA Accumilative data'!O:O,'Severity info'!H21)</f>
        <v>2.9779411764705883</v>
      </c>
      <c r="J21" s="136">
        <f>SUMIFS('CSFA Accumilative data'!N:N,'CSFA Accumilative data'!O:O,'Severity info'!H21)</f>
        <v>55</v>
      </c>
      <c r="K21" s="146">
        <f>SUMIFS('CSFA Accumilative data'!I366:I540,'CSFA Accumilative data'!O366:O540,'Severity info'!H21)/COUNTIFS('CSFA Accumilative data'!O366:O540,'Severity info'!H21)</f>
        <v>2.9791666666666665</v>
      </c>
      <c r="L21" s="136">
        <f>SUMIFS('CSFA Accumilative data'!N366:N540,'CSFA Accumilative data'!O366:O540,'Severity info'!H21)</f>
        <v>20</v>
      </c>
      <c r="N21" s="136"/>
      <c r="O21" s="136" t="s">
        <v>40</v>
      </c>
      <c r="P21" s="160">
        <f>P19+P20</f>
        <v>85</v>
      </c>
      <c r="Q21" s="136">
        <f>Q19+Q20</f>
        <v>75</v>
      </c>
      <c r="R21" s="136" t="s">
        <v>41</v>
      </c>
      <c r="S21" s="136">
        <f ca="1">COUNTA(_xlfn.UNIQUE('CSFA Accumilative data'!S:S))</f>
        <v>1</v>
      </c>
      <c r="U21" t="s">
        <v>12</v>
      </c>
      <c r="V21" t="s">
        <v>5</v>
      </c>
      <c r="W21">
        <f>SUMIFS('CSFA Accumilative data'!K:K,'CSFA Accumilative data'!T:T,'Severity info'!V21,'CSFA Accumilative data'!O:O,'Severity info'!U21)</f>
        <v>11</v>
      </c>
    </row>
    <row r="22" spans="1:28" x14ac:dyDescent="0.3">
      <c r="A22" s="38" t="s">
        <v>42</v>
      </c>
      <c r="C22">
        <v>2</v>
      </c>
      <c r="D22">
        <v>1</v>
      </c>
      <c r="E22">
        <v>3</v>
      </c>
      <c r="G22" s="169"/>
      <c r="H22" s="137" t="s">
        <v>11</v>
      </c>
      <c r="I22" s="146">
        <f>SUMIFS('CSFA Accumilative data'!I:I,'CSFA Accumilative data'!O:O,'Severity info'!H22)/COUNTIFS('CSFA Accumilative data'!O:O,'Severity info'!H22)</f>
        <v>3</v>
      </c>
      <c r="J22" s="136">
        <f>SUMIFS('CSFA Accumilative data'!N:N,'CSFA Accumilative data'!O:O,'Severity info'!H22)</f>
        <v>8</v>
      </c>
      <c r="K22" s="146">
        <f>SUMIFS('CSFA Accumilative data'!I367:I541,'CSFA Accumilative data'!O367:O541,'Severity info'!H22)/COUNTIFS('CSFA Accumilative data'!O367:O541,'Severity info'!H22)</f>
        <v>3.4</v>
      </c>
      <c r="L22" s="136">
        <f>SUMIFS('CSFA Accumilative data'!N367:N541,'CSFA Accumilative data'!O367:O541,'Severity info'!H22)</f>
        <v>3</v>
      </c>
      <c r="N22" s="136"/>
      <c r="O22" s="136"/>
      <c r="P22" s="160"/>
      <c r="Q22" s="136"/>
      <c r="R22" s="136" t="s">
        <v>43</v>
      </c>
      <c r="S22" s="136">
        <f ca="1">P21/S21</f>
        <v>85</v>
      </c>
      <c r="U22" t="s">
        <v>36</v>
      </c>
      <c r="V22" t="s">
        <v>5</v>
      </c>
      <c r="W22">
        <f>SUMIFS('CSFA Accumilative data'!K:K,'CSFA Accumilative data'!T:T,'Severity info'!V22,'CSFA Accumilative data'!O:O,'Severity info'!U22)</f>
        <v>0</v>
      </c>
    </row>
    <row r="23" spans="1:28" x14ac:dyDescent="0.3">
      <c r="A23" s="38" t="s">
        <v>44</v>
      </c>
      <c r="G23" s="169"/>
      <c r="H23" s="137" t="s">
        <v>9</v>
      </c>
      <c r="I23" s="146">
        <f>SUMIFS('CSFA Accumilative data'!I:I,'CSFA Accumilative data'!O:O,'Severity info'!H23)/COUNTIFS('CSFA Accumilative data'!O:O,'Severity info'!H23)</f>
        <v>2.5660377358490565</v>
      </c>
      <c r="J23" s="136">
        <f>SUMIFS('CSFA Accumilative data'!N:N,'CSFA Accumilative data'!O:O,'Severity info'!H23)</f>
        <v>7</v>
      </c>
      <c r="K23" s="146">
        <f>SUMIFS('CSFA Accumilative data'!I368:I542,'CSFA Accumilative data'!O368:O542,'Severity info'!H23)/COUNTIFS('CSFA Accumilative data'!O368:O542,'Severity info'!H23)</f>
        <v>2.0769230769230771</v>
      </c>
      <c r="L23" s="136">
        <f>SUMIFS('CSFA Accumilative data'!N368:N542,'CSFA Accumilative data'!O368:O542,'Severity info'!H23)</f>
        <v>2</v>
      </c>
      <c r="N23" s="139"/>
      <c r="O23" s="139"/>
      <c r="P23" s="160"/>
      <c r="Q23" s="136"/>
      <c r="R23" s="136" t="s">
        <v>45</v>
      </c>
      <c r="S23" s="136">
        <f>Q21/P21*100</f>
        <v>88.235294117647058</v>
      </c>
      <c r="U23" t="s">
        <v>14</v>
      </c>
      <c r="V23" t="s">
        <v>5</v>
      </c>
      <c r="W23">
        <f>SUMIFS('CSFA Accumilative data'!K:K,'CSFA Accumilative data'!T:T,'Severity info'!V23,'CSFA Accumilative data'!O:O,'Severity info'!U23)</f>
        <v>1</v>
      </c>
    </row>
    <row r="24" spans="1:28" x14ac:dyDescent="0.3">
      <c r="A24" s="38" t="s">
        <v>46</v>
      </c>
      <c r="D24">
        <v>2</v>
      </c>
      <c r="E24">
        <v>2</v>
      </c>
      <c r="G24" s="169"/>
      <c r="H24" s="137" t="s">
        <v>38</v>
      </c>
      <c r="I24" s="146">
        <f>SUMIFS('CSFA Accumilative data'!I:I,'CSFA Accumilative data'!O:O,'Severity info'!H24)/COUNTIFS('CSFA Accumilative data'!O:O,'Severity info'!H24)</f>
        <v>2.2413793103448274</v>
      </c>
      <c r="J24" s="136">
        <f>SUMIFS('CSFA Accumilative data'!N:N,'CSFA Accumilative data'!O:O,'Severity info'!H24)</f>
        <v>9</v>
      </c>
      <c r="K24" s="146">
        <f>SUMIFS('CSFA Accumilative data'!I369:I543,'CSFA Accumilative data'!O369:O543,'Severity info'!H24)/COUNTIFS('CSFA Accumilative data'!O369:O543,'Severity info'!H24)</f>
        <v>2.2000000000000002</v>
      </c>
      <c r="L24" s="136">
        <f>SUMIFS('CSFA Accumilative data'!N369:N543,'CSFA Accumilative data'!O369:O543,'Severity info'!H24)</f>
        <v>3</v>
      </c>
      <c r="N24" s="136" t="s">
        <v>47</v>
      </c>
      <c r="O24" s="136">
        <f>SUM('CSFA Accumilative data'!N:N)/SUM('CSFA Accumilative data'!M:M)</f>
        <v>0.48732394366197185</v>
      </c>
      <c r="U24" t="s">
        <v>17</v>
      </c>
      <c r="V24" t="s">
        <v>5</v>
      </c>
      <c r="W24">
        <f>SUMIFS('CSFA Accumilative data'!K:K,'CSFA Accumilative data'!T:T,'Severity info'!V24,'CSFA Accumilative data'!O:O,'Severity info'!U24)</f>
        <v>2</v>
      </c>
    </row>
    <row r="25" spans="1:28" x14ac:dyDescent="0.3">
      <c r="A25" s="38" t="s">
        <v>48</v>
      </c>
      <c r="D25">
        <v>1</v>
      </c>
      <c r="E25">
        <v>1</v>
      </c>
      <c r="G25" s="169"/>
      <c r="H25" s="137" t="s">
        <v>18</v>
      </c>
      <c r="I25" s="146">
        <f>SUMIFS('CSFA Accumilative data'!I:I,'CSFA Accumilative data'!O:O,'Severity info'!H25)/COUNTIFS('CSFA Accumilative data'!O:O,'Severity info'!H25)</f>
        <v>2.7234042553191489</v>
      </c>
      <c r="J25" s="136">
        <f>SUMIFS('CSFA Accumilative data'!N:N,'CSFA Accumilative data'!O:O,'Severity info'!H25)</f>
        <v>15</v>
      </c>
      <c r="K25" s="146">
        <f>SUMIFS('CSFA Accumilative data'!I370:I544,'CSFA Accumilative data'!O370:O544,'Severity info'!H25)/COUNTIFS('CSFA Accumilative data'!O370:O544,'Severity info'!H25)</f>
        <v>2.9629629629629628</v>
      </c>
      <c r="L25" s="136">
        <f>SUMIFS('CSFA Accumilative data'!N370:N544,'CSFA Accumilative data'!O370:O544,'Severity info'!H25)</f>
        <v>9</v>
      </c>
      <c r="N25" t="s">
        <v>49</v>
      </c>
      <c r="O25">
        <f>SUM('CSFA Accumilative data'!N:N)</f>
        <v>173</v>
      </c>
      <c r="U25" t="s">
        <v>18</v>
      </c>
      <c r="V25" t="s">
        <v>5</v>
      </c>
      <c r="W25">
        <f>SUMIFS('CSFA Accumilative data'!K:K,'CSFA Accumilative data'!T:T,'Severity info'!V25,'CSFA Accumilative data'!O:O,'Severity info'!U25)</f>
        <v>1</v>
      </c>
    </row>
    <row r="26" spans="1:28" x14ac:dyDescent="0.3">
      <c r="A26" s="38" t="s">
        <v>50</v>
      </c>
      <c r="D26">
        <v>2</v>
      </c>
      <c r="E26">
        <v>2</v>
      </c>
      <c r="G26" s="170"/>
      <c r="H26" s="137" t="s">
        <v>14</v>
      </c>
      <c r="I26" s="146">
        <f>SUMIFS('CSFA Accumilative data'!I:I,'CSFA Accumilative data'!O:O,'Severity info'!H26)/COUNTIFS('CSFA Accumilative data'!O:O,'Severity info'!H26)</f>
        <v>2.4615384615384617</v>
      </c>
      <c r="J26" s="136">
        <f>SUMIFS('CSFA Accumilative data'!N:N,'CSFA Accumilative data'!O:O,'Severity info'!H26)</f>
        <v>0</v>
      </c>
      <c r="K26" s="146">
        <v>0</v>
      </c>
      <c r="L26" s="136">
        <f>SUMIFS('CSFA Accumilative data'!N371:N545,'CSFA Accumilative data'!O371:O545,'Severity info'!H26)</f>
        <v>0</v>
      </c>
      <c r="U26" t="s">
        <v>38</v>
      </c>
      <c r="V26" t="s">
        <v>5</v>
      </c>
      <c r="W26">
        <f>SUMIFS('CSFA Accumilative data'!K:K,'CSFA Accumilative data'!T:T,'Severity info'!V26,'CSFA Accumilative data'!O:O,'Severity info'!U26)</f>
        <v>1</v>
      </c>
    </row>
    <row r="27" spans="1:28" x14ac:dyDescent="0.3">
      <c r="A27" s="38" t="s">
        <v>51</v>
      </c>
      <c r="D27">
        <v>1</v>
      </c>
      <c r="E27">
        <v>1</v>
      </c>
      <c r="G27" s="168" t="s">
        <v>52</v>
      </c>
      <c r="H27" s="138" t="s">
        <v>53</v>
      </c>
      <c r="I27" s="146">
        <f>SUMIFS('CSFA Accumilative data'!I:I,'CSFA Accumilative data'!R:R,'Severity info'!H27)/COUNTIFS('CSFA Accumilative data'!R:R,'Severity info'!H27)</f>
        <v>2.9583333333333335</v>
      </c>
      <c r="J27" s="136">
        <f>SUMIFS('CSFA Accumilative data'!N:N,'CSFA Accumilative data'!R:R,'Severity info'!H27)</f>
        <v>72</v>
      </c>
      <c r="K27" s="146">
        <f>SUMIFS('CSFA Accumilative data'!I364:I538,'CSFA Accumilative data'!R364:R538,'Severity info'!H27)/COUNTIFS('CSFA Accumilative data'!R364:R538,'Severity info'!H27)</f>
        <v>3.0465116279069768</v>
      </c>
      <c r="L27" s="136">
        <f>SUMIFS('CSFA Accumilative data'!N364:N538,'CSFA Accumilative data'!R364:R538,'Severity info'!H27)</f>
        <v>35</v>
      </c>
      <c r="U27" t="s">
        <v>9</v>
      </c>
      <c r="V27" t="s">
        <v>54</v>
      </c>
      <c r="W27">
        <f>SUMIFS('CSFA Accumilative data'!K:K,'CSFA Accumilative data'!T:T,'Severity info'!V27,'CSFA Accumilative data'!O:O,'Severity info'!U27)</f>
        <v>5</v>
      </c>
      <c r="X27">
        <f>Vend_monthly_obs[[#This Row],[4&amp;5 observations]]-W19</f>
        <v>1</v>
      </c>
      <c r="Z27" t="s">
        <v>9</v>
      </c>
      <c r="AA27">
        <v>5</v>
      </c>
      <c r="AB27">
        <v>1</v>
      </c>
    </row>
    <row r="28" spans="1:28" x14ac:dyDescent="0.3">
      <c r="A28" s="38" t="s">
        <v>55</v>
      </c>
      <c r="D28">
        <v>1</v>
      </c>
      <c r="E28">
        <v>1</v>
      </c>
      <c r="G28" s="169"/>
      <c r="H28" s="138" t="s">
        <v>56</v>
      </c>
      <c r="I28" s="146">
        <f>SUMIFS('CSFA Accumilative data'!I:I,'CSFA Accumilative data'!R:R,'Severity info'!H28)/COUNTIFS('CSFA Accumilative data'!R:R,'Severity info'!H28)</f>
        <v>2.7019230769230771</v>
      </c>
      <c r="J28" s="136">
        <f>SUMIFS('CSFA Accumilative data'!N:N,'CSFA Accumilative data'!R:R,'Severity info'!H28)</f>
        <v>27</v>
      </c>
      <c r="K28" s="146">
        <f>SUMIFS('CSFA Accumilative data'!I365:I539,'CSFA Accumilative data'!R365:R539,'Severity info'!H28)/COUNTIFS('CSFA Accumilative data'!R365:R539,'Severity info'!H28)</f>
        <v>2.6842105263157894</v>
      </c>
      <c r="L28" s="136">
        <f>SUMIFS('CSFA Accumilative data'!N365:N539,'CSFA Accumilative data'!R365:R539,'Severity info'!H28)</f>
        <v>9</v>
      </c>
      <c r="U28" t="s">
        <v>11</v>
      </c>
      <c r="V28" t="s">
        <v>54</v>
      </c>
      <c r="W28">
        <f>SUMIFS('CSFA Accumilative data'!K:K,'CSFA Accumilative data'!T:T,'Severity info'!V28,'CSFA Accumilative data'!O:O,'Severity info'!U28)</f>
        <v>2</v>
      </c>
      <c r="X28">
        <f>Vend_monthly_obs[[#This Row],[4&amp;5 observations]]-W20</f>
        <v>0</v>
      </c>
      <c r="Z28" t="s">
        <v>11</v>
      </c>
      <c r="AA28">
        <v>2</v>
      </c>
      <c r="AB28">
        <v>0</v>
      </c>
    </row>
    <row r="29" spans="1:28" x14ac:dyDescent="0.3">
      <c r="A29" s="38" t="s">
        <v>57</v>
      </c>
      <c r="D29">
        <v>1</v>
      </c>
      <c r="E29">
        <v>1</v>
      </c>
      <c r="G29" s="169"/>
      <c r="H29" s="138" t="s">
        <v>58</v>
      </c>
      <c r="I29" s="146">
        <f>SUMIFS('CSFA Accumilative data'!I:I,'CSFA Accumilative data'!R:R,'Severity info'!H29)/COUNTIFS('CSFA Accumilative data'!R:R,'Severity info'!H29)</f>
        <v>2.6489361702127661</v>
      </c>
      <c r="J29" s="136">
        <f>SUMIFS('CSFA Accumilative data'!N:N,'CSFA Accumilative data'!R:R,'Severity info'!H29)</f>
        <v>25</v>
      </c>
      <c r="K29" s="146">
        <f>SUMIFS('CSFA Accumilative data'!I366:I540,'CSFA Accumilative data'!R366:R540,'Severity info'!H29)/COUNTIFS('CSFA Accumilative data'!R366:R540,'Severity info'!H29)</f>
        <v>2.5357142857142856</v>
      </c>
      <c r="L29" s="136">
        <f>SUMIFS('CSFA Accumilative data'!N366:N540,'CSFA Accumilative data'!R366:R540,'Severity info'!H29)</f>
        <v>4</v>
      </c>
      <c r="U29" t="s">
        <v>12</v>
      </c>
      <c r="V29" t="s">
        <v>54</v>
      </c>
      <c r="W29">
        <f>SUMIFS('CSFA Accumilative data'!K:K,'CSFA Accumilative data'!T:T,'Severity info'!V29,'CSFA Accumilative data'!O:O,'Severity info'!U29)</f>
        <v>14</v>
      </c>
      <c r="X29">
        <f>Vend_monthly_obs[[#This Row],[4&amp;5 observations]]-W21</f>
        <v>3</v>
      </c>
      <c r="Z29" t="s">
        <v>12</v>
      </c>
      <c r="AA29">
        <v>14</v>
      </c>
      <c r="AB29">
        <v>3</v>
      </c>
    </row>
    <row r="30" spans="1:28" ht="15.75" customHeight="1" thickBot="1" x14ac:dyDescent="0.35">
      <c r="A30" s="38" t="s">
        <v>7</v>
      </c>
      <c r="C30">
        <v>153</v>
      </c>
      <c r="D30">
        <v>294</v>
      </c>
      <c r="E30">
        <v>447</v>
      </c>
      <c r="G30" s="170"/>
      <c r="H30" s="155" t="s">
        <v>59</v>
      </c>
      <c r="I30" s="161">
        <f>SUMIFS('CSFA Accumilative data'!I:I,'CSFA Accumilative data'!R:R,'Severity info'!H30)/COUNTIFS('CSFA Accumilative data'!R:R,'Severity info'!H30)</f>
        <v>2.6170212765957448</v>
      </c>
      <c r="J30" s="136">
        <f>SUMIFS('CSFA Accumilative data'!N:N,'CSFA Accumilative data'!R:R,'Severity info'!H30)</f>
        <v>16</v>
      </c>
      <c r="K30" s="146">
        <f>SUMIFS('CSFA Accumilative data'!I367:I541,'CSFA Accumilative data'!R367:R541,'Severity info'!H30)/COUNTIFS('CSFA Accumilative data'!R367:R541,'Severity info'!H30)</f>
        <v>2.5454545454545454</v>
      </c>
      <c r="L30" s="136">
        <f>SUMIFS('CSFA Accumilative data'!N367:N541,'CSFA Accumilative data'!R367:R541,'Severity info'!H30)</f>
        <v>10</v>
      </c>
      <c r="U30" t="s">
        <v>36</v>
      </c>
      <c r="V30" t="s">
        <v>54</v>
      </c>
      <c r="W30">
        <f>SUMIFS('CSFA Accumilative data'!K:K,'CSFA Accumilative data'!T:T,'Severity info'!V30,'CSFA Accumilative data'!O:O,'Severity info'!U30)</f>
        <v>2</v>
      </c>
      <c r="X30">
        <f>Vend_monthly_obs[[#This Row],[4&amp;5 observations]]-W22</f>
        <v>2</v>
      </c>
      <c r="Z30" t="s">
        <v>36</v>
      </c>
      <c r="AA30">
        <v>2</v>
      </c>
      <c r="AB30">
        <v>2</v>
      </c>
    </row>
    <row r="31" spans="1:28" x14ac:dyDescent="0.3">
      <c r="A31" s="38"/>
      <c r="U31" t="s">
        <v>14</v>
      </c>
      <c r="V31" t="s">
        <v>54</v>
      </c>
      <c r="W31">
        <f>SUMIFS('CSFA Accumilative data'!K:K,'CSFA Accumilative data'!T:T,'Severity info'!V31,'CSFA Accumilative data'!O:O,'Severity info'!U31)</f>
        <v>2</v>
      </c>
      <c r="X31">
        <f>Vend_monthly_obs[[#This Row],[4&amp;5 observations]]-W23</f>
        <v>1</v>
      </c>
      <c r="Z31" t="s">
        <v>14</v>
      </c>
      <c r="AA31">
        <v>2</v>
      </c>
      <c r="AB31">
        <v>1</v>
      </c>
    </row>
    <row r="32" spans="1:28" x14ac:dyDescent="0.3">
      <c r="A32" s="38"/>
      <c r="U32" t="s">
        <v>17</v>
      </c>
      <c r="V32" t="s">
        <v>54</v>
      </c>
      <c r="W32">
        <f>SUMIFS('CSFA Accumilative data'!K:K,'CSFA Accumilative data'!T:T,'Severity info'!V32,'CSFA Accumilative data'!O:O,'Severity info'!U32)</f>
        <v>20</v>
      </c>
      <c r="X32">
        <f>Vend_monthly_obs[[#This Row],[4&amp;5 observations]]-W24</f>
        <v>18</v>
      </c>
      <c r="Z32" t="s">
        <v>17</v>
      </c>
      <c r="AA32">
        <v>20</v>
      </c>
      <c r="AB32">
        <v>18</v>
      </c>
    </row>
    <row r="33" spans="1:28" x14ac:dyDescent="0.3">
      <c r="A33" s="38"/>
      <c r="U33" t="s">
        <v>18</v>
      </c>
      <c r="V33" t="s">
        <v>54</v>
      </c>
      <c r="W33">
        <f>SUMIFS('CSFA Accumilative data'!K:K,'CSFA Accumilative data'!T:T,'Severity info'!V33,'CSFA Accumilative data'!O:O,'Severity info'!U33)</f>
        <v>7</v>
      </c>
      <c r="X33">
        <f>Vend_monthly_obs[[#This Row],[4&amp;5 observations]]-W25</f>
        <v>6</v>
      </c>
      <c r="Z33" t="s">
        <v>18</v>
      </c>
      <c r="AA33">
        <v>7</v>
      </c>
      <c r="AB33">
        <v>6</v>
      </c>
    </row>
    <row r="34" spans="1:28" x14ac:dyDescent="0.3">
      <c r="A34" s="38"/>
      <c r="N34" s="142" t="s">
        <v>60</v>
      </c>
      <c r="O34" s="145" t="s">
        <v>24</v>
      </c>
      <c r="Q34" s="142" t="s">
        <v>61</v>
      </c>
      <c r="R34" s="145" t="s">
        <v>62</v>
      </c>
      <c r="U34" t="s">
        <v>38</v>
      </c>
      <c r="V34" t="s">
        <v>54</v>
      </c>
      <c r="W34">
        <f>SUMIFS('CSFA Accumilative data'!K:K,'CSFA Accumilative data'!T:T,'Severity info'!V34,'CSFA Accumilative data'!O:O,'Severity info'!U34)</f>
        <v>1</v>
      </c>
      <c r="X34">
        <f>Vend_monthly_obs[[#This Row],[4&amp;5 observations]]-W26</f>
        <v>0</v>
      </c>
      <c r="Z34" t="s">
        <v>38</v>
      </c>
      <c r="AA34">
        <v>1</v>
      </c>
      <c r="AB34">
        <v>0</v>
      </c>
    </row>
    <row r="35" spans="1:28" x14ac:dyDescent="0.3">
      <c r="A35" s="38"/>
      <c r="N35" s="150" t="s">
        <v>53</v>
      </c>
      <c r="O35" s="146">
        <f>I27</f>
        <v>2.9583333333333335</v>
      </c>
      <c r="Q35" s="143" t="s">
        <v>43</v>
      </c>
      <c r="R35" s="146">
        <f ca="1">S22</f>
        <v>85</v>
      </c>
    </row>
    <row r="36" spans="1:28" x14ac:dyDescent="0.3">
      <c r="A36" s="38"/>
      <c r="N36" s="150" t="s">
        <v>56</v>
      </c>
      <c r="O36" s="146">
        <f>I28</f>
        <v>2.7019230769230771</v>
      </c>
      <c r="Q36" s="143" t="s">
        <v>45</v>
      </c>
      <c r="R36" s="146">
        <f>S23</f>
        <v>88.235294117647058</v>
      </c>
    </row>
    <row r="37" spans="1:28" x14ac:dyDescent="0.3">
      <c r="A37" s="38"/>
      <c r="N37" s="150" t="s">
        <v>58</v>
      </c>
      <c r="O37" s="146">
        <f>I29</f>
        <v>2.6489361702127661</v>
      </c>
      <c r="Q37" s="143" t="s">
        <v>47</v>
      </c>
      <c r="R37" s="146">
        <f>O24</f>
        <v>0.48732394366197185</v>
      </c>
    </row>
    <row r="38" spans="1:28" x14ac:dyDescent="0.3">
      <c r="N38" s="151" t="s">
        <v>59</v>
      </c>
      <c r="O38" s="147">
        <f>I30</f>
        <v>2.6170212765957448</v>
      </c>
      <c r="Q38" s="143" t="s">
        <v>63</v>
      </c>
      <c r="R38" s="146">
        <f>P21</f>
        <v>85</v>
      </c>
    </row>
    <row r="39" spans="1:28" x14ac:dyDescent="0.3">
      <c r="Q39" s="143" t="s">
        <v>64</v>
      </c>
      <c r="R39" s="146">
        <v>13</v>
      </c>
    </row>
    <row r="40" spans="1:28" x14ac:dyDescent="0.3">
      <c r="H40" s="171" t="s">
        <v>65</v>
      </c>
      <c r="I40" s="172"/>
      <c r="K40" s="171" t="s">
        <v>66</v>
      </c>
      <c r="L40" s="172"/>
      <c r="Q40" s="144" t="s">
        <v>67</v>
      </c>
      <c r="R40" s="147"/>
    </row>
    <row r="42" spans="1:28" x14ac:dyDescent="0.3">
      <c r="H42" s="142" t="s">
        <v>68</v>
      </c>
      <c r="I42" s="145" t="s">
        <v>69</v>
      </c>
      <c r="K42" s="142" t="s">
        <v>31</v>
      </c>
      <c r="L42" s="145" t="s">
        <v>24</v>
      </c>
    </row>
    <row r="43" spans="1:28" x14ac:dyDescent="0.3">
      <c r="H43" s="143" t="str">
        <f>Sheet1!A4</f>
        <v>Material Management</v>
      </c>
      <c r="I43" s="146">
        <f>Sheet1!B4</f>
        <v>94</v>
      </c>
      <c r="K43" s="148" t="s">
        <v>36</v>
      </c>
      <c r="L43" s="146">
        <f t="shared" ref="L43:L50" si="0">I19</f>
        <v>2.6190476190476191</v>
      </c>
    </row>
    <row r="44" spans="1:28" x14ac:dyDescent="0.3">
      <c r="H44" s="143" t="str">
        <f>Sheet1!A5</f>
        <v>PPE</v>
      </c>
      <c r="I44" s="146">
        <f>Sheet1!B5</f>
        <v>74</v>
      </c>
      <c r="K44" s="148" t="s">
        <v>12</v>
      </c>
      <c r="L44" s="146">
        <f t="shared" si="0"/>
        <v>3.0169491525423728</v>
      </c>
      <c r="O44" s="163"/>
    </row>
    <row r="45" spans="1:28" x14ac:dyDescent="0.3">
      <c r="H45" s="143" t="str">
        <f>Sheet1!A6</f>
        <v>Electrical</v>
      </c>
      <c r="I45" s="146">
        <f>Sheet1!B6</f>
        <v>66</v>
      </c>
      <c r="K45" s="148" t="s">
        <v>17</v>
      </c>
      <c r="L45" s="146">
        <f t="shared" si="0"/>
        <v>2.9779411764705883</v>
      </c>
      <c r="O45" s="163"/>
    </row>
    <row r="46" spans="1:28" x14ac:dyDescent="0.3">
      <c r="H46" s="143" t="str">
        <f>Sheet1!A7</f>
        <v>Work at Height</v>
      </c>
      <c r="I46" s="146">
        <f>Sheet1!B7</f>
        <v>65</v>
      </c>
      <c r="K46" s="148" t="s">
        <v>11</v>
      </c>
      <c r="L46" s="146">
        <f t="shared" si="0"/>
        <v>3</v>
      </c>
      <c r="O46" s="163"/>
    </row>
    <row r="47" spans="1:28" x14ac:dyDescent="0.3">
      <c r="H47" s="144" t="str">
        <f>Sheet1!A8</f>
        <v>Housekeeping</v>
      </c>
      <c r="I47" s="147">
        <f>Sheet1!B8</f>
        <v>58</v>
      </c>
      <c r="K47" s="148" t="s">
        <v>9</v>
      </c>
      <c r="L47" s="146">
        <f t="shared" si="0"/>
        <v>2.5660377358490565</v>
      </c>
      <c r="O47" s="163"/>
    </row>
    <row r="48" spans="1:28" x14ac:dyDescent="0.3">
      <c r="K48" s="148" t="s">
        <v>38</v>
      </c>
      <c r="L48" s="146">
        <f t="shared" si="0"/>
        <v>2.2413793103448274</v>
      </c>
    </row>
    <row r="49" spans="11:12" x14ac:dyDescent="0.3">
      <c r="K49" s="148" t="s">
        <v>18</v>
      </c>
      <c r="L49" s="146">
        <f t="shared" si="0"/>
        <v>2.7234042553191489</v>
      </c>
    </row>
    <row r="50" spans="11:12" x14ac:dyDescent="0.3">
      <c r="K50" s="149" t="s">
        <v>14</v>
      </c>
      <c r="L50" s="147">
        <f t="shared" si="0"/>
        <v>2.4615384615384617</v>
      </c>
    </row>
  </sheetData>
  <mergeCells count="5">
    <mergeCell ref="G16:I16"/>
    <mergeCell ref="G20:G26"/>
    <mergeCell ref="K40:L40"/>
    <mergeCell ref="H40:I40"/>
    <mergeCell ref="G27:G30"/>
  </mergeCells>
  <pageMargins left="0.7" right="0.7" top="0.75" bottom="0.75" header="0.3" footer="0.3"/>
  <drawing r:id="rId2"/>
  <tableParts count="5">
    <tablePart r:id="rId3"/>
    <tablePart r:id="rId4"/>
    <tablePart r:id="rId5"/>
    <tablePart r:id="rId6"/>
    <tablePart r:id="rId7"/>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C42"/>
  <sheetViews>
    <sheetView workbookViewId="0">
      <selection activeCell="B12" sqref="B12"/>
    </sheetView>
  </sheetViews>
  <sheetFormatPr defaultRowHeight="14.4" x14ac:dyDescent="0.3"/>
  <cols>
    <col min="1" max="1" width="15.88671875" bestFit="1" customWidth="1"/>
    <col min="2" max="2" width="31" bestFit="1" customWidth="1"/>
    <col min="3" max="21" width="30.88671875" bestFit="1" customWidth="1"/>
    <col min="22" max="22" width="11.33203125" bestFit="1" customWidth="1"/>
  </cols>
  <sheetData>
    <row r="1" spans="1:3" x14ac:dyDescent="0.3">
      <c r="A1" s="37" t="s">
        <v>100</v>
      </c>
      <c r="B1" t="s">
        <v>12</v>
      </c>
    </row>
    <row r="3" spans="1:3" x14ac:dyDescent="0.3">
      <c r="A3" s="37" t="s">
        <v>8</v>
      </c>
      <c r="B3" t="s">
        <v>654</v>
      </c>
    </row>
    <row r="4" spans="1:3" x14ac:dyDescent="0.3">
      <c r="A4" s="38">
        <v>1</v>
      </c>
      <c r="B4">
        <v>20</v>
      </c>
    </row>
    <row r="5" spans="1:3" x14ac:dyDescent="0.3">
      <c r="A5" s="38" t="s">
        <v>44</v>
      </c>
      <c r="B5">
        <v>81</v>
      </c>
      <c r="C5" s="38"/>
    </row>
    <row r="6" spans="1:3" x14ac:dyDescent="0.3">
      <c r="A6" s="38" t="s">
        <v>7</v>
      </c>
      <c r="B6">
        <v>101</v>
      </c>
      <c r="C6" s="38"/>
    </row>
    <row r="7" spans="1:3" x14ac:dyDescent="0.3">
      <c r="C7" s="38"/>
    </row>
    <row r="8" spans="1:3" x14ac:dyDescent="0.3">
      <c r="C8" s="38"/>
    </row>
    <row r="9" spans="1:3" x14ac:dyDescent="0.3">
      <c r="C9" s="38"/>
    </row>
    <row r="10" spans="1:3" x14ac:dyDescent="0.3">
      <c r="C10" s="38"/>
    </row>
    <row r="11" spans="1:3" x14ac:dyDescent="0.3">
      <c r="C11" s="38"/>
    </row>
    <row r="12" spans="1:3" x14ac:dyDescent="0.3">
      <c r="C12" s="38"/>
    </row>
    <row r="13" spans="1:3" x14ac:dyDescent="0.3">
      <c r="C13" s="38"/>
    </row>
    <row r="14" spans="1:3" x14ac:dyDescent="0.3">
      <c r="C14" s="38"/>
    </row>
    <row r="15" spans="1:3" x14ac:dyDescent="0.3">
      <c r="C15" s="38"/>
    </row>
    <row r="28" spans="2:3" x14ac:dyDescent="0.3">
      <c r="B28" t="s">
        <v>103</v>
      </c>
      <c r="C28" t="s">
        <v>654</v>
      </c>
    </row>
    <row r="29" spans="2:3" x14ac:dyDescent="0.3">
      <c r="B29" t="s">
        <v>655</v>
      </c>
      <c r="C29">
        <v>33</v>
      </c>
    </row>
    <row r="30" spans="2:3" x14ac:dyDescent="0.3">
      <c r="B30" t="s">
        <v>656</v>
      </c>
      <c r="C30">
        <v>12</v>
      </c>
    </row>
    <row r="31" spans="2:3" x14ac:dyDescent="0.3">
      <c r="B31" t="s">
        <v>657</v>
      </c>
      <c r="C31">
        <v>25</v>
      </c>
    </row>
    <row r="32" spans="2:3" x14ac:dyDescent="0.3">
      <c r="B32" t="s">
        <v>658</v>
      </c>
      <c r="C32">
        <v>18</v>
      </c>
    </row>
    <row r="33" spans="2:3" x14ac:dyDescent="0.3">
      <c r="B33" t="s">
        <v>659</v>
      </c>
      <c r="C33">
        <v>16</v>
      </c>
    </row>
    <row r="34" spans="2:3" x14ac:dyDescent="0.3">
      <c r="B34" t="s">
        <v>660</v>
      </c>
      <c r="C34">
        <v>13</v>
      </c>
    </row>
    <row r="35" spans="2:3" x14ac:dyDescent="0.3">
      <c r="B35" t="s">
        <v>661</v>
      </c>
      <c r="C35">
        <v>18</v>
      </c>
    </row>
    <row r="36" spans="2:3" x14ac:dyDescent="0.3">
      <c r="B36" t="s">
        <v>662</v>
      </c>
      <c r="C36">
        <v>21</v>
      </c>
    </row>
    <row r="37" spans="2:3" x14ac:dyDescent="0.3">
      <c r="B37" t="s">
        <v>663</v>
      </c>
      <c r="C37">
        <v>23</v>
      </c>
    </row>
    <row r="38" spans="2:3" x14ac:dyDescent="0.3">
      <c r="B38" t="s">
        <v>664</v>
      </c>
      <c r="C38">
        <v>28</v>
      </c>
    </row>
    <row r="39" spans="2:3" x14ac:dyDescent="0.3">
      <c r="B39" t="s">
        <v>665</v>
      </c>
      <c r="C39">
        <v>27</v>
      </c>
    </row>
    <row r="40" spans="2:3" x14ac:dyDescent="0.3">
      <c r="B40" t="s">
        <v>666</v>
      </c>
      <c r="C40">
        <v>10</v>
      </c>
    </row>
    <row r="41" spans="2:3" x14ac:dyDescent="0.3">
      <c r="B41" s="70">
        <v>46178</v>
      </c>
      <c r="C41">
        <v>5</v>
      </c>
    </row>
    <row r="42" spans="2:3" x14ac:dyDescent="0.3">
      <c r="B42" s="70">
        <v>46179</v>
      </c>
      <c r="C42">
        <v>20</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2:O60"/>
  <sheetViews>
    <sheetView workbookViewId="0">
      <selection activeCell="E9" sqref="E9"/>
    </sheetView>
  </sheetViews>
  <sheetFormatPr defaultRowHeight="14.4" x14ac:dyDescent="0.3"/>
  <cols>
    <col min="5" max="5" width="22.88671875" bestFit="1" customWidth="1"/>
    <col min="11" max="11" width="16.88671875" bestFit="1" customWidth="1"/>
    <col min="12" max="12" width="14.33203125" bestFit="1" customWidth="1"/>
  </cols>
  <sheetData>
    <row r="2" spans="1:15" ht="26.25" customHeight="1" x14ac:dyDescent="0.3">
      <c r="A2" s="77" t="s">
        <v>667</v>
      </c>
    </row>
    <row r="3" spans="1:15" ht="26.25" customHeight="1" x14ac:dyDescent="0.3">
      <c r="A3" s="77" t="s">
        <v>668</v>
      </c>
      <c r="E3" s="104"/>
      <c r="F3" s="105"/>
      <c r="G3" s="106"/>
      <c r="I3" s="76" t="s">
        <v>70</v>
      </c>
    </row>
    <row r="4" spans="1:15" ht="27" customHeight="1" thickBot="1" x14ac:dyDescent="0.35">
      <c r="A4" s="77" t="s">
        <v>669</v>
      </c>
      <c r="E4" s="107"/>
      <c r="F4" s="108"/>
      <c r="G4" s="109"/>
      <c r="I4" s="77" t="s">
        <v>667</v>
      </c>
    </row>
    <row r="5" spans="1:15" ht="26.25" customHeight="1" x14ac:dyDescent="0.3">
      <c r="A5" s="77" t="s">
        <v>667</v>
      </c>
      <c r="E5" s="107"/>
      <c r="F5" s="108"/>
      <c r="G5" s="109"/>
      <c r="I5" s="77" t="s">
        <v>668</v>
      </c>
      <c r="K5" s="37" t="s">
        <v>8</v>
      </c>
      <c r="L5" t="s">
        <v>71</v>
      </c>
      <c r="N5" s="103" t="s">
        <v>8</v>
      </c>
      <c r="O5" s="103" t="s">
        <v>71</v>
      </c>
    </row>
    <row r="6" spans="1:15" ht="26.25" customHeight="1" x14ac:dyDescent="0.3">
      <c r="A6" s="77" t="s">
        <v>670</v>
      </c>
      <c r="E6" s="107"/>
      <c r="F6" s="108"/>
      <c r="G6" s="109"/>
      <c r="I6" s="77" t="s">
        <v>669</v>
      </c>
      <c r="K6" s="38" t="s">
        <v>670</v>
      </c>
      <c r="L6">
        <v>4</v>
      </c>
      <c r="N6" s="38" t="s">
        <v>671</v>
      </c>
      <c r="O6">
        <v>13</v>
      </c>
    </row>
    <row r="7" spans="1:15" ht="26.25" customHeight="1" x14ac:dyDescent="0.3">
      <c r="A7" s="77" t="s">
        <v>672</v>
      </c>
      <c r="E7" s="107"/>
      <c r="F7" s="108"/>
      <c r="G7" s="109"/>
      <c r="I7" s="77" t="s">
        <v>667</v>
      </c>
      <c r="K7" s="38" t="s">
        <v>671</v>
      </c>
      <c r="L7">
        <v>13</v>
      </c>
      <c r="N7" s="38" t="s">
        <v>667</v>
      </c>
      <c r="O7">
        <v>10</v>
      </c>
    </row>
    <row r="8" spans="1:15" ht="26.25" customHeight="1" x14ac:dyDescent="0.3">
      <c r="A8" s="77" t="s">
        <v>673</v>
      </c>
      <c r="E8" s="107"/>
      <c r="F8" s="108"/>
      <c r="G8" s="109"/>
      <c r="I8" s="77" t="s">
        <v>670</v>
      </c>
      <c r="K8" s="38" t="s">
        <v>674</v>
      </c>
      <c r="L8">
        <v>1</v>
      </c>
      <c r="N8" s="38" t="s">
        <v>668</v>
      </c>
      <c r="O8">
        <v>6</v>
      </c>
    </row>
    <row r="9" spans="1:15" ht="26.25" customHeight="1" x14ac:dyDescent="0.3">
      <c r="A9" s="77" t="s">
        <v>671</v>
      </c>
      <c r="E9" s="107"/>
      <c r="F9" s="108"/>
      <c r="G9" s="109"/>
      <c r="I9" s="77" t="s">
        <v>672</v>
      </c>
      <c r="K9" s="38" t="s">
        <v>675</v>
      </c>
      <c r="L9">
        <v>3</v>
      </c>
      <c r="N9" s="38" t="s">
        <v>670</v>
      </c>
      <c r="O9">
        <v>4</v>
      </c>
    </row>
    <row r="10" spans="1:15" ht="26.25" customHeight="1" x14ac:dyDescent="0.3">
      <c r="A10" s="77" t="s">
        <v>671</v>
      </c>
      <c r="E10" s="107"/>
      <c r="F10" s="108"/>
      <c r="G10" s="109"/>
      <c r="I10" s="77" t="s">
        <v>673</v>
      </c>
      <c r="K10" s="38" t="s">
        <v>676</v>
      </c>
      <c r="L10">
        <v>2</v>
      </c>
      <c r="N10" s="38" t="s">
        <v>673</v>
      </c>
      <c r="O10">
        <v>4</v>
      </c>
    </row>
    <row r="11" spans="1:15" ht="26.25" customHeight="1" x14ac:dyDescent="0.3">
      <c r="A11" s="77" t="s">
        <v>668</v>
      </c>
      <c r="E11" s="107"/>
      <c r="F11" s="108"/>
      <c r="G11" s="109"/>
      <c r="I11" s="77" t="s">
        <v>671</v>
      </c>
      <c r="K11" s="38" t="s">
        <v>673</v>
      </c>
      <c r="L11">
        <v>4</v>
      </c>
      <c r="N11" s="38" t="s">
        <v>73</v>
      </c>
      <c r="O11">
        <v>4</v>
      </c>
    </row>
    <row r="12" spans="1:15" ht="26.25" customHeight="1" x14ac:dyDescent="0.3">
      <c r="A12" s="77" t="s">
        <v>676</v>
      </c>
      <c r="E12" s="107"/>
      <c r="F12" s="108"/>
      <c r="G12" s="109"/>
      <c r="I12" s="77" t="s">
        <v>671</v>
      </c>
      <c r="K12" s="38" t="s">
        <v>667</v>
      </c>
      <c r="L12">
        <v>10</v>
      </c>
      <c r="N12" s="38" t="s">
        <v>675</v>
      </c>
      <c r="O12">
        <v>3</v>
      </c>
    </row>
    <row r="13" spans="1:15" ht="26.25" customHeight="1" x14ac:dyDescent="0.3">
      <c r="A13" s="78" t="s">
        <v>677</v>
      </c>
      <c r="E13" s="107"/>
      <c r="F13" s="108"/>
      <c r="G13" s="109"/>
      <c r="I13" s="77" t="s">
        <v>668</v>
      </c>
      <c r="K13" s="38" t="s">
        <v>81</v>
      </c>
      <c r="L13">
        <v>1</v>
      </c>
      <c r="N13" s="38" t="s">
        <v>672</v>
      </c>
      <c r="O13">
        <v>3</v>
      </c>
    </row>
    <row r="14" spans="1:15" ht="26.25" customHeight="1" x14ac:dyDescent="0.3">
      <c r="A14" s="78" t="s">
        <v>668</v>
      </c>
      <c r="E14" s="107"/>
      <c r="F14" s="108"/>
      <c r="G14" s="109"/>
      <c r="I14" s="77" t="s">
        <v>671</v>
      </c>
      <c r="K14" s="38" t="s">
        <v>678</v>
      </c>
      <c r="L14">
        <v>1</v>
      </c>
      <c r="N14" s="38" t="s">
        <v>676</v>
      </c>
      <c r="O14">
        <v>2</v>
      </c>
    </row>
    <row r="15" spans="1:15" ht="26.25" customHeight="1" x14ac:dyDescent="0.3">
      <c r="A15" s="78" t="s">
        <v>668</v>
      </c>
      <c r="E15" s="107"/>
      <c r="F15" s="108"/>
      <c r="G15" s="109"/>
      <c r="I15" s="77" t="s">
        <v>676</v>
      </c>
      <c r="K15" s="38" t="s">
        <v>679</v>
      </c>
      <c r="L15">
        <v>1</v>
      </c>
      <c r="N15" s="38" t="s">
        <v>669</v>
      </c>
      <c r="O15">
        <v>2</v>
      </c>
    </row>
    <row r="16" spans="1:15" ht="26.25" customHeight="1" x14ac:dyDescent="0.3">
      <c r="A16" s="78" t="s">
        <v>671</v>
      </c>
      <c r="E16" s="107"/>
      <c r="F16" s="108"/>
      <c r="G16" s="109"/>
      <c r="I16" s="78" t="s">
        <v>677</v>
      </c>
      <c r="K16" s="38" t="s">
        <v>73</v>
      </c>
      <c r="L16">
        <v>4</v>
      </c>
      <c r="N16" s="38" t="s">
        <v>674</v>
      </c>
      <c r="O16">
        <v>1</v>
      </c>
    </row>
    <row r="17" spans="1:15" ht="26.25" customHeight="1" x14ac:dyDescent="0.3">
      <c r="A17" s="78" t="s">
        <v>669</v>
      </c>
      <c r="E17" s="107"/>
      <c r="F17" s="108"/>
      <c r="G17" s="109"/>
      <c r="I17" s="78" t="s">
        <v>668</v>
      </c>
      <c r="K17" s="38" t="s">
        <v>672</v>
      </c>
      <c r="L17">
        <v>3</v>
      </c>
      <c r="N17" s="38" t="s">
        <v>81</v>
      </c>
      <c r="O17">
        <v>1</v>
      </c>
    </row>
    <row r="18" spans="1:15" ht="26.25" customHeight="1" x14ac:dyDescent="0.3">
      <c r="A18" s="78" t="s">
        <v>670</v>
      </c>
      <c r="E18" s="107"/>
      <c r="F18" s="108"/>
      <c r="G18" s="109"/>
      <c r="I18" s="78" t="s">
        <v>668</v>
      </c>
      <c r="K18" s="38" t="s">
        <v>668</v>
      </c>
      <c r="L18">
        <v>6</v>
      </c>
      <c r="N18" s="38" t="s">
        <v>678</v>
      </c>
      <c r="O18">
        <v>1</v>
      </c>
    </row>
    <row r="19" spans="1:15" ht="26.25" customHeight="1" x14ac:dyDescent="0.3">
      <c r="A19" s="78" t="s">
        <v>680</v>
      </c>
      <c r="E19" s="107"/>
      <c r="F19" s="108"/>
      <c r="G19" s="109"/>
      <c r="I19" s="78" t="s">
        <v>671</v>
      </c>
      <c r="K19" s="38" t="s">
        <v>680</v>
      </c>
      <c r="L19">
        <v>1</v>
      </c>
      <c r="N19" s="38" t="s">
        <v>679</v>
      </c>
      <c r="O19">
        <v>1</v>
      </c>
    </row>
    <row r="20" spans="1:15" ht="26.25" customHeight="1" x14ac:dyDescent="0.3">
      <c r="A20" s="78" t="s">
        <v>668</v>
      </c>
      <c r="E20" s="110"/>
      <c r="F20" s="111"/>
      <c r="G20" s="112"/>
      <c r="I20" s="78" t="s">
        <v>669</v>
      </c>
      <c r="K20" s="38" t="s">
        <v>677</v>
      </c>
      <c r="L20">
        <v>1</v>
      </c>
      <c r="N20" s="38" t="s">
        <v>680</v>
      </c>
      <c r="O20">
        <v>1</v>
      </c>
    </row>
    <row r="21" spans="1:15" ht="26.25" customHeight="1" x14ac:dyDescent="0.3">
      <c r="A21" s="78" t="s">
        <v>671</v>
      </c>
      <c r="I21" s="78" t="s">
        <v>670</v>
      </c>
      <c r="K21" s="38" t="s">
        <v>669</v>
      </c>
      <c r="L21">
        <v>2</v>
      </c>
      <c r="N21" s="38" t="s">
        <v>677</v>
      </c>
      <c r="O21">
        <v>1</v>
      </c>
    </row>
    <row r="22" spans="1:15" ht="26.25" customHeight="1" x14ac:dyDescent="0.3">
      <c r="A22" s="78" t="s">
        <v>672</v>
      </c>
      <c r="I22" s="78" t="s">
        <v>680</v>
      </c>
      <c r="K22" s="38" t="s">
        <v>7</v>
      </c>
      <c r="L22">
        <v>57</v>
      </c>
      <c r="N22" s="113"/>
      <c r="O22" s="113"/>
    </row>
    <row r="23" spans="1:15" ht="26.25" customHeight="1" x14ac:dyDescent="0.3">
      <c r="A23" s="78" t="s">
        <v>671</v>
      </c>
      <c r="I23" s="78" t="s">
        <v>668</v>
      </c>
    </row>
    <row r="24" spans="1:15" ht="26.25" customHeight="1" x14ac:dyDescent="0.3">
      <c r="A24" s="78" t="s">
        <v>671</v>
      </c>
      <c r="I24" s="78" t="s">
        <v>671</v>
      </c>
    </row>
    <row r="25" spans="1:15" ht="26.25" customHeight="1" x14ac:dyDescent="0.3">
      <c r="A25" s="78" t="s">
        <v>673</v>
      </c>
      <c r="I25" s="78" t="s">
        <v>672</v>
      </c>
    </row>
    <row r="26" spans="1:15" ht="26.25" customHeight="1" x14ac:dyDescent="0.3">
      <c r="A26" s="78" t="s">
        <v>81</v>
      </c>
      <c r="I26" s="78" t="s">
        <v>676</v>
      </c>
    </row>
    <row r="27" spans="1:15" ht="26.25" customHeight="1" x14ac:dyDescent="0.3">
      <c r="A27" s="78" t="s">
        <v>674</v>
      </c>
      <c r="I27" s="78" t="s">
        <v>671</v>
      </c>
    </row>
    <row r="28" spans="1:15" ht="26.25" customHeight="1" x14ac:dyDescent="0.3">
      <c r="A28" s="78" t="s">
        <v>671</v>
      </c>
      <c r="I28" s="78" t="s">
        <v>671</v>
      </c>
    </row>
    <row r="29" spans="1:15" ht="26.25" customHeight="1" x14ac:dyDescent="0.3">
      <c r="A29" s="78" t="s">
        <v>678</v>
      </c>
      <c r="I29" s="78" t="s">
        <v>673</v>
      </c>
    </row>
    <row r="30" spans="1:15" ht="26.25" customHeight="1" x14ac:dyDescent="0.3">
      <c r="A30" s="78" t="s">
        <v>675</v>
      </c>
      <c r="I30" s="78" t="s">
        <v>81</v>
      </c>
    </row>
    <row r="31" spans="1:15" ht="26.25" customHeight="1" x14ac:dyDescent="0.3">
      <c r="A31" s="78" t="s">
        <v>667</v>
      </c>
      <c r="I31" s="78" t="s">
        <v>674</v>
      </c>
    </row>
    <row r="32" spans="1:15" ht="26.25" customHeight="1" x14ac:dyDescent="0.3">
      <c r="A32" s="78" t="s">
        <v>667</v>
      </c>
      <c r="I32" s="78" t="s">
        <v>671</v>
      </c>
    </row>
    <row r="33" spans="1:9" ht="26.25" customHeight="1" x14ac:dyDescent="0.3">
      <c r="A33" s="78" t="s">
        <v>667</v>
      </c>
      <c r="I33" s="78" t="s">
        <v>678</v>
      </c>
    </row>
    <row r="34" spans="1:9" ht="26.25" customHeight="1" x14ac:dyDescent="0.3">
      <c r="A34" s="78" t="s">
        <v>673</v>
      </c>
      <c r="I34" s="78" t="s">
        <v>675</v>
      </c>
    </row>
    <row r="35" spans="1:9" ht="26.25" customHeight="1" x14ac:dyDescent="0.3">
      <c r="A35" s="78" t="s">
        <v>667</v>
      </c>
      <c r="I35" s="78" t="s">
        <v>667</v>
      </c>
    </row>
    <row r="36" spans="1:9" ht="26.25" customHeight="1" x14ac:dyDescent="0.3">
      <c r="A36" s="78" t="s">
        <v>667</v>
      </c>
      <c r="I36" s="78" t="s">
        <v>667</v>
      </c>
    </row>
    <row r="37" spans="1:9" ht="26.25" customHeight="1" x14ac:dyDescent="0.3">
      <c r="A37" s="78" t="s">
        <v>73</v>
      </c>
      <c r="I37" s="78" t="s">
        <v>673</v>
      </c>
    </row>
    <row r="38" spans="1:9" ht="26.25" customHeight="1" x14ac:dyDescent="0.3">
      <c r="A38" s="78" t="s">
        <v>673</v>
      </c>
      <c r="I38" s="78" t="s">
        <v>667</v>
      </c>
    </row>
    <row r="39" spans="1:9" ht="26.25" customHeight="1" x14ac:dyDescent="0.3">
      <c r="A39" s="79" t="s">
        <v>670</v>
      </c>
      <c r="I39" s="78" t="s">
        <v>667</v>
      </c>
    </row>
    <row r="40" spans="1:9" ht="25.5" customHeight="1" x14ac:dyDescent="0.3">
      <c r="A40" s="80" t="s">
        <v>670</v>
      </c>
      <c r="I40" s="78" t="s">
        <v>73</v>
      </c>
    </row>
    <row r="41" spans="1:9" ht="26.25" customHeight="1" x14ac:dyDescent="0.3">
      <c r="A41" s="78" t="s">
        <v>679</v>
      </c>
      <c r="I41" s="78" t="s">
        <v>673</v>
      </c>
    </row>
    <row r="42" spans="1:9" ht="26.25" customHeight="1" x14ac:dyDescent="0.3">
      <c r="A42" s="78" t="s">
        <v>671</v>
      </c>
      <c r="I42" s="79" t="s">
        <v>670</v>
      </c>
    </row>
    <row r="43" spans="1:9" ht="26.25" customHeight="1" x14ac:dyDescent="0.3">
      <c r="A43" s="78" t="s">
        <v>73</v>
      </c>
      <c r="I43" s="78" t="s">
        <v>675</v>
      </c>
    </row>
    <row r="44" spans="1:9" ht="25.5" customHeight="1" x14ac:dyDescent="0.3">
      <c r="A44" s="78" t="s">
        <v>73</v>
      </c>
      <c r="I44" s="80" t="s">
        <v>670</v>
      </c>
    </row>
    <row r="45" spans="1:9" ht="26.25" customHeight="1" x14ac:dyDescent="0.3">
      <c r="A45" s="78" t="s">
        <v>667</v>
      </c>
      <c r="I45" s="78" t="s">
        <v>679</v>
      </c>
    </row>
    <row r="46" spans="1:9" ht="26.25" customHeight="1" x14ac:dyDescent="0.3">
      <c r="A46" s="78" t="s">
        <v>73</v>
      </c>
      <c r="I46" s="78" t="s">
        <v>671</v>
      </c>
    </row>
    <row r="47" spans="1:9" ht="26.25" customHeight="1" x14ac:dyDescent="0.3">
      <c r="A47" s="78" t="s">
        <v>671</v>
      </c>
      <c r="I47" s="78" t="s">
        <v>73</v>
      </c>
    </row>
    <row r="48" spans="1:9" ht="26.25" customHeight="1" x14ac:dyDescent="0.3">
      <c r="A48" s="78" t="s">
        <v>675</v>
      </c>
      <c r="I48" s="78" t="s">
        <v>73</v>
      </c>
    </row>
    <row r="49" spans="1:9" ht="26.25" customHeight="1" x14ac:dyDescent="0.3">
      <c r="A49" s="78" t="s">
        <v>672</v>
      </c>
      <c r="I49" s="78" t="s">
        <v>667</v>
      </c>
    </row>
    <row r="50" spans="1:9" ht="26.25" customHeight="1" x14ac:dyDescent="0.3">
      <c r="A50" s="78" t="s">
        <v>671</v>
      </c>
      <c r="I50" s="78" t="s">
        <v>73</v>
      </c>
    </row>
    <row r="51" spans="1:9" ht="26.25" customHeight="1" x14ac:dyDescent="0.3">
      <c r="A51" s="78" t="s">
        <v>667</v>
      </c>
      <c r="I51" s="78" t="s">
        <v>671</v>
      </c>
    </row>
    <row r="52" spans="1:9" ht="26.25" customHeight="1" x14ac:dyDescent="0.3">
      <c r="A52" s="78" t="s">
        <v>671</v>
      </c>
      <c r="I52" s="78" t="s">
        <v>675</v>
      </c>
    </row>
    <row r="53" spans="1:9" ht="26.25" customHeight="1" x14ac:dyDescent="0.3">
      <c r="A53" s="78" t="s">
        <v>667</v>
      </c>
      <c r="I53" s="78" t="s">
        <v>672</v>
      </c>
    </row>
    <row r="54" spans="1:9" ht="26.25" customHeight="1" x14ac:dyDescent="0.3">
      <c r="A54" s="78" t="s">
        <v>671</v>
      </c>
      <c r="I54" s="78" t="s">
        <v>671</v>
      </c>
    </row>
    <row r="55" spans="1:9" ht="26.25" customHeight="1" x14ac:dyDescent="0.3">
      <c r="A55" s="78" t="s">
        <v>667</v>
      </c>
      <c r="I55" s="78" t="s">
        <v>667</v>
      </c>
    </row>
    <row r="56" spans="1:9" ht="26.25" customHeight="1" x14ac:dyDescent="0.3">
      <c r="A56" s="78" t="s">
        <v>668</v>
      </c>
      <c r="I56" s="78" t="s">
        <v>671</v>
      </c>
    </row>
    <row r="57" spans="1:9" ht="26.25" customHeight="1" x14ac:dyDescent="0.3">
      <c r="I57" s="78" t="s">
        <v>667</v>
      </c>
    </row>
    <row r="58" spans="1:9" ht="26.25" customHeight="1" x14ac:dyDescent="0.3">
      <c r="I58" s="78" t="s">
        <v>671</v>
      </c>
    </row>
    <row r="59" spans="1:9" ht="26.25" customHeight="1" x14ac:dyDescent="0.3">
      <c r="I59" s="78" t="s">
        <v>667</v>
      </c>
    </row>
    <row r="60" spans="1:9" ht="26.25" customHeight="1" x14ac:dyDescent="0.3">
      <c r="I60" s="78" t="s">
        <v>668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T39"/>
  <sheetViews>
    <sheetView topLeftCell="B3" workbookViewId="0">
      <selection activeCell="C12" sqref="C12"/>
    </sheetView>
  </sheetViews>
  <sheetFormatPr defaultRowHeight="14.4" x14ac:dyDescent="0.3"/>
  <cols>
    <col min="1" max="1" width="13.109375" bestFit="1" customWidth="1"/>
    <col min="2" max="2" width="14.33203125" bestFit="1" customWidth="1"/>
    <col min="4" max="4" width="16.88671875" customWidth="1"/>
    <col min="19" max="19" width="20.33203125" customWidth="1"/>
  </cols>
  <sheetData>
    <row r="1" spans="1:20" x14ac:dyDescent="0.3">
      <c r="A1" s="37" t="s">
        <v>97</v>
      </c>
      <c r="B1" s="38">
        <v>1</v>
      </c>
    </row>
    <row r="2" spans="1:20" ht="15.75" customHeight="1" thickBot="1" x14ac:dyDescent="0.35"/>
    <row r="3" spans="1:20" x14ac:dyDescent="0.3">
      <c r="A3" s="37" t="s">
        <v>681</v>
      </c>
      <c r="B3" s="37" t="s">
        <v>3</v>
      </c>
      <c r="S3" s="103" t="s">
        <v>8</v>
      </c>
      <c r="T3" s="103" t="s">
        <v>681</v>
      </c>
    </row>
    <row r="4" spans="1:20" x14ac:dyDescent="0.3">
      <c r="B4" t="s">
        <v>5</v>
      </c>
      <c r="C4" t="s">
        <v>6</v>
      </c>
      <c r="D4" t="s">
        <v>7</v>
      </c>
      <c r="K4">
        <v>2.4</v>
      </c>
      <c r="S4" s="38" t="s">
        <v>682</v>
      </c>
      <c r="T4">
        <v>66</v>
      </c>
    </row>
    <row r="5" spans="1:20" x14ac:dyDescent="0.3">
      <c r="K5">
        <v>2.7</v>
      </c>
      <c r="S5" s="38" t="s">
        <v>670</v>
      </c>
      <c r="T5">
        <v>41</v>
      </c>
    </row>
    <row r="6" spans="1:20" x14ac:dyDescent="0.3">
      <c r="A6" s="37" t="s">
        <v>8</v>
      </c>
      <c r="K6">
        <v>3</v>
      </c>
      <c r="S6" s="38" t="s">
        <v>680</v>
      </c>
      <c r="T6">
        <v>41</v>
      </c>
    </row>
    <row r="7" spans="1:20" x14ac:dyDescent="0.3">
      <c r="A7" s="38" t="s">
        <v>9</v>
      </c>
      <c r="B7">
        <v>4</v>
      </c>
      <c r="C7">
        <v>4</v>
      </c>
      <c r="D7">
        <v>8</v>
      </c>
      <c r="K7">
        <v>3.1</v>
      </c>
      <c r="S7" s="38" t="s">
        <v>73</v>
      </c>
      <c r="T7">
        <v>40</v>
      </c>
    </row>
    <row r="8" spans="1:20" x14ac:dyDescent="0.3">
      <c r="A8" s="38" t="s">
        <v>11</v>
      </c>
      <c r="B8">
        <v>2</v>
      </c>
      <c r="D8">
        <v>2</v>
      </c>
      <c r="K8">
        <v>2.6</v>
      </c>
      <c r="S8" s="38" t="s">
        <v>671</v>
      </c>
      <c r="T8">
        <v>38</v>
      </c>
    </row>
    <row r="9" spans="1:20" x14ac:dyDescent="0.3">
      <c r="A9" s="38" t="s">
        <v>12</v>
      </c>
      <c r="B9">
        <v>11</v>
      </c>
      <c r="C9">
        <v>8</v>
      </c>
      <c r="D9">
        <v>19</v>
      </c>
      <c r="K9">
        <v>2.9</v>
      </c>
      <c r="S9" s="38" t="s">
        <v>673</v>
      </c>
      <c r="T9">
        <v>24</v>
      </c>
    </row>
    <row r="10" spans="1:20" x14ac:dyDescent="0.3">
      <c r="A10" s="38" t="s">
        <v>46</v>
      </c>
      <c r="C10">
        <v>1</v>
      </c>
      <c r="D10">
        <v>1</v>
      </c>
      <c r="K10">
        <v>2.9</v>
      </c>
      <c r="S10" s="38" t="s">
        <v>667</v>
      </c>
      <c r="T10">
        <v>20</v>
      </c>
    </row>
    <row r="11" spans="1:20" x14ac:dyDescent="0.3">
      <c r="A11" s="38" t="s">
        <v>13</v>
      </c>
      <c r="C11">
        <v>4</v>
      </c>
      <c r="D11">
        <v>4</v>
      </c>
      <c r="K11">
        <v>2.2000000000000002</v>
      </c>
      <c r="S11" s="38" t="s">
        <v>668</v>
      </c>
      <c r="T11">
        <v>20</v>
      </c>
    </row>
    <row r="12" spans="1:20" x14ac:dyDescent="0.3">
      <c r="A12" s="38" t="s">
        <v>14</v>
      </c>
      <c r="B12">
        <v>1</v>
      </c>
      <c r="C12">
        <v>2</v>
      </c>
      <c r="D12">
        <v>3</v>
      </c>
      <c r="K12">
        <v>3.1</v>
      </c>
      <c r="S12" s="38" t="s">
        <v>683</v>
      </c>
      <c r="T12">
        <v>13</v>
      </c>
    </row>
    <row r="13" spans="1:20" x14ac:dyDescent="0.3">
      <c r="A13" s="38" t="s">
        <v>16</v>
      </c>
      <c r="C13">
        <v>2</v>
      </c>
      <c r="D13">
        <v>2</v>
      </c>
      <c r="K13">
        <v>2.9</v>
      </c>
      <c r="S13" s="38" t="s">
        <v>672</v>
      </c>
      <c r="T13">
        <v>11</v>
      </c>
    </row>
    <row r="14" spans="1:20" x14ac:dyDescent="0.3">
      <c r="A14" s="38" t="s">
        <v>17</v>
      </c>
      <c r="B14">
        <v>2</v>
      </c>
      <c r="C14">
        <v>15</v>
      </c>
      <c r="D14">
        <v>17</v>
      </c>
      <c r="K14">
        <v>2.9</v>
      </c>
      <c r="S14" s="38" t="s">
        <v>81</v>
      </c>
      <c r="T14">
        <v>9</v>
      </c>
    </row>
    <row r="15" spans="1:20" x14ac:dyDescent="0.3">
      <c r="A15" s="38" t="s">
        <v>18</v>
      </c>
      <c r="B15">
        <v>1</v>
      </c>
      <c r="C15">
        <v>1</v>
      </c>
      <c r="D15">
        <v>2</v>
      </c>
      <c r="K15">
        <v>2.9</v>
      </c>
      <c r="S15" s="38" t="s">
        <v>678</v>
      </c>
      <c r="T15">
        <v>8</v>
      </c>
    </row>
    <row r="16" spans="1:20" x14ac:dyDescent="0.3">
      <c r="A16" s="38" t="s">
        <v>35</v>
      </c>
      <c r="B16">
        <v>1</v>
      </c>
      <c r="D16">
        <v>1</v>
      </c>
      <c r="K16">
        <v>2.1</v>
      </c>
      <c r="S16" s="38" t="s">
        <v>669</v>
      </c>
      <c r="T16">
        <v>8</v>
      </c>
    </row>
    <row r="17" spans="1:20" x14ac:dyDescent="0.3">
      <c r="A17" s="38" t="s">
        <v>38</v>
      </c>
      <c r="B17">
        <v>1</v>
      </c>
      <c r="D17">
        <v>1</v>
      </c>
      <c r="K17">
        <v>2.7</v>
      </c>
      <c r="S17" s="38" t="s">
        <v>684</v>
      </c>
      <c r="T17">
        <v>7</v>
      </c>
    </row>
    <row r="18" spans="1:20" x14ac:dyDescent="0.3">
      <c r="A18" s="38" t="s">
        <v>7</v>
      </c>
      <c r="B18">
        <v>23</v>
      </c>
      <c r="C18">
        <v>37</v>
      </c>
      <c r="D18">
        <v>60</v>
      </c>
      <c r="K18">
        <v>2.9</v>
      </c>
      <c r="S18" s="38" t="s">
        <v>685</v>
      </c>
      <c r="T18">
        <v>7</v>
      </c>
    </row>
    <row r="19" spans="1:20" x14ac:dyDescent="0.3">
      <c r="S19" s="38" t="s">
        <v>686</v>
      </c>
      <c r="T19">
        <v>6</v>
      </c>
    </row>
    <row r="20" spans="1:20" x14ac:dyDescent="0.3">
      <c r="S20" s="38" t="s">
        <v>674</v>
      </c>
      <c r="T20">
        <v>4</v>
      </c>
    </row>
    <row r="21" spans="1:20" x14ac:dyDescent="0.3">
      <c r="S21" s="38" t="s">
        <v>675</v>
      </c>
      <c r="T21">
        <v>4</v>
      </c>
    </row>
    <row r="22" spans="1:20" x14ac:dyDescent="0.3">
      <c r="S22" s="38" t="s">
        <v>687</v>
      </c>
      <c r="T22">
        <v>4</v>
      </c>
    </row>
    <row r="23" spans="1:20" x14ac:dyDescent="0.3">
      <c r="S23" s="38" t="s">
        <v>679</v>
      </c>
      <c r="T23">
        <v>4</v>
      </c>
    </row>
    <row r="24" spans="1:20" x14ac:dyDescent="0.3">
      <c r="S24" s="38" t="s">
        <v>688</v>
      </c>
      <c r="T24">
        <v>4</v>
      </c>
    </row>
    <row r="25" spans="1:20" x14ac:dyDescent="0.3">
      <c r="S25" s="38" t="s">
        <v>677</v>
      </c>
      <c r="T25">
        <v>4</v>
      </c>
    </row>
    <row r="26" spans="1:20" x14ac:dyDescent="0.3">
      <c r="S26" s="38" t="s">
        <v>676</v>
      </c>
      <c r="T26">
        <v>3</v>
      </c>
    </row>
    <row r="27" spans="1:20" x14ac:dyDescent="0.3">
      <c r="S27" s="38" t="s">
        <v>689</v>
      </c>
      <c r="T27">
        <v>3</v>
      </c>
    </row>
    <row r="28" spans="1:20" x14ac:dyDescent="0.3">
      <c r="S28" s="38" t="s">
        <v>690</v>
      </c>
      <c r="T28">
        <v>2</v>
      </c>
    </row>
    <row r="29" spans="1:20" x14ac:dyDescent="0.3">
      <c r="S29" s="38" t="s">
        <v>691</v>
      </c>
      <c r="T29">
        <v>2</v>
      </c>
    </row>
    <row r="30" spans="1:20" x14ac:dyDescent="0.3">
      <c r="S30" s="38" t="s">
        <v>692</v>
      </c>
      <c r="T30">
        <v>2</v>
      </c>
    </row>
    <row r="31" spans="1:20" x14ac:dyDescent="0.3">
      <c r="S31" s="38" t="s">
        <v>693</v>
      </c>
      <c r="T31">
        <v>1</v>
      </c>
    </row>
    <row r="32" spans="1:20" x14ac:dyDescent="0.3">
      <c r="S32" s="38" t="s">
        <v>694</v>
      </c>
      <c r="T32">
        <v>1</v>
      </c>
    </row>
    <row r="33" spans="19:20" x14ac:dyDescent="0.3">
      <c r="S33" s="38" t="s">
        <v>695</v>
      </c>
      <c r="T33">
        <v>1</v>
      </c>
    </row>
    <row r="34" spans="19:20" x14ac:dyDescent="0.3">
      <c r="S34" s="38" t="s">
        <v>696</v>
      </c>
      <c r="T34">
        <v>1</v>
      </c>
    </row>
    <row r="35" spans="19:20" x14ac:dyDescent="0.3">
      <c r="S35" s="38" t="s">
        <v>697</v>
      </c>
      <c r="T35">
        <v>1</v>
      </c>
    </row>
    <row r="36" spans="19:20" x14ac:dyDescent="0.3">
      <c r="S36" s="38" t="s">
        <v>698</v>
      </c>
      <c r="T36">
        <v>1</v>
      </c>
    </row>
    <row r="37" spans="19:20" x14ac:dyDescent="0.3">
      <c r="S37" s="38" t="s">
        <v>699</v>
      </c>
      <c r="T37">
        <v>1</v>
      </c>
    </row>
    <row r="38" spans="19:20" x14ac:dyDescent="0.3">
      <c r="S38" s="38" t="s">
        <v>700</v>
      </c>
      <c r="T38">
        <v>1</v>
      </c>
    </row>
    <row r="39" spans="19:20" x14ac:dyDescent="0.3">
      <c r="S39" s="38" t="s">
        <v>701</v>
      </c>
      <c r="T39">
        <v>1</v>
      </c>
    </row>
  </sheetData>
  <autoFilter ref="S3:T19" xr:uid="{00000000-0009-0000-0000-000005000000}">
    <sortState xmlns:xlrd2="http://schemas.microsoft.com/office/spreadsheetml/2017/richdata2" ref="S4:T39">
      <sortCondition descending="1" ref="T3:T19"/>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Sheet1</vt:lpstr>
      <vt:lpstr>CSFA Accumilative data</vt:lpstr>
      <vt:lpstr>Severity info</vt:lpstr>
      <vt:lpstr>Sheet3</vt:lpstr>
      <vt:lpstr>Sheet4</vt:lpstr>
      <vt:lpstr>Sheet5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MATAM Jayanth (EXT)</cp:lastModifiedBy>
  <dcterms:created xsi:type="dcterms:W3CDTF">2026-06-01T14:29:13Z</dcterms:created>
  <dcterms:modified xsi:type="dcterms:W3CDTF">2026-07-02T11:42:36Z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0x010100D616D0BEE1F7064CB0A170B949FAEC87</vt:lpwstr>
  </property>
  <property fmtid="{D5CDD505-2E9C-101B-9397-08002B2CF9AE}" pid="3" name="MediaServiceImageTags">
    <vt:lpwstr/>
  </property>
</Properties>
</file>