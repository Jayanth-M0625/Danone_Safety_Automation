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codeName="ThisWorkbook" defaultThemeVersion="166925"/>
  <mc:AlternateContent xmlns:mc="http://schemas.openxmlformats.org/markup-compatibility/2006">
    <mc:Choice Requires="x15">
      <x15ac:absPath xmlns:x15ac="http://schemas.microsoft.com/office/spreadsheetml/2010/11/ac" url="https://danone.sharepoint.com/sites/AMEA-IndiaCAPEXProjectsTeam/Shared Documents/General/92. Safety Dashboard/"/>
    </mc:Choice>
  </mc:AlternateContent>
  <xr:revisionPtr revIDLastSave="0" documentId="8_{DCDF87F0-3817-4B2F-A8C3-41D69E474ED3}" xr6:coauthVersionLast="47" xr6:coauthVersionMax="47" xr10:uidLastSave="{00000000-0000-0000-0000-000000000000}"/>
  <bookViews>
    <workbookView xWindow="-120" yWindow="-120" windowWidth="20730" windowHeight="11040" firstSheet="1" activeTab="1" xr2:uid="{00000000-000D-0000-FFFF-FFFF00000000}"/>
  </bookViews>
  <sheets>
    <sheet name="Sheet1" sheetId="8" r:id="rId1"/>
    <sheet name="CSFA Accumilative data" sheetId="1" r:id="rId2"/>
    <sheet name="Severity info" sheetId="2" r:id="rId3"/>
    <sheet name="Sheet3" sheetId="5" r:id="rId4"/>
    <sheet name="Sheet4" sheetId="6" r:id="rId5"/>
    <sheet name="Sheet5" sheetId="7" r:id="rId6"/>
  </sheets>
  <definedNames>
    <definedName name="_xlnm._FilterDatabase" localSheetId="1" hidden="1">'CSFA Accumilative data'!$A$1:$S$655</definedName>
    <definedName name="_xlnm._FilterDatabase" localSheetId="2" hidden="1">'Severity info'!$V$6:$W$40</definedName>
    <definedName name="_xlnm._FilterDatabase" localSheetId="5" hidden="1">Sheet5!$S$3:$T$19</definedName>
  </definedNames>
  <calcPr calcId="191028"/>
  <pivotCaches>
    <pivotCache cacheId="244" r:id="rId7"/>
    <pivotCache cacheId="245" r:id="rId8"/>
    <pivotCache cacheId="246" r:id="rId9"/>
    <pivotCache cacheId="247"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1" i="2" l="1"/>
  <c r="L45" i="2" s="1"/>
  <c r="I20" i="2"/>
  <c r="L44" i="2" s="1"/>
  <c r="I19" i="2"/>
  <c r="L43" i="2" s="1"/>
  <c r="L28" i="2"/>
  <c r="L29" i="2"/>
  <c r="L30" i="2"/>
  <c r="L27" i="2"/>
  <c r="L20" i="2"/>
  <c r="L21" i="2"/>
  <c r="L22" i="2"/>
  <c r="L23" i="2"/>
  <c r="L24" i="2"/>
  <c r="L25" i="2"/>
  <c r="L26" i="2"/>
  <c r="L19" i="2"/>
  <c r="K29" i="2"/>
  <c r="K30" i="2"/>
  <c r="K28" i="2"/>
  <c r="K27" i="2"/>
  <c r="K20" i="2"/>
  <c r="K21" i="2"/>
  <c r="K22" i="2"/>
  <c r="K23" i="2"/>
  <c r="K24" i="2"/>
  <c r="K25" i="2"/>
  <c r="K19" i="2"/>
  <c r="K26" i="2"/>
  <c r="V341" i="1"/>
  <c r="V367" i="1"/>
  <c r="V364" i="1"/>
  <c r="V358" i="1"/>
  <c r="V357" i="1"/>
  <c r="V356" i="1"/>
  <c r="V354" i="1"/>
  <c r="J28" i="2"/>
  <c r="J29" i="2"/>
  <c r="J30" i="2"/>
  <c r="J27" i="2"/>
  <c r="J20" i="2"/>
  <c r="J21" i="2"/>
  <c r="J22" i="2"/>
  <c r="J23" i="2"/>
  <c r="J24" i="2"/>
  <c r="J25" i="2"/>
  <c r="J26" i="2"/>
  <c r="J19" i="2"/>
  <c r="O25" i="2"/>
  <c r="I46" i="2"/>
  <c r="I47" i="2"/>
  <c r="H46" i="2"/>
  <c r="H47" i="2"/>
  <c r="H44" i="2"/>
  <c r="I44" i="2"/>
  <c r="H45" i="2"/>
  <c r="I45" i="2"/>
  <c r="I43" i="2"/>
  <c r="H43" i="2"/>
  <c r="J459" i="1"/>
  <c r="J458" i="1"/>
  <c r="J457" i="1"/>
  <c r="J456" i="1"/>
  <c r="J455" i="1"/>
  <c r="J446" i="1"/>
  <c r="W20" i="2"/>
  <c r="W21" i="2"/>
  <c r="W22" i="2"/>
  <c r="W23" i="2"/>
  <c r="W24" i="2"/>
  <c r="W25" i="2"/>
  <c r="W26" i="2"/>
  <c r="W27" i="2"/>
  <c r="W28" i="2"/>
  <c r="W29" i="2"/>
  <c r="W30" i="2"/>
  <c r="W31" i="2"/>
  <c r="W32" i="2"/>
  <c r="W33" i="2"/>
  <c r="W34" i="2"/>
  <c r="W19" i="2"/>
  <c r="J433" i="1"/>
  <c r="J432" i="1"/>
  <c r="J431" i="1"/>
  <c r="J430" i="1"/>
  <c r="J454" i="1"/>
  <c r="J453" i="1"/>
  <c r="J452" i="1"/>
  <c r="J429" i="1"/>
  <c r="J428" i="1"/>
  <c r="J427" i="1"/>
  <c r="J426" i="1"/>
  <c r="J451" i="1"/>
  <c r="J450" i="1"/>
  <c r="J449" i="1"/>
  <c r="J448" i="1"/>
  <c r="J447" i="1"/>
  <c r="J445" i="1"/>
  <c r="J444" i="1"/>
  <c r="J443" i="1"/>
  <c r="J442" i="1"/>
  <c r="J441" i="1"/>
  <c r="J440" i="1"/>
  <c r="J439" i="1"/>
  <c r="J438" i="1"/>
  <c r="J437" i="1"/>
  <c r="J436" i="1"/>
  <c r="J435" i="1"/>
  <c r="J434" i="1"/>
  <c r="J425" i="1"/>
  <c r="J424" i="1"/>
  <c r="J423" i="1"/>
  <c r="O24" i="2"/>
  <c r="R37" i="2" s="1"/>
  <c r="I28" i="2"/>
  <c r="O36" i="2" s="1"/>
  <c r="I29" i="2"/>
  <c r="O37" i="2" s="1"/>
  <c r="I30" i="2"/>
  <c r="O38" i="2" s="1"/>
  <c r="I27" i="2"/>
  <c r="O35" i="2" s="1"/>
  <c r="S21" i="2"/>
  <c r="Q20" i="2"/>
  <c r="Q19" i="2"/>
  <c r="P20" i="2"/>
  <c r="P19" i="2"/>
  <c r="I22" i="2"/>
  <c r="L46" i="2" s="1"/>
  <c r="I23" i="2"/>
  <c r="L47" i="2" s="1"/>
  <c r="I24" i="2"/>
  <c r="L48" i="2" s="1"/>
  <c r="I25" i="2"/>
  <c r="L49" i="2" s="1"/>
  <c r="I26" i="2"/>
  <c r="L50" i="2" s="1"/>
  <c r="J410" i="1"/>
  <c r="J422" i="1"/>
  <c r="J421" i="1"/>
  <c r="J420" i="1"/>
  <c r="J419" i="1"/>
  <c r="J418" i="1"/>
  <c r="J417" i="1"/>
  <c r="J416" i="1"/>
  <c r="J415" i="1"/>
  <c r="J414" i="1"/>
  <c r="J413" i="1"/>
  <c r="J412" i="1"/>
  <c r="J411" i="1"/>
  <c r="J409" i="1"/>
  <c r="J408" i="1"/>
  <c r="J407" i="1"/>
  <c r="J406" i="1"/>
  <c r="J405" i="1"/>
  <c r="J404" i="1"/>
  <c r="J403" i="1"/>
  <c r="J402" i="1"/>
  <c r="J401" i="1"/>
  <c r="J400" i="1"/>
  <c r="J399" i="1"/>
  <c r="J398" i="1"/>
  <c r="X318" i="1"/>
  <c r="X303"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J353" i="1"/>
  <c r="J352" i="1"/>
  <c r="J351" i="1"/>
  <c r="J350" i="1"/>
  <c r="J349" i="1"/>
  <c r="J348" i="1"/>
  <c r="J347" i="1"/>
  <c r="J346" i="1"/>
  <c r="J345" i="1"/>
  <c r="J344" i="1"/>
  <c r="J343" i="1"/>
  <c r="J342" i="1"/>
  <c r="J341" i="1"/>
  <c r="J340" i="1"/>
  <c r="J312" i="1"/>
  <c r="J313" i="1"/>
  <c r="J314" i="1"/>
  <c r="J315" i="1"/>
  <c r="J316" i="1"/>
  <c r="J317" i="1"/>
  <c r="J318" i="1"/>
  <c r="J319" i="1"/>
  <c r="J320" i="1"/>
  <c r="J321" i="1"/>
  <c r="J322" i="1"/>
  <c r="J323" i="1"/>
  <c r="J324" i="1"/>
  <c r="J325" i="1"/>
  <c r="J326" i="1"/>
  <c r="J327" i="1"/>
  <c r="J328" i="1"/>
  <c r="J329" i="1"/>
  <c r="J330" i="1"/>
  <c r="J331" i="1"/>
  <c r="J299" i="1"/>
  <c r="J300" i="1"/>
  <c r="J301" i="1"/>
  <c r="J302" i="1"/>
  <c r="J303" i="1"/>
  <c r="J304" i="1"/>
  <c r="J305" i="1"/>
  <c r="J306" i="1"/>
  <c r="J307" i="1"/>
  <c r="J308" i="1"/>
  <c r="J309" i="1"/>
  <c r="J310" i="1"/>
  <c r="J311" i="1"/>
  <c r="J339" i="1"/>
  <c r="J298" i="1"/>
  <c r="X28" i="2" l="1"/>
  <c r="X29" i="2"/>
  <c r="X32" i="2"/>
  <c r="X34" i="2"/>
  <c r="X33" i="2"/>
  <c r="X30" i="2"/>
  <c r="X31" i="2"/>
  <c r="X27" i="2"/>
  <c r="P21" i="2"/>
  <c r="Q21" i="2"/>
  <c r="J290" i="1"/>
  <c r="J291" i="1"/>
  <c r="J294" i="1"/>
  <c r="J295" i="1"/>
  <c r="J296" i="1"/>
  <c r="J297" i="1"/>
  <c r="J397"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19"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2" i="1"/>
  <c r="S22" i="2" l="1"/>
  <c r="R35" i="2" s="1"/>
  <c r="R38" i="2"/>
  <c r="S23" i="2"/>
  <c r="R36" i="2" s="1"/>
  <c r="A35" i="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l="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l="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alcChain>
</file>

<file path=xl/sharedStrings.xml><?xml version="1.0" encoding="utf-8"?>
<sst xmlns="http://schemas.openxmlformats.org/spreadsheetml/2006/main" count="4130" uniqueCount="720">
  <si>
    <t>Trend</t>
  </si>
  <si>
    <t>Count of Trend</t>
  </si>
  <si>
    <t>Material Management</t>
  </si>
  <si>
    <t>PPE</t>
  </si>
  <si>
    <t>Work at Height</t>
  </si>
  <si>
    <t>Electrical</t>
  </si>
  <si>
    <t>Barricading</t>
  </si>
  <si>
    <t>Housekeeping</t>
  </si>
  <si>
    <t>Access &amp; Egress</t>
  </si>
  <si>
    <t>Lifting Operations</t>
  </si>
  <si>
    <t>Sharp edges</t>
  </si>
  <si>
    <t>Tools &amp; Equipment</t>
  </si>
  <si>
    <t>Fire Safety</t>
  </si>
  <si>
    <t>Environment</t>
  </si>
  <si>
    <t>Excavation</t>
  </si>
  <si>
    <t>PTW &amp; Supervision</t>
  </si>
  <si>
    <t>Unsafe Behavior</t>
  </si>
  <si>
    <t>Good Practice</t>
  </si>
  <si>
    <t xml:space="preserve">Slip &amp; trip </t>
  </si>
  <si>
    <t>Workbench</t>
  </si>
  <si>
    <t>(blank)</t>
  </si>
  <si>
    <t>Grand Total</t>
  </si>
  <si>
    <t>ln</t>
  </si>
  <si>
    <t xml:space="preserve">Observation Discription </t>
  </si>
  <si>
    <t>Engineer</t>
  </si>
  <si>
    <t>Contractors</t>
  </si>
  <si>
    <t>Good Citizens</t>
  </si>
  <si>
    <t>Violators</t>
  </si>
  <si>
    <t>Number of Violations</t>
  </si>
  <si>
    <t xml:space="preserve">Severity </t>
  </si>
  <si>
    <t>Violations x Severity</t>
  </si>
  <si>
    <t>4 &amp; 5</t>
  </si>
  <si>
    <t xml:space="preserve">PPE Non-compliance </t>
  </si>
  <si>
    <t>unsafe Condes</t>
  </si>
  <si>
    <t>unsafe acts</t>
  </si>
  <si>
    <t>Contractor name</t>
  </si>
  <si>
    <t>Status</t>
  </si>
  <si>
    <t>Danone FPR</t>
  </si>
  <si>
    <t>Zone</t>
  </si>
  <si>
    <t>Date</t>
  </si>
  <si>
    <t>Month</t>
  </si>
  <si>
    <t>Stacking of material in improper way</t>
  </si>
  <si>
    <t>Crescon</t>
  </si>
  <si>
    <t>Closed</t>
  </si>
  <si>
    <t>Zone 1 - Chiller Building and Oil Injection</t>
  </si>
  <si>
    <t>May</t>
  </si>
  <si>
    <t xml:space="preserve">GI Sheet found kept untied </t>
  </si>
  <si>
    <t>Uneven surface of the chiller area without barrication</t>
  </si>
  <si>
    <t xml:space="preserve">Sharp edges of the Electrical DB Canopy </t>
  </si>
  <si>
    <t>Using of defective web-sling for lifting material</t>
  </si>
  <si>
    <t xml:space="preserve">Wobling of sheets barrication due to wind </t>
  </si>
  <si>
    <t>Insufficient barricading at roof</t>
  </si>
  <si>
    <t>Poor house-keeping</t>
  </si>
  <si>
    <t>Scaffolding with wooden planks</t>
  </si>
  <si>
    <t xml:space="preserve">Sharp edges of the Compactor Guard </t>
  </si>
  <si>
    <t>Zone 3 - Piperack H,I &amp; K Section, Temp. Chiller</t>
  </si>
  <si>
    <t>Monkey Ladder without cage</t>
  </si>
  <si>
    <t>Fluidline</t>
  </si>
  <si>
    <t xml:space="preserve">Inspection overdue Compactor used </t>
  </si>
  <si>
    <t>Railings missing from the ramps</t>
  </si>
  <si>
    <t>Devansh</t>
  </si>
  <si>
    <t>Excavated pits kept open and back filling not done</t>
  </si>
  <si>
    <t xml:space="preserve"> </t>
  </si>
  <si>
    <t>Sharp edges of barrication sheet exposed</t>
  </si>
  <si>
    <t>Pending</t>
  </si>
  <si>
    <t>5S improper (cable trays)</t>
  </si>
  <si>
    <t>Supertech</t>
  </si>
  <si>
    <t>Water logging</t>
  </si>
  <si>
    <t xml:space="preserve">Plastic chair in panel room </t>
  </si>
  <si>
    <t>Danone</t>
  </si>
  <si>
    <t>=SUMIFS('CSFA Accumilative data'!T1</t>
  </si>
  <si>
    <t xml:space="preserve">Improper Insulation </t>
  </si>
  <si>
    <t>SPX</t>
  </si>
  <si>
    <t>Cage ladder not closed</t>
  </si>
  <si>
    <t>Pannel not fixed properly at site</t>
  </si>
  <si>
    <t>Workmen without safety hand gloves</t>
  </si>
  <si>
    <t>Permit not accessible with worker easily and found under documents after some time with no clear knowledge of work risks</t>
  </si>
  <si>
    <t>Zone 3 - Contractor Yard and Periphery</t>
  </si>
  <si>
    <t>Supervisor not present for safety check while work was being done</t>
  </si>
  <si>
    <t>PPE not being used while marking and worker told they will use it during cutting</t>
  </si>
  <si>
    <t>Non Barricaded material kept near washroom area with very sharp edges and hot surface but no coverage</t>
  </si>
  <si>
    <t>Inadequate illumination in contractor yard</t>
  </si>
  <si>
    <t>Sai Electro</t>
  </si>
  <si>
    <t>Sharp edge on panel top sheet near container</t>
  </si>
  <si>
    <t>No earthing on power distribution board</t>
  </si>
  <si>
    <t>Esspee</t>
  </si>
  <si>
    <t>Broken chair kept in the contractor area</t>
  </si>
  <si>
    <t>Loose sheet lying on pathway</t>
  </si>
  <si>
    <t>Wheel chokes Not used for sludge truck</t>
  </si>
  <si>
    <t>No signage or hazard warning for stored compressed cylinders</t>
  </si>
  <si>
    <t>Material stored in oil injection area without following 5S</t>
  </si>
  <si>
    <t xml:space="preserve">Not using wise while cutting square pipe with grinder by holding </t>
  </si>
  <si>
    <t>CCEPL</t>
  </si>
  <si>
    <t xml:space="preserve">Sharp edges of the GI sheet exposed </t>
  </si>
  <si>
    <t>Water logging near cooling tower</t>
  </si>
  <si>
    <t>Poor house keeping - Unwanted material kept in the way</t>
  </si>
  <si>
    <t>House Keeping to improve</t>
  </si>
  <si>
    <t>Zone 4 - Oil Blending, Panel Room, Refrigeration Building &amp; Roof Areas</t>
  </si>
  <si>
    <t>Manual Transfer of Panels through Staircase</t>
  </si>
  <si>
    <t>Zone 2 - Evaporator Building</t>
  </si>
  <si>
    <t>Loose cables and unwanted cables removal</t>
  </si>
  <si>
    <t>Disconnector Switch for DB panel required</t>
  </si>
  <si>
    <t>Danish</t>
  </si>
  <si>
    <t>Access to Staircase is open, and the platform is not complete</t>
  </si>
  <si>
    <t xml:space="preserve">Pathway was blocked .jsa was not capturing all the hazards </t>
  </si>
  <si>
    <t xml:space="preserve">Area was not barricade </t>
  </si>
  <si>
    <t xml:space="preserve">During the Critical lifting activities, Multiple Non-compliances were Observed in Pipe rack side.1. Supervisor and safety engineer is not at site. 2. JSA condition not respected during emergency 3. Excavated area in the vicinity of work may lead to the incident 4. Pipe rack kept in the pathway causing the trip hazard 5. Boom lifter person was in the line of fire  </t>
  </si>
  <si>
    <t xml:space="preserve">Scaffold inspection tag missing, open wire observed in the area. concrete needs to be removed from the area. Door of roof is still open </t>
  </si>
  <si>
    <t>Aalanna</t>
  </si>
  <si>
    <t xml:space="preserve">Staircase is not adequate in the entrance. </t>
  </si>
  <si>
    <t>Ladder leading to Tanks platform is not locked</t>
  </si>
  <si>
    <t>House keeping to be improved</t>
  </si>
  <si>
    <t>Step platform, Slip / Trip Caution Marking</t>
  </si>
  <si>
    <t>Platform tanker unloading - not locked / secured properly to avoid man movement</t>
  </si>
  <si>
    <t>Dust could be seen on floor and around from outside. Also, temporary hanging cable was going into oil storage room which needs to be corrected. The connection point from panel had gland missing which poses a risk of lizard or insects entering in panel and might lead to electrical hazard.</t>
  </si>
  <si>
    <t xml:space="preserve">Insulation over rockwool being done and worker with out mask and goggles. </t>
  </si>
  <si>
    <t>Poor housekeeping, scrap material found in work place</t>
  </si>
  <si>
    <t xml:space="preserve">Person found without hand gloves </t>
  </si>
  <si>
    <t>Improper way of laying the cables - of extension board</t>
  </si>
  <si>
    <t>Improper support of cooling tower</t>
  </si>
  <si>
    <t xml:space="preserve">During lunch area observed unbarricated &amp; witbout supervion </t>
  </si>
  <si>
    <t xml:space="preserve">Platform support near pedestrial walkway creating obstuction (trip hazard) </t>
  </si>
  <si>
    <t xml:space="preserve">Drain observed open &amp; drain cover kept in the walkway </t>
  </si>
  <si>
    <t>Improper cable storage</t>
  </si>
  <si>
    <t>GEA</t>
  </si>
  <si>
    <t>Improper stacking of panels/sheets observed on ground. Material not stored safely and may collapse or cause handling hazard.</t>
  </si>
  <si>
    <t>Pipes/material improperly stored near assembly area.</t>
  </si>
  <si>
    <t>5S not maintained inside container. Poor housekeeping, blocked access, and improper material storage observed,</t>
  </si>
  <si>
    <t>5S not maintained inside container. Poor housekeeping, blocked access, and improper material storage observed</t>
  </si>
  <si>
    <t xml:space="preserve">Housekeeping not maintained </t>
  </si>
  <si>
    <t>Rebinding work involves fixing rebars into existing concrete structures using chemical anchoring systems (HILTI HIT) for structural continuity. During this activity, a worker was observed working without safety goggles, which is a violation of safety protocol and exposes the individual to risks of eye injury from drilling dust, flying debris, and chemical splashes.</t>
  </si>
  <si>
    <t>The door at the top of the evaporator building (old dryer side) was found open, and an unusual gap was observed in the stair steps. This condition creates a potential fall hazard and indicates a safety protocol violation due to  unsafe access conditions.</t>
  </si>
  <si>
    <t>Gi sheet used for partition at observed tied with plastic rope without proper fixing Near temporary chiller cooling tower, sharp edges of the sheet are not covered</t>
  </si>
  <si>
    <t>Observed unloading conret blocks from tractor trolley by standing on the trolley without fall protection</t>
  </si>
  <si>
    <t>Access to teh chiller area is not proper (slip &amp; trip hazard)</t>
  </si>
  <si>
    <t xml:space="preserve">Handling a full roll of sheet firstly single handely and then on feedback 2 people doing heavy lifting. Asked them to arrange a trolley to pick it up as it was too heavy and they were just able to move 7-8 steps and then stop to change hand to take the load. Ergonomically not feasible exercise of lifting they were doing </t>
  </si>
  <si>
    <t>Maptrix</t>
  </si>
  <si>
    <t xml:space="preserve">they are creating a structure and welding and that iron strucutre has sharp edges and corners which are uncovered near potta cabins which are too risky for handling for cut related injuries. </t>
  </si>
  <si>
    <t>Improper storage arrangement observed for refrigerant compressed gas cylinders.</t>
  </si>
  <si>
    <t>Electrical cable tray and cables were not properly arranged. Poor housekeeping and 5S standards were not maintained</t>
  </si>
  <si>
    <t>Electrical cable was found directly tied the scaffolding during working at height</t>
  </si>
  <si>
    <t>Not using goggles shifting of bricks</t>
  </si>
  <si>
    <t>Missing barrication  below the pipe rack</t>
  </si>
  <si>
    <t>Loose temporary cable found on the area</t>
  </si>
  <si>
    <t xml:space="preserve">Non standard ladder used by team, no safe , instructions not followed by contractor </t>
  </si>
  <si>
    <t xml:space="preserve">Area not barricade,proper walkway is not defined one person found using mobile phone while working </t>
  </si>
  <si>
    <t>Uneven access area, materials kept in movement area</t>
  </si>
  <si>
    <t>Non compliant tool - hacksaw without frame is being used</t>
  </si>
  <si>
    <t>The design of the cutting structure behind the MWRS poses a safety risk due to an angle welded at the bottom of the rectangular frame, creating a potential slip and fall hazard.</t>
  </si>
  <si>
    <t xml:space="preserve">It has been observed that people are using the pathway between the two containers, but the exit is very narrow, which poses a safety risk </t>
  </si>
  <si>
    <t>People are using the pathway between the contractor yard and the chiller building, which passes through the plantation area. The surface is uneven and not level, posing a risk of slips and falls</t>
  </si>
  <si>
    <t>Standing on tractor material</t>
  </si>
  <si>
    <t>Crane kept without wheel stopper</t>
  </si>
  <si>
    <t xml:space="preserve">Truck without wheel stopper </t>
  </si>
  <si>
    <t>Too many people gathering during the lifting activity</t>
  </si>
  <si>
    <t>Trolly observed without wheel chokes.</t>
  </si>
  <si>
    <t xml:space="preserve">Worker leaning support on the rebars </t>
  </si>
  <si>
    <t>Using mobile phone at working area</t>
  </si>
  <si>
    <t>Crane operator was not wearing PPE</t>
  </si>
  <si>
    <t xml:space="preserve">Parapet wall opening above Utility building without barrication </t>
  </si>
  <si>
    <t>Construction power cable taken through door</t>
  </si>
  <si>
    <t>Untidy area on Evaporator roofop</t>
  </si>
  <si>
    <t xml:space="preserve">Stircase top step flight is too high creating trip hazard at top of evaporator </t>
  </si>
  <si>
    <t xml:space="preserve">Person holding the cable of extension board </t>
  </si>
  <si>
    <t>Parallel work going on</t>
  </si>
  <si>
    <t xml:space="preserve">Boom barrier struck in between </t>
  </si>
  <si>
    <t xml:space="preserve">Helmet not worn by the farana operetor </t>
  </si>
  <si>
    <t>Cable trays not secured and stored properly.</t>
  </si>
  <si>
    <t>Around 1 feet excavated pit is not barricated</t>
  </si>
  <si>
    <t>Person moving on narrow iron platform and multiple sariyas exposed to manpower near construction area</t>
  </si>
  <si>
    <t xml:space="preserve">Area barrication was not respected .personel crossing barrication </t>
  </si>
  <si>
    <t xml:space="preserve">Material stored at floor </t>
  </si>
  <si>
    <t xml:space="preserve">Ms pipe stored without stopper near chiller area </t>
  </si>
  <si>
    <t>Housekeeping standards require improvement, as materials were found to be placed irregularly across the area.</t>
  </si>
  <si>
    <t xml:space="preserve">Poor ventilation in the area causing High heat in the area </t>
  </si>
  <si>
    <t>Workmen observed using wornout gloves</t>
  </si>
  <si>
    <t>Dust across lines and instruments</t>
  </si>
  <si>
    <t>Manoj</t>
  </si>
  <si>
    <t xml:space="preserve">Workmen observed using phonewhile walking </t>
  </si>
  <si>
    <t xml:space="preserve">Person observed without ppe in ppe zone </t>
  </si>
  <si>
    <t>Sharp edgas of the GI sheet needs to be covered</t>
  </si>
  <si>
    <t xml:space="preserve">Tape jointed cable </t>
  </si>
  <si>
    <t>Use of non standard table for work at height of around 1 meter</t>
  </si>
  <si>
    <t xml:space="preserve">Trip hazard due to pipe on pathway. Also the drain to be covered with planks as people are moving over the drain </t>
  </si>
  <si>
    <t xml:space="preserve">Flammable materials (cartons, plastic coverings) not properly protected while welding was performed nearby </t>
  </si>
  <si>
    <t>Materials kept randomly</t>
  </si>
  <si>
    <t>Civil materials stored in safe assembly point 2</t>
  </si>
  <si>
    <t xml:space="preserve">PPE was being followed but overall 5s still needs improvement for hazards elimination </t>
  </si>
  <si>
    <t>Material was improperly stored under the staircase and 5S was not maintained.</t>
  </si>
  <si>
    <t>After completion of civil work, bricks and blocks were not removed from the work area. Poor housekeeping and 5S not maintained.</t>
  </si>
  <si>
    <t>Obstructive material found in the MCC panel area</t>
  </si>
  <si>
    <t>Water drain inside the chiller building is unprotected and risk of trip and fall</t>
  </si>
  <si>
    <t xml:space="preserve">Poor 5S, Shuttering material not stacked properly </t>
  </si>
  <si>
    <t>Hand gloves not used</t>
  </si>
  <si>
    <t>Worker found working on ladder</t>
  </si>
  <si>
    <t>Pipe rack material stored in improper way</t>
  </si>
  <si>
    <t>Improper platform at the trench at entry of building</t>
  </si>
  <si>
    <t>Cables knotted on pole</t>
  </si>
  <si>
    <t>Dust mask not used by all</t>
  </si>
  <si>
    <t>Rope was kept on the cooling tower roof,2.tractor use for shifting the cold well hot well</t>
  </si>
  <si>
    <t xml:space="preserve">Excavation found without Hard barricade, housekeeping was not adequate in the area </t>
  </si>
  <si>
    <t>Welding activity being done on cooling tower for fixing toe guards and area below is not barricaded.</t>
  </si>
  <si>
    <t xml:space="preserve">Access platform / stair to evaporator building is bent or deformed </t>
  </si>
  <si>
    <t>ELCB of the distribution board was found not working, posing a serious electrical safety hazard.</t>
  </si>
  <si>
    <t xml:space="preserve">While moving the Hot well/cold well tank, the tank shifted while moving </t>
  </si>
  <si>
    <t xml:space="preserve">Scaffolding (height &gt;6 m) approved with outriggers on just two sides. </t>
  </si>
  <si>
    <t>Workmen observed doing rebar cutting with angle grinder work on floor without workbanch &amp; PTW</t>
  </si>
  <si>
    <t xml:space="preserve">Work done without supervision </t>
  </si>
  <si>
    <t>Fire extinguisher kept on ground without stand</t>
  </si>
  <si>
    <t>Distribution board was found in use without ELCB protection.</t>
  </si>
  <si>
    <t>Person working on ladder inside chiller room</t>
  </si>
  <si>
    <t>Full PPE compliance</t>
  </si>
  <si>
    <t>Housekeeping was not properly maintained in the evaporator building</t>
  </si>
  <si>
    <t xml:space="preserve">Sharp edges of temporary chiller shed not protected </t>
  </si>
  <si>
    <t>No rubber mat used in front of electrical panel</t>
  </si>
  <si>
    <t xml:space="preserve">Scaffolding observed erecting on wooden planks </t>
  </si>
  <si>
    <t xml:space="preserve">Person observed using wornout gloves </t>
  </si>
  <si>
    <t xml:space="preserve">Sharp edges of the GI sheet used for pipe rack </t>
  </si>
  <si>
    <t>Sharp edges of Pipes stored in pipe rack needs to be covered</t>
  </si>
  <si>
    <t>June</t>
  </si>
  <si>
    <t>Sharp edges of the sheet used for Barrication behind container</t>
  </si>
  <si>
    <t xml:space="preserve">Sharp material(rebars) kept and people standing beside it, risk of injury </t>
  </si>
  <si>
    <t>Materials stored under the staircase, creating obstruction and poor housekeeping.</t>
  </si>
  <si>
    <t>Unwanted rebars kept at work site</t>
  </si>
  <si>
    <t xml:space="preserve">PPE Jacket highlighted not wearing. Feedback given. Plus welding kit and iron blocks restricitng access near washroom area in pota cabin  </t>
  </si>
  <si>
    <t>No fire extinguisher kept at site ( lot of combustible material stored in the area)</t>
  </si>
  <si>
    <t>Improper tool,PPE not used by team,</t>
  </si>
  <si>
    <t>Pipe rack material kept near the walkway without barrication near cooling tower</t>
  </si>
  <si>
    <t>Goggles not getting used during welding and no fall arrestor as the gap in railing is high and all working at the edge of railing</t>
  </si>
  <si>
    <t>Cable trays and scrap materials found stored improperly; 5S not maintained.</t>
  </si>
  <si>
    <t>Worker using mobile phone inside the work area</t>
  </si>
  <si>
    <t>Gea</t>
  </si>
  <si>
    <t>Workmen observed using Stone instead of hammer</t>
  </si>
  <si>
    <t>Electrical board lying on floor</t>
  </si>
  <si>
    <t>Refrigrent cylinders stored in an improper location.</t>
  </si>
  <si>
    <t xml:space="preserve">Hand railing and hard barricades removed at entry of evaporator building for shifting platform material inside building </t>
  </si>
  <si>
    <t>Sharp edges of the Gi sheet behind Colling tower</t>
  </si>
  <si>
    <t xml:space="preserve">Drain left unprotected, creating trip and fall hazard </t>
  </si>
  <si>
    <t xml:space="preserve">Bundwall provided for temporary chiller elctrical pannel behind cooling tower creating Obstruction in pathway </t>
  </si>
  <si>
    <t>Materials improperly kept in the electrical panel room</t>
  </si>
  <si>
    <t>Sharp edges in the railing going on the platform</t>
  </si>
  <si>
    <t xml:space="preserve">Railing required for Platform </t>
  </si>
  <si>
    <t>Untidy area near contractor yard</t>
  </si>
  <si>
    <t xml:space="preserve">Cables splices-Tape used </t>
  </si>
  <si>
    <t>No barricade in Evaporator area</t>
  </si>
  <si>
    <t>People were seating without helmet</t>
  </si>
  <si>
    <t>Suppression bottle have low pressure, Potential to have Fire hazard</t>
  </si>
  <si>
    <t>Refrigerator cylinders not removed from the site,cable tray not removed from the site, handrail not installed at oil injection unloading dock.</t>
  </si>
  <si>
    <t>Ajay</t>
  </si>
  <si>
    <t xml:space="preserve">Manual work of unloading heavy bricks without using trolly, slip hazard, electrical wire at low height </t>
  </si>
  <si>
    <t xml:space="preserve">PPE was worn out glove and reflected jacket not wore properly. Helmet also dangling at side </t>
  </si>
  <si>
    <t>Two cables were connected through a single industrial plug top for welding machine operation.</t>
  </si>
  <si>
    <t xml:space="preserve">Mobile phone usage in the area of Critical activities pipe rack work </t>
  </si>
  <si>
    <t>Cutting activity without workbench</t>
  </si>
  <si>
    <t xml:space="preserve">Overall 5S requires improvement </t>
  </si>
  <si>
    <t>Old glass wool (insulation wool) has been stored for a long time and is now scrap, so it should be removed to maintain proper housekeeping.</t>
  </si>
  <si>
    <t>Material overloaded on racks in container</t>
  </si>
  <si>
    <t>Bottle kept place behind the panel</t>
  </si>
  <si>
    <t xml:space="preserve">5s is not upto mark near evaporator construction area </t>
  </si>
  <si>
    <t>Housekeeping not maintained at worksite and site office. Materials and equipment found improperly stored</t>
  </si>
  <si>
    <t xml:space="preserve">People crossing the barricade </t>
  </si>
  <si>
    <t xml:space="preserve">Waste rockwool found spread nearby SPX container </t>
  </si>
  <si>
    <t>There is no lighting in the container where materials are stored, and personnel are using mobile torches to locate and handle items, which poses a serious safety risk; additionally, the lack of fans or ventilation may lead to health issues</t>
  </si>
  <si>
    <t>All material hang on weak rope in container</t>
  </si>
  <si>
    <t>Harness are inappropriately placed, No trash box there in.</t>
  </si>
  <si>
    <t xml:space="preserve">Barricade to be strengthened avoid any gaps </t>
  </si>
  <si>
    <t xml:space="preserve">Material storage inside container needs improvement </t>
  </si>
  <si>
    <t>Cut pieces of metal, angles, and scrap are scattered across the contractor yard, which can pose a serious safety hazard to pedestrians.</t>
  </si>
  <si>
    <t xml:space="preserve">Without helmet </t>
  </si>
  <si>
    <t>Non-Standard ladder platform used by team</t>
  </si>
  <si>
    <t>No seating space available at contractor shed area</t>
  </si>
  <si>
    <t>Amit</t>
  </si>
  <si>
    <t>Water accumulation in the area is creating a slip and trip hazard near temporary chiller</t>
  </si>
  <si>
    <t>No change in condition seen last time. Taped wire of tube light, material kept In unsafe stacked manner</t>
  </si>
  <si>
    <t>Safety intelock are non opertional in oildozing area ( FN1.00.ZE.01)</t>
  </si>
  <si>
    <t>Non-  standard pathway is being used by the gea team,trench found open where permits is issued.</t>
  </si>
  <si>
    <t xml:space="preserve">1. Boom lift struck and person putting mud near tyre with machine moving and shaking </t>
  </si>
  <si>
    <t xml:space="preserve">Workmen observed without impact resistance gloves while handling pipes at pipe rack </t>
  </si>
  <si>
    <t>Non- standard scaffold is being used by the team .</t>
  </si>
  <si>
    <t>Boom lift and farana working on non levelled ground.</t>
  </si>
  <si>
    <t>temporary chiller Roof sheet gap observed, which may allow rainwater to enter.</t>
  </si>
  <si>
    <t xml:space="preserve">Stairs upgradation on top floor(Civil activity goes on), No Barrication or signage to paste their for awareness. </t>
  </si>
  <si>
    <t>scaffold stair assembly, some of the steps are securely locked, whereas many others are tied or secured using very thin wire, which is not adequate to ensure proper stability.</t>
  </si>
  <si>
    <t xml:space="preserve">Sharp points of column grouts not covered </t>
  </si>
  <si>
    <t xml:space="preserve">Drain design to be looked into and slope of floor to be corrected. Flush water all around on floor. Slip hazard in Oil blending </t>
  </si>
  <si>
    <t xml:space="preserve">Civil structure on Door edge is about to fall at top floor </t>
  </si>
  <si>
    <t xml:space="preserve">Water pit full with multiple mosquitos visible on top layer with risk of malaria and dengue 3. Door stopper is not there for entry to construction site and it is waving around due to wind </t>
  </si>
  <si>
    <t>100 % PPE Compliance, No man movement in lifting shifting area, Emergency devices of farana and boom lift in working condition, Adequate load maintained on boom lift</t>
  </si>
  <si>
    <t>Workmen observed without impact resistance gloves while handling pipes at pipe rack</t>
  </si>
  <si>
    <t>Siren &amp; key lock of the boom lift is observed defective</t>
  </si>
  <si>
    <t>Cooling tower Material kept at chiller building roof without Tieng.</t>
  </si>
  <si>
    <t>Housekeeping on 2nd floor is not adequate</t>
  </si>
  <si>
    <t>Top floor access door is in open condition, Crane work goes on so make a potential hazard</t>
  </si>
  <si>
    <t>Stairs upgradation on top floor(Civil activity goes on), No Barrication or signage to paste their for awareness.</t>
  </si>
  <si>
    <t>Trench is exposed, Falling hazard</t>
  </si>
  <si>
    <t>Civil structure on Door edge is about to fall</t>
  </si>
  <si>
    <t>Pipe shifting work is being carried out by the Fluidline contractor using a Farana. It has been observed that the pipes placed on the rack are neither tied nor properly secured. Due to this, the pipes are hitting against each other during handling, creating a risk of them falling from the rack. This condition poses a significant safety hazard to personnel and material. Therefore, it is essential that all pipes, once placed on the rack, are properly secured either by tying or by temporary tack welding to prevent movement and ensure stability.</t>
  </si>
  <si>
    <t>It was observed that the Farana driver was operating the equipment without wearing a helmet. Upon being instructed, he subsequently wore the helmet.</t>
  </si>
  <si>
    <t>Hand blower was found in use at site without a valid inspection tag</t>
  </si>
  <si>
    <t>Roof sheet gap observed, which may allow rainwater to enter.</t>
  </si>
  <si>
    <t>Structural material lying on the road without barricading.</t>
  </si>
  <si>
    <t>Improper barricade during boom lift operation</t>
  </si>
  <si>
    <t>Missing Area Barricade in Evaporator entrance</t>
  </si>
  <si>
    <t>PPE gloves missing while picking up heavy iron structure for welding and cutting with bad ergonomics in picking it. Location is near potta cabin washroom in cotractor yard where welding is being done</t>
  </si>
  <si>
    <t>Plastic wrapper all around in calendria stored area</t>
  </si>
  <si>
    <t>Spliced cable with tape on ess pee container</t>
  </si>
  <si>
    <t>Debris stored near etp area</t>
  </si>
  <si>
    <t>Damaged tool was found in use at site</t>
  </si>
  <si>
    <t>Housekeeping was not maintained in the panel room.</t>
  </si>
  <si>
    <t>The farana driver is not complying with PPE requirements, which poses a serious safety risk. Even after being instructed, he wore the PPE only for a short time and then removed it.</t>
  </si>
  <si>
    <t>All four individuals were instructing the farana driver during the lifting and placement of the piping rack.</t>
  </si>
  <si>
    <t>Person working at height on scaffolding to break some concrete part and one person on lower scaffolding standing on one narrow beam without any wire connected to him for safety. Gave feedback and ask him to come down. Further entrance to evaporator area is very narrow due to protruding sheets and slip hazard there. Further ther eis a big pole kept as a barricade with one end very linently resting on a railing to act as a gate but it can fall anytime with motion and heavy for cause of an injury</t>
  </si>
  <si>
    <t>Excavated area need to barricade adequately,slippery area observed, pipeline kept loose on rack</t>
  </si>
  <si>
    <t>Work in progress adjacent to an unprotected open drain.</t>
  </si>
  <si>
    <t>Shahnawaj</t>
  </si>
  <si>
    <t>Worker observed exiting the evaporator without using safe access.</t>
  </si>
  <si>
    <t xml:space="preserve">one of the  contract  employee operation was doing  un safe act with no wheel chokes on the crane and operating the crane very casually can lead to serious ingury </t>
  </si>
  <si>
    <t xml:space="preserve">Unauthorised Person crossing the critical work area through it was barricaded fully </t>
  </si>
  <si>
    <t xml:space="preserve">Crescon </t>
  </si>
  <si>
    <t>Worker tightening nut bolts without hand gloves</t>
  </si>
  <si>
    <t>People entering into barricaded area, where work at height was ongoing near pipe rack</t>
  </si>
  <si>
    <t xml:space="preserve">Cable mgt is not adequate, Obstruct the pathway </t>
  </si>
  <si>
    <t>Outdoor unit of AC connected to container is not grouted</t>
  </si>
  <si>
    <t>Barrication not proper for pile cap area</t>
  </si>
  <si>
    <t xml:space="preserve">Workmen observed working without taking a rest &amp; lunch break </t>
  </si>
  <si>
    <t xml:space="preserve">Employee was not wearing the head gear while above him height work was going on </t>
  </si>
  <si>
    <t xml:space="preserve">AC outlet water drain pipe is in walkway inside panel room and nearby panels </t>
  </si>
  <si>
    <t xml:space="preserve">People entering barricaded area when work on pipe rack was ongoing </t>
  </si>
  <si>
    <t>Scaffolding is not stacked properly</t>
  </si>
  <si>
    <t>1. No rubber mat kept in front of electrical panel next to alana container and panel blocked 2. Single body earthing provided to electriccal panel</t>
  </si>
  <si>
    <t>Barrication sheet hit by faranha movement</t>
  </si>
  <si>
    <t xml:space="preserve">Compaction of the area needed where the farana is moving </t>
  </si>
  <si>
    <t xml:space="preserve">Worker using mobile phone while cutting insulation sheet </t>
  </si>
  <si>
    <t xml:space="preserve">Pipe lifting by crane is wobbling dangerously, </t>
  </si>
  <si>
    <t xml:space="preserve">Access to alana container ( staircase made with bricks ) shall have nightglow tape on the edges </t>
  </si>
  <si>
    <t>Flammable material (paint box) kept inside container having tape joints for electrical connections</t>
  </si>
  <si>
    <t xml:space="preserve">Scaffolding material stored in unlocked condition </t>
  </si>
  <si>
    <t>Protruding nails (3 inches) protruding out of the wooden rack at multiple locations and flammable material stored inside the container.</t>
  </si>
  <si>
    <t>Cable routing on the fire reel</t>
  </si>
  <si>
    <t xml:space="preserve">Welding work being done at height but barricading needs to be done majorly on right side as people can move below it and get injured. Gave feedback as contractor was verbally asking other members not to walk below it. Further, issue of mosquitoes in pit is still unresolved which can cause malaria and dengue badly to workers </t>
  </si>
  <si>
    <t>People standing beneath pipe rack welding / pipes placed, No barricade</t>
  </si>
  <si>
    <t xml:space="preserve">Material stored abruptly, cement blocks used as a staircase, cement stored around the walkway </t>
  </si>
  <si>
    <t>Panel door kept open and left unattended.. Ensure to close the panel door when commissioning team visits the field</t>
  </si>
  <si>
    <t>Team working in close proximity of excvator</t>
  </si>
  <si>
    <t>Scrap material at contractor yard</t>
  </si>
  <si>
    <t>Improper platform covering the trench</t>
  </si>
  <si>
    <t>One person was observed without a helmet in the oil injection area, while others were wearing helmets.</t>
  </si>
  <si>
    <t xml:space="preserve">The top rail is not the proper standard height due to pipeline fall. </t>
  </si>
  <si>
    <t>Excavation area not barricaded has a risk of fall</t>
  </si>
  <si>
    <t>Cutting activity done without face shield</t>
  </si>
  <si>
    <t xml:space="preserve">1 m distance of hard barigation from the excavated pit not maintained </t>
  </si>
  <si>
    <t xml:space="preserve">Scaffold material not stacked properly </t>
  </si>
  <si>
    <t>During the gemba round, it was observed that multiple individuals had removed their helmets and were seated between the scrap yard and ETP during lunch time. This may be due to the lack of a proper designated rest area for project personnel.</t>
  </si>
  <si>
    <t>Suppression bottle still have low pressure in Panel room</t>
  </si>
  <si>
    <t xml:space="preserve">Rusted pipes used in scaffolding building and no hard barigation for scaffold step ladder </t>
  </si>
  <si>
    <t>Entrance step of GEA container damaged</t>
  </si>
  <si>
    <t xml:space="preserve">Housekeeping of oil injection area is not upto the mark. </t>
  </si>
  <si>
    <t>The power tool unsecured condition and the cable is also laid on water</t>
  </si>
  <si>
    <t>Temporary electrical cable routed through metal fencing of FO yard and tied with GI wire</t>
  </si>
  <si>
    <t>Workmen observed sitting on Refrigeration roof Parapet wall without safety harness.</t>
  </si>
  <si>
    <t>Power tool observed used without distribution boards (ELCB)</t>
  </si>
  <si>
    <t xml:space="preserve">Cable observed tied with wire </t>
  </si>
  <si>
    <t>Workmen observed using cotton gloves instead of using cut resistance gloves</t>
  </si>
  <si>
    <t xml:space="preserve">Fire extinguisher observed kept at the edge of the wall </t>
  </si>
  <si>
    <t xml:space="preserve">Round pipes observed kept in the working area without barricating &amp; stopper </t>
  </si>
  <si>
    <t>Personnel observed standing near the cutting booth without adequate ppes (googles)</t>
  </si>
  <si>
    <t>Window glass panel broken. Glass pieces to be removed</t>
  </si>
  <si>
    <t>Restricted access to Evaporator area</t>
  </si>
  <si>
    <t>Material stored abruptly in the area,</t>
  </si>
  <si>
    <t>Person working on shuttering job not wearing gloves, sharp edges on wooden plank along with Nail</t>
  </si>
  <si>
    <t>Poor cable management - for earthing cables connected to electrical panels , lying cables in the area, no bonding for panel board</t>
  </si>
  <si>
    <t>Low illumination in the area</t>
  </si>
  <si>
    <t>No handrail present and trip hazard at multiple locations</t>
  </si>
  <si>
    <t>Poor housekeeping - Material kept in area from long time( picture attached)</t>
  </si>
  <si>
    <t>Saw near work at height people standing near the drain and crosssing the paty by moving on very narrow area of drain which is risky if slip is ther eperson will fall into drain side . Avoid this kind of narrow movement among all contractors</t>
  </si>
  <si>
    <t>Area is barricaded from all sides and fire extinguisher is not easily accessible</t>
  </si>
  <si>
    <t>Damaged cable insulation</t>
  </si>
  <si>
    <t xml:space="preserve">Boom lifter is kept near farhana not have adequate space for man movement.floor is uneven for farhana movement , people are working in line of farhana movement </t>
  </si>
  <si>
    <t>Loose materials and pump kept unorganized</t>
  </si>
  <si>
    <t xml:space="preserve">Poor cable management and cable routing to be improved </t>
  </si>
  <si>
    <t>Toe guard of platform used at pipe rack was missing</t>
  </si>
  <si>
    <t>Lighting cable has an improper joint and is tied to the handrail.</t>
  </si>
  <si>
    <t>The fall arrestor is put on the same platform on which person is working</t>
  </si>
  <si>
    <t>2</t>
  </si>
  <si>
    <t>1</t>
  </si>
  <si>
    <t>Debris collection work done by workers w/o mask</t>
  </si>
  <si>
    <t>3</t>
  </si>
  <si>
    <t>Improper barricades for excavated area</t>
  </si>
  <si>
    <t>Tool lanyard not used by the workmen while working at height</t>
  </si>
  <si>
    <t>Loose electrical cables on the walkway creating a trip hazard.</t>
  </si>
  <si>
    <t>8</t>
  </si>
  <si>
    <t xml:space="preserve">In case of any emergency there is no clear pathway for person to come out from the working area. Multiple works are happening and blocked from all sides. Clear path to be ensured for each working zone for emergency </t>
  </si>
  <si>
    <t>Area untidy</t>
  </si>
  <si>
    <t>One workmen without helmet at worksite, was having helmet in his hand</t>
  </si>
  <si>
    <t>Civil work in progress on Red Tag scaffolding at cooling tower area.</t>
  </si>
  <si>
    <t>The heavy pipes are hanging on structure but the pipes are free and not hold with any support. Risk of falling of pipe. Need to give support and ensure below area is barricaded to ensure no movement below the pipes</t>
  </si>
  <si>
    <t>Loose cable on ground</t>
  </si>
  <si>
    <t>The heavy pipes which are not having any clamping are moved ahead manually and the area is not barricaded completely. The work permit and MS &amp; RA could not be shown by person at site to check the approved Methodology for this activity. This activity to be relooked for safe execution of work.</t>
  </si>
  <si>
    <t>Carrying 6m+ length pipeline alone from one area to other. Risk of falling of pipe and injury to the personnel</t>
  </si>
  <si>
    <t>No Violation reported</t>
  </si>
  <si>
    <t>Roof sheet broken due to wind</t>
  </si>
  <si>
    <t>loose materials and tools stored in open condition</t>
  </si>
  <si>
    <t>Person working on scaffolding erection work watthour gloves</t>
  </si>
  <si>
    <t>Loose cable &amp; tied on stand</t>
  </si>
  <si>
    <t>People were observed sitting on the floor in the panel room, which may pose a safety risk in case of an emergency</t>
  </si>
  <si>
    <t>One person was observed sitting near a welding machine under the pipe racks while welding work was in progress, posing a significant safety risk</t>
  </si>
  <si>
    <t>Loose roof sheet hanging in air due to heavy wind</t>
  </si>
  <si>
    <t>Traffic marshal not maintaining the traffic adequately, people and vehicle are crossing each other while both are in motion, MMI is not managed adequately.</t>
  </si>
  <si>
    <t>Water not going into drains and creating slip hazard. Drainage system needs to be redesigned in Oil blending area</t>
  </si>
  <si>
    <t>Tajinder</t>
  </si>
  <si>
    <t>Huge vibration observed in lines</t>
  </si>
  <si>
    <t>No place to go from one end to other. No aisle available.</t>
  </si>
  <si>
    <t>Panels kept open and cables hanging from panels</t>
  </si>
  <si>
    <t>Water leakage from temporary cooling tower</t>
  </si>
  <si>
    <t>The handglove used by the helper was torn</t>
  </si>
  <si>
    <t>Entry to construction area where welding cutting part is done is barricaded leading to people taking detour from side with narrow area and width which can lead to fall injury</t>
  </si>
  <si>
    <t>Loose materials kept on roof. Risk of materials falling off during windy condition</t>
  </si>
  <si>
    <t>Multiple parallel work and cleaning activity in close proximity</t>
  </si>
  <si>
    <t>Worker doing grinding work, using work bench with bench wise, power tools in good condition. Appreciated workers</t>
  </si>
  <si>
    <t>Water spilled over floor inside oil blending area</t>
  </si>
  <si>
    <t>Worker observed using staircase without handrails.</t>
  </si>
  <si>
    <t>Worker was doing welding work without leather hand gloves.</t>
  </si>
  <si>
    <t>Poor housekeeping in the area , water cooler pathway is obstructed near canteen area.</t>
  </si>
  <si>
    <t>Good PPE adherence, road kept blocked &amp; person moving over it. It is a trip hazard at site while walking.</t>
  </si>
  <si>
    <t>Gap between ladder and platform</t>
  </si>
  <si>
    <t>Person moving on ladder which is not having rails. Risk of fall.</t>
  </si>
  <si>
    <t>Old walls have got cracks now. Needs to be inspected for strength</t>
  </si>
  <si>
    <t>Surender</t>
  </si>
  <si>
    <t>Inadequate fire blanketing</t>
  </si>
  <si>
    <t>Missing rebar Caps</t>
  </si>
  <si>
    <t>Manually shifting welding Machine over shoulder</t>
  </si>
  <si>
    <t>barricade is broken near cement work where high height work near evaporator building is being done with iron protrusions out on plane level which can cause pinch to person if remains unnoticed</t>
  </si>
  <si>
    <t>Platform material being shifted inside the evaporator building, area barricaded, flag mag available, proper communication maintained and taglines used</t>
  </si>
  <si>
    <t>Housekeeping needs improvement</t>
  </si>
  <si>
    <t>One worker handling platform structure without hand gloves</t>
  </si>
  <si>
    <t>Slab Rebar caps exposed while Fluidline team working on pipe shifting</t>
  </si>
  <si>
    <t>Work bench height to be reduced to work ergonomically safe</t>
  </si>
  <si>
    <t>Using mobile phone while shifting of material</t>
  </si>
  <si>
    <t>In contractor yards, several containers are currently being used for storing materials and spare parts. However, these containers lack a proper power supply, and personnel working inside them are exposed to uncomfortable and unsuitable environmental conditions. Additionally, workers are relying on mobile torches for lighting, which poses a safety risk and is not an appropriate or reliable solution. Although this observation is being reported for the second time within a month, no corrective actions have been implemented so far.</t>
  </si>
  <si>
    <t>Materials are being stored adjoining the periphery; however, the housekeeping in this area requires improvement. The storage arrangement should be better organized to ensure safe access, proper identification, and efficiency.</t>
  </si>
  <si>
    <t>Ajay, Akshay, Surender</t>
  </si>
  <si>
    <t>1. Crescorn working without supervision at top.2 Espee people not using handrail while coming  or going downstairs.3. housekeeping need to be improved at GEA platform.</t>
  </si>
  <si>
    <t>Rockwool scrap at site</t>
  </si>
  <si>
    <t>Fabrication work being done in safe way, using work bench along with bench wise, proper Ppe and good condition tools</t>
  </si>
  <si>
    <t>Satnam</t>
  </si>
  <si>
    <t>Supervisors and workers stood in close proximity of JCB during while levelling activity</t>
  </si>
  <si>
    <t>Workers standing in close proximity of boom lift inside the barigation</t>
  </si>
  <si>
    <t>Ongoing housekeeping activity</t>
  </si>
  <si>
    <t>Condensate line crossing pathway to Evaporator site near boiler creating trip hazard</t>
  </si>
  <si>
    <t>Unwanted thrash near contractor yard</t>
  </si>
  <si>
    <t>Dust in the Evaporator area</t>
  </si>
  <si>
    <t>Use of safety harness without inspection.</t>
  </si>
  <si>
    <t>Barrication of the area is not adequate</t>
  </si>
  <si>
    <t>Persons observed crossing over round pipes by stepping on them</t>
  </si>
  <si>
    <t>Inadequate illumination in the work area (chiller building)</t>
  </si>
  <si>
    <t>Worker found using a damaged tool at the site.</t>
  </si>
  <si>
    <t>Scrap and loose material kept on top of refrigeration building</t>
  </si>
  <si>
    <t>Worker idle, no work being done</t>
  </si>
  <si>
    <t>People standing below crane and casually talking without noting down the movement of crane which can be risky</t>
  </si>
  <si>
    <t>Pipe kept at pipe structire support without tying &amp; use of grinder wheel instead of stopper to stop it from rolling</t>
  </si>
  <si>
    <t>Workers climbed down the from outside of the scaffold platform (1.5m) by stepping on the round bars. This creates a slip and fall hazard</t>
  </si>
  <si>
    <t>Access step provided using blocks having gaps &amp; uneven creating slip &amp; trip hazard</t>
  </si>
  <si>
    <t>Devasnsh</t>
  </si>
  <si>
    <t>Pathway is uneven &amp; slipry due to gravel &amp; pipe kept in the way</t>
  </si>
  <si>
    <t>Ess Pee</t>
  </si>
  <si>
    <t>Loose material kept on scaffolding without toe guard &amp; recomended to use tool lanyard</t>
  </si>
  <si>
    <t>Railing of then stairs &amp; platform needs to be provided recomended to provide barrication till the railing is provided</t>
  </si>
  <si>
    <t>Barrication of the excavated pit missing</t>
  </si>
  <si>
    <t>Supervisor observed crossing excavated pit without having proper access</t>
  </si>
  <si>
    <t>Supervisor observed using phone while crossing excavated pit without baving proper access</t>
  </si>
  <si>
    <t xml:space="preserve">Nails on the shuttering material observed while manual handling the material </t>
  </si>
  <si>
    <t>In adequate lights</t>
  </si>
  <si>
    <t xml:space="preserve">Worker was doing material shifting work without hand gloves </t>
  </si>
  <si>
    <t xml:space="preserve">Access restricted </t>
  </si>
  <si>
    <t xml:space="preserve">employees were counselled to practice the right behaviour while walking  </t>
  </si>
  <si>
    <t>Excavated pits barricaded close to the edge to pit</t>
  </si>
  <si>
    <t>Cutting work in progress near flammable material. Use a fire blanket to cover the material</t>
  </si>
  <si>
    <t>Handling platform with one hand and using mobile with other hand at same time</t>
  </si>
  <si>
    <t>Worker doing block work without hand gloves</t>
  </si>
  <si>
    <t>Worker observed sitting on a scaffolding pipe while performing drilling work at height.</t>
  </si>
  <si>
    <t>Access restricted</t>
  </si>
  <si>
    <t>Person doing pipe fabrication work on scaffold and harness anchored at leg level</t>
  </si>
  <si>
    <t>Work permit not available for the ongoing work with the supervisor in contractor yard.</t>
  </si>
  <si>
    <t xml:space="preserve">Pit near new scaffolding in front of canteen gate is not having any barricading . pls check and barricade </t>
  </si>
  <si>
    <t>4</t>
  </si>
  <si>
    <t>Power cable on floor, taken through door bottom to container</t>
  </si>
  <si>
    <t>Use of improper bench for welding</t>
  </si>
  <si>
    <t>A portion of barrication missing at the entrance of evaporator building</t>
  </si>
  <si>
    <t>12</t>
  </si>
  <si>
    <t>0</t>
  </si>
  <si>
    <t>Overloaded table</t>
  </si>
  <si>
    <t>Unorganized scrap in scrap yard and contractor area</t>
  </si>
  <si>
    <t>All</t>
  </si>
  <si>
    <t>Support fabrication work being done at height in a safe way, scaffold inspected, fullbody harness used and anchored properly, barrication done to prevent parallel activities</t>
  </si>
  <si>
    <t>Access blocked &amp; helmet not used by personnel</t>
  </si>
  <si>
    <t>Poor house keeping in Evaporator building</t>
  </si>
  <si>
    <t>Railings missing from the stair installed at platform</t>
  </si>
  <si>
    <t xml:space="preserve">Lights still on, repeat observation </t>
  </si>
  <si>
    <t>Power cables found to be taken on ground</t>
  </si>
  <si>
    <t>Existing live power cables above 2 meter platform level and has the potential to get damaged during lifting of platform</t>
  </si>
  <si>
    <t>Barrication damaged</t>
  </si>
  <si>
    <t>Material stored near distribution panel</t>
  </si>
  <si>
    <t>Scrap at worksite</t>
  </si>
  <si>
    <t>Person operating boom lift without any guide. Risk of dashing somewhere without any guide.</t>
  </si>
  <si>
    <t>While working at height using boom lift, the tyre stoppers were missing</t>
  </si>
  <si>
    <t>The rain water pipe is laid over cable tray. Repeat point</t>
  </si>
  <si>
    <t>Akshay</t>
  </si>
  <si>
    <t>Roof access Ladder is on temp support and risk of falling modified at time of Pipe rack.</t>
  </si>
  <si>
    <t xml:space="preserve">Exposed nail in from wooden shuttering material </t>
  </si>
  <si>
    <t>Water tapping taken from eye wash station</t>
  </si>
  <si>
    <t>Electrical panel blocked</t>
  </si>
  <si>
    <t>Unwanted Materials, Poor house keeping</t>
  </si>
  <si>
    <t>Person observed working without hand gloves</t>
  </si>
  <si>
    <t>Fire extinguisher not available at site of hot work</t>
  </si>
  <si>
    <t>Glove was worn out for person doing welding near evaporator area. fire sparkles nearby while 2 other people casually talking nearby it</t>
  </si>
  <si>
    <t>Material not stored properly</t>
  </si>
  <si>
    <t>ESSWIN</t>
  </si>
  <si>
    <t>Cable tray kept in walkway creating slip, trip and fall hazard</t>
  </si>
  <si>
    <t>Small excavated pit is not barricaded properly near Pipe rack foundations</t>
  </si>
  <si>
    <t>Scrap/unwanted material at site</t>
  </si>
  <si>
    <t>Cable tray stacking not done properly</t>
  </si>
  <si>
    <t>Area not barricaded from one side</t>
  </si>
  <si>
    <t>Super height work being done for cable tray fixing, boom lift used in good condition, stable surface, worker medically fit and PPEs used</t>
  </si>
  <si>
    <t>Esswin</t>
  </si>
  <si>
    <t>Shuttering material with long sharp nails projected outward found at worksite</t>
  </si>
  <si>
    <t>Excavated area not barricaded fully</t>
  </si>
  <si>
    <t>Workers doing scaffolding modification and metal plank for platform not secured</t>
  </si>
  <si>
    <t>Workers shifting motor of approx 300kg weight manually</t>
  </si>
  <si>
    <t>Work bench used for cutting wooden material is on uneven surface</t>
  </si>
  <si>
    <t>Slurry Tank staircase needs lock &amp; key</t>
  </si>
  <si>
    <t>Thrash near Avneesh container</t>
  </si>
  <si>
    <t>No Barricade in Evap Project Entrance</t>
  </si>
  <si>
    <t>No clear exit path available, people climbing on platforms to move out of the area. In case of emergency no clear way to exit.</t>
  </si>
  <si>
    <t>Risk of fall due to inadequate railing. Repeat point.</t>
  </si>
  <si>
    <t>The earthing pits are damaged. Risk to operations and also person walking over it might fall.</t>
  </si>
  <si>
    <t xml:space="preserve">Person observed crossing throught elevated platform having gaps &amp; opening .  Need access to the area </t>
  </si>
  <si>
    <t xml:space="preserve">Person observed standing near the edge of elevated walkway without having railing </t>
  </si>
  <si>
    <t>Wire &amp; electrode holder of welding machine observed damaged</t>
  </si>
  <si>
    <t xml:space="preserve">Person observed crossing through elevated platform by jumping without having access </t>
  </si>
  <si>
    <t xml:space="preserve">Person observed crossing through elevated platform by jumping with material without having access </t>
  </si>
  <si>
    <t>Pls check again the work done in front of canteen where dug out operations is being done. Barricading gap plus contractor working very near to depth area with one wrong step and slip into it will happen.</t>
  </si>
  <si>
    <t>. Safety passage not available to go on the site.unapproved scrap fold used by the team . 3 people are standing on the low duty scrapfold, scrapfold not erected not as per standard</t>
  </si>
  <si>
    <t>Worker standing on the edge of platform</t>
  </si>
  <si>
    <t>While shifting platform structure, worker was found to be working from the edge</t>
  </si>
  <si>
    <t>Debris stored inside worksite</t>
  </si>
  <si>
    <t>Cover of small pits getting damaged with possibility of slip, trip and fall hazard</t>
  </si>
  <si>
    <t>Loose material found on the Chiller Building terrace.</t>
  </si>
  <si>
    <t>Worker standing on scaffolding pipe during dismantling work.</t>
  </si>
  <si>
    <t>Digging work using JCB going on at walkway - No barigation, No supervisor available at site, only driver doing the job</t>
  </si>
  <si>
    <t>Gap between two working platforms (Picture attached)</t>
  </si>
  <si>
    <t>Poor housekeeping on platform 1st floor (Welding machines &amp; other tools) kept on landing platform of stairs</t>
  </si>
  <si>
    <t>Few hazards (Bump hazard) not covered in JSA</t>
  </si>
  <si>
    <t>Life line missing at one end of platform (Workers need to unhook from end cross over the platform &amp; again attach hook at other end)</t>
  </si>
  <si>
    <t>Damaged cut resistant hand gloves worn by workers</t>
  </si>
  <si>
    <t>Loose material (bottle &amp; grinding wheel) kept at staircase</t>
  </si>
  <si>
    <t>Person observed working on non-authorised authodised scaffolding having red tag on it</t>
  </si>
  <si>
    <t>Persons observed using drill m/c without inspection &amp; checklist</t>
  </si>
  <si>
    <t>Low Lux Level</t>
  </si>
  <si>
    <t>Platform Without railing / Barricade</t>
  </si>
  <si>
    <t>Debris stored inside</t>
  </si>
  <si>
    <t>Standing on Boomlift tyre and correcting boomlift hooter</t>
  </si>
  <si>
    <t>One sariya rod pointy towards up direction is present before the cooling tower area and in night it will not be visible and can be dangerous</t>
  </si>
  <si>
    <t>No safe access to platform in evaporator area</t>
  </si>
  <si>
    <t xml:space="preserve">Lighting to be improved in the outer pherifery </t>
  </si>
  <si>
    <t>Loose sheet kept near ETP area</t>
  </si>
  <si>
    <t>sharp edges</t>
  </si>
  <si>
    <t>Sharp edge of temporary barricade made using GI sheet</t>
  </si>
  <si>
    <t>Electrical DB kept unattended</t>
  </si>
  <si>
    <t>Electrical cable routed through boundary wall</t>
  </si>
  <si>
    <t>Need right helmet for overhead manual carry work- pics attached</t>
  </si>
  <si>
    <t>Inadequate fire blanket</t>
  </si>
  <si>
    <t>Not wearing safety goggle while air blowing to remove dust in compressor building</t>
  </si>
  <si>
    <t xml:space="preserve">Channels blocking the pathway below new rack structure, Creating head bump hazard while crossing </t>
  </si>
  <si>
    <t>Usage of safety goggles missing</t>
  </si>
  <si>
    <t>PPE Gloves not put while lifting and moving material. Feedback given for same.</t>
  </si>
  <si>
    <t>Project Management &amp; Structure</t>
  </si>
  <si>
    <t>Missing Barricade on platform of Nitrogen area</t>
  </si>
  <si>
    <t>Access allowed to unrelated people at site by having no control at entry.</t>
  </si>
  <si>
    <t>Lot many flexible cables passing around with no proper support.</t>
  </si>
  <si>
    <t>Usage of HOPT for heavy material with no proper pathway. Work stopped and allowed with farana</t>
  </si>
  <si>
    <t>Crane was going out while tractor was just behind it as exit area near project side. Pls share with security at gate to keep enough distance between two vehicles while exiting out of plant</t>
  </si>
  <si>
    <t>Exposed nail in planks</t>
  </si>
  <si>
    <t>MS angle kept outside the barricaded area may lead to an unsafe act.</t>
  </si>
  <si>
    <t>There is no separate rest area for workers, and they are resting in the active work zone, which may create safety hazards. A designated rest area should be provided away from operational activities</t>
  </si>
  <si>
    <t>Too many temporary cables getting routed with no proper support.</t>
  </si>
  <si>
    <t>Access to service corridor and new evaporator is not available</t>
  </si>
  <si>
    <t>5s near canteen area adjacent to cylinder kept area needs attnetion. Overall no outage amongst contracotors today</t>
  </si>
  <si>
    <t>People not wearing safety goggles while working with nails and wires</t>
  </si>
  <si>
    <t>Exposed Nail in wooden pieces</t>
  </si>
  <si>
    <t>Use of wooden box as platform to stand</t>
  </si>
  <si>
    <t>Barrication sheet pole observed damaged</t>
  </si>
  <si>
    <t>Staircase dismantled and reinstalled in other section. SS railing is yet to be sealed off. Risk of direct fall</t>
  </si>
  <si>
    <t>Debris kept unorganized</t>
  </si>
  <si>
    <t>Person working on roof welding part sparks are dropping due to that work which can cause injury further due to sunlight sparks not visible clearly and persons nearby that area below it can be exposed. atleast barricade a circular area where it is dropping to prevent movement below it. Further 5s of oil injection area entry is bad again with trollyes and too many unwanted items lying</t>
  </si>
  <si>
    <t>Walking over temp ladder arrangement without safety belt and fall arrestor. Explained and corrected the behaviour</t>
  </si>
  <si>
    <t>Toe guard not provided in scaffold ladder arrangement</t>
  </si>
  <si>
    <t>Risk of injury. Sharp pointed mash cage of valve in the work site at chiller building</t>
  </si>
  <si>
    <t>Seating on weak wooden box cover. Risk of breaking and getting injured. Explained people to not seat on it.</t>
  </si>
  <si>
    <t xml:space="preserve">Weak scaffold legs support of rusted standard </t>
  </si>
  <si>
    <t>Fire exitinguisher not kept near the welding work site.</t>
  </si>
  <si>
    <t>There is no clear emergency path for people working in chiller area. Welder is working and people are walking in same Path. On one side people are working and other side material is on floor blocking the path.</t>
  </si>
  <si>
    <t>The material stacking near the containers is not in proper manner</t>
  </si>
  <si>
    <t>Common area</t>
  </si>
  <si>
    <t>The Fluidline container is blocking access of The Borewell</t>
  </si>
  <si>
    <t>Person not. Ensuring 3 point contact while climbing the ladder of chiller building. Scaffold is not as per standard</t>
  </si>
  <si>
    <t>Person observed sitting &amp; using phone in work site</t>
  </si>
  <si>
    <t>Constraint space at the tanks stair access of oil injection tanks</t>
  </si>
  <si>
    <t>Compaction of the area near pillors of pipe rack.</t>
  </si>
  <si>
    <t>Cable observed tied with metal pipe</t>
  </si>
  <si>
    <t>Grinder Power tool observed with overdue inspection</t>
  </si>
  <si>
    <t>Person observed wothout anchoring safety harness while working at height</t>
  </si>
  <si>
    <t>Unsecured material kept on the scaffolding</t>
  </si>
  <si>
    <t>Barrication of the area missing &amp; Person observed in the line of fire of Excavator doing soil leveling.</t>
  </si>
  <si>
    <t>Evaporator Roof Exit blocked with debris, workers stepping on it to move to lower level floors</t>
  </si>
  <si>
    <t>Worker standing on platform support in evaporator area while working</t>
  </si>
  <si>
    <t>Basic housekeeping missing - Cable management &amp; material unorganised</t>
  </si>
  <si>
    <t>Material stored on platform at first &amp; second level - Poor Housekeeping</t>
  </si>
  <si>
    <t>Safety harness hook not tied to the lifeline</t>
  </si>
  <si>
    <t>Scaffolding found without a scaffolding tag.</t>
  </si>
  <si>
    <t>@⁨abhishek Engg. Aalanna⁩ @⁨KadiDebris bag left on the staircase, obstructing access in the evaporator area.</t>
  </si>
  <si>
    <t>Scaffolding ladder in unsecured condition.</t>
  </si>
  <si>
    <t>Digging work being done outside canteen and path blocked but no clarity on alternate path. Further, we started using faded alternate path. Conical barriers to be place to clearly mark the pathway</t>
  </si>
  <si>
    <t>Material not properly chain locked and barricaded.</t>
  </si>
  <si>
    <t>Scaffolding material kept without lock &amp; key</t>
  </si>
  <si>
    <t>5s not maintained at site</t>
  </si>
  <si>
    <t>Debris material found at the site.</t>
  </si>
  <si>
    <t>Material stored Without barrication</t>
  </si>
  <si>
    <t>Person observed standing near cutting &amp; grinding work without safety googles</t>
  </si>
  <si>
    <t>Person observed standing directly in front of cutting/grinding activity potential of getting injured from cutting wheel</t>
  </si>
  <si>
    <t>Non standard Cutting wheel observed being used.</t>
  </si>
  <si>
    <t>Railing required of 2.9m platform potential of person falling.</t>
  </si>
  <si>
    <t>Person observed directly handling the platform by himself while standing on scaffolding underneath suspended platform for allignment &amp; others standing &amp; crossing under suspended load</t>
  </si>
  <si>
    <t>Barrication of the staircase observed missing &amp; workers crossing underneath the suspended platform</t>
  </si>
  <si>
    <t>Inadequate pathway in the chiller are due to material stored in pathway</t>
  </si>
  <si>
    <t>Cable observed tied with wire on metalic scaffolding pipe</t>
  </si>
  <si>
    <t xml:space="preserve">Steps provided at scaffolding are to high &amp; person observed using </t>
  </si>
  <si>
    <t>(All)</t>
  </si>
  <si>
    <t>Count of Contractor name</t>
  </si>
  <si>
    <t>Column Labels</t>
  </si>
  <si>
    <t>&lt;22-05-2026</t>
  </si>
  <si>
    <t>Jun</t>
  </si>
  <si>
    <t>Row Labels</t>
  </si>
  <si>
    <t>Average severity based upon Accumilative sheet</t>
  </si>
  <si>
    <t>Vendor-monthly observations</t>
  </si>
  <si>
    <t>DO NOT TOUCH</t>
  </si>
  <si>
    <t>Avg. Severity Score YTD</t>
  </si>
  <si>
    <t>Unsafe acts</t>
  </si>
  <si>
    <t>July16th-July30th</t>
  </si>
  <si>
    <t>SEVERITY</t>
  </si>
  <si>
    <t>NO. OF OBS</t>
  </si>
  <si>
    <t>NO. OF CLOSED</t>
  </si>
  <si>
    <t>Vendor</t>
  </si>
  <si>
    <t>4&amp;5 observations</t>
  </si>
  <si>
    <t>Change from prev month</t>
  </si>
  <si>
    <t>EssPee</t>
  </si>
  <si>
    <t xml:space="preserve">Sum: </t>
  </si>
  <si>
    <t>No. of days:</t>
  </si>
  <si>
    <t>H.OBS/DAY</t>
  </si>
  <si>
    <t>H.CLOSURE</t>
  </si>
  <si>
    <t>unsafe act/cond</t>
  </si>
  <si>
    <t>unsafe acts:</t>
  </si>
  <si>
    <t>ZONE</t>
  </si>
  <si>
    <t>Avg. Severity Score</t>
  </si>
  <si>
    <t>stat</t>
  </si>
  <si>
    <t>Value</t>
  </si>
  <si>
    <t>Total 4&amp;5</t>
  </si>
  <si>
    <t>tot.no. of vend</t>
  </si>
  <si>
    <t>Trends</t>
  </si>
  <si>
    <t>Contracotr Severity</t>
  </si>
  <si>
    <t>Avg manpower/day</t>
  </si>
  <si>
    <t>Category</t>
  </si>
  <si>
    <t>Count</t>
  </si>
  <si>
    <t xml:space="preserve">Count of Observation Discription </t>
  </si>
  <si>
    <t>22-May</t>
  </si>
  <si>
    <t>23-May</t>
  </si>
  <si>
    <t>25-May</t>
  </si>
  <si>
    <t>26-May</t>
  </si>
  <si>
    <t>27-May</t>
  </si>
  <si>
    <t>28-May</t>
  </si>
  <si>
    <t>29-May</t>
  </si>
  <si>
    <t>30-May</t>
  </si>
  <si>
    <t>01-Jun</t>
  </si>
  <si>
    <t>02-Jun</t>
  </si>
  <si>
    <t>03-Jun</t>
  </si>
  <si>
    <t>04-Jun</t>
  </si>
  <si>
    <t>Fall of Material</t>
  </si>
  <si>
    <t>Sharp Edges</t>
  </si>
  <si>
    <t>Tools &amp; Tackles</t>
  </si>
  <si>
    <t>Barrication</t>
  </si>
  <si>
    <t>Electrical Safety</t>
  </si>
  <si>
    <t>Scaffold Safety</t>
  </si>
  <si>
    <t>Fall from Height</t>
  </si>
  <si>
    <t>Ergonomic Hazard</t>
  </si>
  <si>
    <t>Even Surface</t>
  </si>
  <si>
    <t>Fabrication</t>
  </si>
  <si>
    <t>Supervision</t>
  </si>
  <si>
    <t>Illumination</t>
  </si>
  <si>
    <t>Line of Fire</t>
  </si>
  <si>
    <t>Slip, Trip and Fall</t>
  </si>
  <si>
    <t>Count of Status</t>
  </si>
  <si>
    <t>5S</t>
  </si>
  <si>
    <t>Other</t>
  </si>
  <si>
    <t>Human Error</t>
  </si>
  <si>
    <t>Road Safety</t>
  </si>
  <si>
    <t>Safe Observation</t>
  </si>
  <si>
    <t>Hygiene</t>
  </si>
  <si>
    <t>Material Handling</t>
  </si>
  <si>
    <t>Wellbeing</t>
  </si>
  <si>
    <t>Lifting Operation</t>
  </si>
  <si>
    <t>Paralle Work</t>
  </si>
  <si>
    <t>Water Logging</t>
  </si>
  <si>
    <t>Access</t>
  </si>
  <si>
    <t>Emergency Exit</t>
  </si>
  <si>
    <t>Inspection</t>
  </si>
  <si>
    <t>Interlock</t>
  </si>
  <si>
    <t>No Access</t>
  </si>
  <si>
    <t>Pinch Point</t>
  </si>
  <si>
    <t>PTW</t>
  </si>
  <si>
    <t>Signages</t>
  </si>
  <si>
    <t>Stability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</si>
</sst>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quot;-&quot;??_ ;_ @_ "/>
    <numFmt numFmtId="165" formatCode="0.0"/>
    <numFmt numFmtId="166" formatCode="_-* #,##0.00_-;\-* #,##0.00_-;_-* &quot;-&quot;??_-;_-@_-"/>
  </numFmts>
  <fonts count="11">
    <font>
      <sz val="11"/>
      <color theme="1"/>
      <name val="Calibri"/>
      <family val="2"/>
      <scheme val="minor"/>
    </font>
    <font>
      <sz val="10"/>
      <name val="Arial"/>
      <family val="2"/>
    </font>
    <font>
      <b/>
      <sz val="11"/>
      <name val="Arial"/>
      <family val="2"/>
    </font>
    <font>
      <b/>
      <sz val="10"/>
      <name val="Arial"/>
      <family val="2"/>
    </font>
    <font>
      <sz val="11"/>
      <name val="Calibri"/>
      <family val="2"/>
    </font>
    <font>
      <sz val="11"/>
      <color rgb="FF000000"/>
      <name val="Calibri"/>
      <family val="2"/>
    </font>
    <font>
      <sz val="11"/>
      <color theme="1"/>
      <name val="Calibri"/>
      <family val="2"/>
      <scheme val="minor"/>
    </font>
    <font>
      <sz val="10"/>
      <name val="Arial"/>
    </font>
    <font>
      <b/>
      <sz val="11"/>
      <color theme="0"/>
      <name val="Calibri"/>
      <family val="2"/>
      <scheme val="minor"/>
    </font>
    <font>
      <sz val="11"/>
      <color rgb="FF000000"/>
      <name val="Calibri"/>
    </font>
    <font>
      <sz val="10"/>
      <color rgb="FF000000"/>
      <name val="Arial"/>
      <family val="2"/>
    </font>
  </fonts>
  <fills count="19">
    <fill>
      <patternFill patternType="none"/>
    </fill>
    <fill>
      <patternFill patternType="gray125"/>
    </fill>
    <fill>
      <patternFill patternType="solid">
        <fgColor rgb="FFFFFF99"/>
        <bgColor rgb="FF000000"/>
      </patternFill>
    </fill>
    <fill>
      <patternFill patternType="solid">
        <fgColor rgb="FFCCFFCC"/>
        <bgColor rgb="FF000000"/>
      </patternFill>
    </fill>
    <fill>
      <patternFill patternType="solid">
        <fgColor rgb="FFFFFF00"/>
        <bgColor rgb="FF000000"/>
      </patternFill>
    </fill>
    <fill>
      <patternFill patternType="solid">
        <fgColor rgb="FFFF99CC"/>
        <bgColor rgb="FF000000"/>
      </patternFill>
    </fill>
    <fill>
      <patternFill patternType="solid">
        <fgColor rgb="FFCCFFFF"/>
        <bgColor rgb="FF000000"/>
      </patternFill>
    </fill>
    <fill>
      <patternFill patternType="solid">
        <fgColor rgb="FFFFCC99"/>
        <bgColor rgb="FF000000"/>
      </patternFill>
    </fill>
    <fill>
      <patternFill patternType="solid">
        <fgColor rgb="FF83E28E"/>
        <bgColor rgb="FF000000"/>
      </patternFill>
    </fill>
    <fill>
      <patternFill patternType="solid">
        <fgColor rgb="FFA6C9EC"/>
        <bgColor rgb="FF000000"/>
      </patternFill>
    </fill>
    <fill>
      <patternFill patternType="solid">
        <fgColor rgb="FFE49EDD"/>
        <bgColor rgb="FF000000"/>
      </patternFill>
    </fill>
    <fill>
      <patternFill patternType="solid">
        <fgColor rgb="FFDDEBF7"/>
        <bgColor rgb="FFDDEBF7"/>
      </patternFill>
    </fill>
    <fill>
      <patternFill patternType="solid">
        <fgColor rgb="FFFFFFFF"/>
        <bgColor rgb="FF000000"/>
      </patternFill>
    </fill>
    <fill>
      <patternFill patternType="solid">
        <fgColor rgb="FFC0E6F5"/>
        <bgColor rgb="FFC0E6F5"/>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D9E1F2"/>
        <bgColor rgb="FFD9E1F2"/>
      </patternFill>
    </fill>
    <fill>
      <patternFill patternType="solid">
        <fgColor theme="4"/>
        <bgColor theme="4"/>
      </patternFill>
    </fill>
    <fill>
      <patternFill patternType="solid">
        <fgColor rgb="FF92D050"/>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rgb="FF44B3E1"/>
      </top>
      <bottom style="thin">
        <color rgb="FF44B3E1"/>
      </bottom>
      <diagonal/>
    </border>
    <border>
      <left style="thin">
        <color indexed="64"/>
      </left>
      <right style="thin">
        <color indexed="64"/>
      </right>
      <top/>
      <bottom/>
      <diagonal/>
    </border>
    <border>
      <left/>
      <right style="thin">
        <color indexed="64"/>
      </right>
      <top/>
      <bottom/>
      <diagonal/>
    </border>
    <border>
      <left/>
      <right/>
      <top/>
      <bottom style="thin">
        <color rgb="FF44B3E1"/>
      </bottom>
      <diagonal/>
    </border>
    <border>
      <left/>
      <right/>
      <top style="thin">
        <color rgb="FF9BC2E6"/>
      </top>
      <bottom style="thin">
        <color rgb="FF9BC2E6"/>
      </bottom>
      <diagonal/>
    </border>
    <border>
      <left/>
      <right/>
      <top/>
      <bottom style="thin">
        <color rgb="FF9BC2E6"/>
      </bottom>
      <diagonal/>
    </border>
    <border>
      <left/>
      <right/>
      <top style="thin">
        <color theme="4" tint="0.39997558519241921"/>
      </top>
      <bottom style="thin">
        <color theme="4" tint="0.39997558519241921"/>
      </bottom>
      <diagonal/>
    </border>
    <border>
      <left/>
      <right style="thin">
        <color indexed="64"/>
      </right>
      <top/>
      <bottom style="thin">
        <color rgb="FF9BC2E6"/>
      </bottom>
      <diagonal/>
    </border>
    <border>
      <left/>
      <right/>
      <top style="thin">
        <color rgb="FF8EA9DB"/>
      </top>
      <bottom style="thin">
        <color rgb="FF8EA9DB"/>
      </bottom>
      <diagonal/>
    </border>
    <border>
      <left/>
      <right/>
      <top style="thin">
        <color indexed="64"/>
      </top>
      <bottom/>
      <diagonal/>
    </border>
    <border>
      <left/>
      <right style="thin">
        <color indexed="64"/>
      </right>
      <top style="thin">
        <color indexed="64"/>
      </top>
      <bottom/>
      <diagonal/>
    </border>
    <border>
      <left/>
      <right/>
      <top style="medium">
        <color theme="4" tint="-0.249977111117893"/>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medium">
        <color indexed="64"/>
      </left>
      <right style="thin">
        <color rgb="FF000000"/>
      </right>
      <top style="thin">
        <color rgb="FF000000"/>
      </top>
      <bottom/>
      <diagonal/>
    </border>
    <border>
      <left style="medium">
        <color indexed="64"/>
      </left>
      <right style="thin">
        <color rgb="FF000000"/>
      </right>
      <top/>
      <bottom/>
      <diagonal/>
    </border>
    <border>
      <left style="medium">
        <color indexed="64"/>
      </left>
      <right style="thin">
        <color rgb="FF000000"/>
      </right>
      <top/>
      <bottom style="thin">
        <color rgb="FF000000"/>
      </bottom>
      <diagonal/>
    </border>
  </borders>
  <cellStyleXfs count="9">
    <xf numFmtId="0" fontId="0" fillId="0" borderId="0"/>
    <xf numFmtId="9" fontId="6" fillId="0" borderId="0" applyFont="0" applyFill="0" applyBorder="0" applyAlignment="0" applyProtection="0"/>
    <xf numFmtId="164" fontId="6" fillId="0" borderId="0" applyFont="0" applyFill="0" applyBorder="0" applyAlignment="0" applyProtection="0"/>
    <xf numFmtId="0" fontId="7" fillId="0" borderId="0"/>
    <xf numFmtId="9" fontId="1"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4" fontId="6" fillId="0" borderId="0" applyFont="0" applyFill="0" applyBorder="0" applyAlignment="0" applyProtection="0"/>
  </cellStyleXfs>
  <cellXfs count="177">
    <xf numFmtId="0" fontId="0" fillId="0" borderId="0" xfId="0"/>
    <xf numFmtId="0" fontId="1" fillId="0" borderId="1" xfId="0" applyFont="1" applyBorder="1" applyAlignment="1">
      <alignment wrapText="1"/>
    </xf>
    <xf numFmtId="0" fontId="1" fillId="8" borderId="4" xfId="0" applyFont="1" applyFill="1" applyBorder="1"/>
    <xf numFmtId="0" fontId="1" fillId="9" borderId="4" xfId="0" applyFont="1" applyFill="1" applyBorder="1"/>
    <xf numFmtId="0" fontId="4" fillId="0" borderId="4" xfId="0" applyFont="1" applyBorder="1" applyAlignment="1">
      <alignment wrapText="1"/>
    </xf>
    <xf numFmtId="0" fontId="4" fillId="4" borderId="4" xfId="0" applyFont="1" applyFill="1" applyBorder="1" applyAlignment="1">
      <alignment wrapText="1"/>
    </xf>
    <xf numFmtId="0" fontId="5" fillId="11" borderId="4" xfId="0" applyFont="1" applyFill="1" applyBorder="1" applyAlignment="1">
      <alignment wrapText="1"/>
    </xf>
    <xf numFmtId="0" fontId="5" fillId="0" borderId="4" xfId="0" applyFont="1" applyBorder="1" applyAlignment="1">
      <alignment wrapText="1"/>
    </xf>
    <xf numFmtId="0" fontId="1" fillId="0" borderId="0" xfId="0" applyFont="1"/>
    <xf numFmtId="0" fontId="1" fillId="0" borderId="5" xfId="0" applyFont="1" applyBorder="1" applyAlignment="1">
      <alignment wrapText="1"/>
    </xf>
    <xf numFmtId="0" fontId="1" fillId="13" borderId="8" xfId="0" applyFont="1" applyFill="1" applyBorder="1" applyAlignment="1">
      <alignment wrapText="1"/>
    </xf>
    <xf numFmtId="0" fontId="1" fillId="0" borderId="8" xfId="0" applyFont="1" applyBorder="1" applyAlignment="1">
      <alignment wrapText="1"/>
    </xf>
    <xf numFmtId="0" fontId="1" fillId="8" borderId="7" xfId="0" applyFont="1" applyFill="1" applyBorder="1"/>
    <xf numFmtId="0" fontId="5" fillId="0" borderId="0" xfId="0" applyFont="1" applyAlignment="1">
      <alignment wrapText="1"/>
    </xf>
    <xf numFmtId="0" fontId="5" fillId="11" borderId="0" xfId="0" applyFont="1" applyFill="1" applyAlignment="1">
      <alignment wrapText="1"/>
    </xf>
    <xf numFmtId="0" fontId="5" fillId="0" borderId="9" xfId="0" applyFont="1" applyBorder="1"/>
    <xf numFmtId="0" fontId="5" fillId="0" borderId="10" xfId="0" applyFont="1" applyBorder="1"/>
    <xf numFmtId="0" fontId="5" fillId="0" borderId="10" xfId="0" applyFont="1" applyBorder="1" applyAlignment="1">
      <alignment wrapText="1"/>
    </xf>
    <xf numFmtId="0" fontId="1" fillId="0" borderId="0" xfId="0" applyFont="1" applyAlignment="1">
      <alignment wrapText="1"/>
    </xf>
    <xf numFmtId="0" fontId="1" fillId="0" borderId="5" xfId="0" applyFont="1" applyBorder="1"/>
    <xf numFmtId="0" fontId="1" fillId="0" borderId="8" xfId="0" applyFont="1" applyBorder="1"/>
    <xf numFmtId="0" fontId="1" fillId="13" borderId="8" xfId="0" applyFont="1" applyFill="1" applyBorder="1"/>
    <xf numFmtId="0" fontId="1" fillId="13" borderId="5" xfId="0" applyFont="1" applyFill="1" applyBorder="1"/>
    <xf numFmtId="0" fontId="1" fillId="13" borderId="5" xfId="0" applyFont="1" applyFill="1" applyBorder="1" applyAlignment="1">
      <alignment wrapText="1"/>
    </xf>
    <xf numFmtId="0" fontId="1" fillId="2" borderId="6" xfId="0" applyFont="1" applyFill="1" applyBorder="1"/>
    <xf numFmtId="0" fontId="1" fillId="0" borderId="7" xfId="0" applyFont="1" applyBorder="1"/>
    <xf numFmtId="0" fontId="1" fillId="13" borderId="0" xfId="0" applyFont="1" applyFill="1"/>
    <xf numFmtId="14" fontId="1" fillId="0" borderId="0" xfId="0" applyNumberFormat="1" applyFont="1"/>
    <xf numFmtId="0" fontId="3" fillId="2" borderId="2" xfId="0" applyFont="1" applyFill="1" applyBorder="1" applyAlignment="1">
      <alignment vertical="center" textRotation="90" wrapText="1"/>
    </xf>
    <xf numFmtId="0" fontId="3" fillId="3" borderId="2" xfId="0" applyFont="1" applyFill="1" applyBorder="1" applyAlignment="1">
      <alignment vertical="center" textRotation="90" wrapText="1"/>
    </xf>
    <xf numFmtId="0" fontId="1" fillId="5" borderId="2" xfId="0" applyFont="1" applyFill="1" applyBorder="1" applyAlignment="1">
      <alignment vertical="center" textRotation="90" wrapText="1"/>
    </xf>
    <xf numFmtId="0" fontId="1" fillId="3" borderId="2" xfId="0" applyFont="1" applyFill="1" applyBorder="1" applyAlignment="1">
      <alignment vertical="center" textRotation="90" wrapText="1"/>
    </xf>
    <xf numFmtId="0" fontId="1" fillId="7" borderId="2" xfId="0" applyFont="1" applyFill="1" applyBorder="1" applyAlignment="1">
      <alignment vertical="center" textRotation="90"/>
    </xf>
    <xf numFmtId="0" fontId="1" fillId="8" borderId="2" xfId="0" applyFont="1" applyFill="1" applyBorder="1" applyAlignment="1">
      <alignment vertical="center"/>
    </xf>
    <xf numFmtId="0" fontId="1" fillId="9" borderId="2" xfId="0" applyFont="1" applyFill="1" applyBorder="1" applyAlignment="1">
      <alignment vertical="center"/>
    </xf>
    <xf numFmtId="0" fontId="0" fillId="0" borderId="0" xfId="0" applyAlignment="1">
      <alignment wrapText="1"/>
    </xf>
    <xf numFmtId="0" fontId="2" fillId="0" borderId="2" xfId="0" applyFont="1" applyBorder="1" applyAlignment="1">
      <alignment horizontal="center" wrapText="1"/>
    </xf>
    <xf numFmtId="0" fontId="0" fillId="0" borderId="0" xfId="0" pivotButton="1"/>
    <xf numFmtId="0" fontId="0" fillId="0" borderId="0" xfId="0" applyAlignment="1">
      <alignment horizontal="left"/>
    </xf>
    <xf numFmtId="0" fontId="1" fillId="5" borderId="1" xfId="0" applyFont="1" applyFill="1" applyBorder="1" applyAlignment="1">
      <alignment wrapText="1"/>
    </xf>
    <xf numFmtId="0" fontId="1" fillId="5" borderId="3" xfId="0" applyFont="1" applyFill="1" applyBorder="1" applyAlignment="1">
      <alignment wrapText="1"/>
    </xf>
    <xf numFmtId="0" fontId="1" fillId="3" borderId="2" xfId="0" applyFont="1" applyFill="1" applyBorder="1" applyAlignment="1">
      <alignment wrapText="1"/>
    </xf>
    <xf numFmtId="0" fontId="1" fillId="6" borderId="7" xfId="0" applyFont="1" applyFill="1" applyBorder="1"/>
    <xf numFmtId="0" fontId="1" fillId="7" borderId="2" xfId="0" applyFont="1" applyFill="1" applyBorder="1"/>
    <xf numFmtId="0" fontId="1" fillId="3" borderId="4" xfId="0" applyFont="1" applyFill="1" applyBorder="1" applyAlignment="1">
      <alignment wrapText="1"/>
    </xf>
    <xf numFmtId="0" fontId="1" fillId="7" borderId="4" xfId="0" applyFont="1" applyFill="1" applyBorder="1"/>
    <xf numFmtId="0" fontId="1" fillId="8" borderId="0" xfId="0" applyFont="1" applyFill="1"/>
    <xf numFmtId="14" fontId="0" fillId="0" borderId="0" xfId="0" applyNumberFormat="1"/>
    <xf numFmtId="0" fontId="0" fillId="0" borderId="0" xfId="0" applyAlignment="1">
      <alignment vertical="center" wrapText="1"/>
    </xf>
    <xf numFmtId="14" fontId="2" fillId="0" borderId="2" xfId="0" applyNumberFormat="1" applyFont="1" applyBorder="1" applyAlignment="1">
      <alignment vertical="center" wrapText="1"/>
    </xf>
    <xf numFmtId="0" fontId="0" fillId="14" borderId="11" xfId="0" applyFill="1" applyBorder="1"/>
    <xf numFmtId="0" fontId="5" fillId="0" borderId="9" xfId="0" applyFont="1" applyBorder="1" applyAlignment="1">
      <alignment wrapText="1"/>
    </xf>
    <xf numFmtId="0" fontId="5" fillId="11" borderId="10" xfId="0" applyFont="1" applyFill="1" applyBorder="1" applyAlignment="1">
      <alignment wrapText="1"/>
    </xf>
    <xf numFmtId="0" fontId="1" fillId="6" borderId="2" xfId="0" applyFont="1" applyFill="1" applyBorder="1" applyAlignment="1">
      <alignment vertical="center" textRotation="90"/>
    </xf>
    <xf numFmtId="0" fontId="1" fillId="10" borderId="3" xfId="0" applyFont="1" applyFill="1" applyBorder="1" applyAlignment="1">
      <alignment wrapText="1"/>
    </xf>
    <xf numFmtId="0" fontId="1" fillId="0" borderId="4" xfId="0" applyFont="1" applyBorder="1" applyAlignment="1">
      <alignment wrapText="1"/>
    </xf>
    <xf numFmtId="0" fontId="1" fillId="2" borderId="4" xfId="0" applyFont="1" applyFill="1" applyBorder="1" applyAlignment="1">
      <alignment wrapText="1"/>
    </xf>
    <xf numFmtId="0" fontId="1" fillId="5" borderId="4" xfId="0" applyFont="1" applyFill="1" applyBorder="1" applyAlignment="1">
      <alignment wrapText="1"/>
    </xf>
    <xf numFmtId="0" fontId="1" fillId="6" borderId="4" xfId="0" applyFont="1" applyFill="1" applyBorder="1"/>
    <xf numFmtId="0" fontId="1" fillId="3" borderId="4" xfId="0" applyFont="1" applyFill="1" applyBorder="1"/>
    <xf numFmtId="0" fontId="1" fillId="0" borderId="4" xfId="0" applyFont="1" applyBorder="1"/>
    <xf numFmtId="0" fontId="1" fillId="2" borderId="4" xfId="0" applyFont="1" applyFill="1" applyBorder="1"/>
    <xf numFmtId="0" fontId="1" fillId="5" borderId="4" xfId="0" applyFont="1" applyFill="1" applyBorder="1"/>
    <xf numFmtId="0" fontId="1" fillId="4" borderId="4" xfId="0" applyFont="1" applyFill="1" applyBorder="1" applyAlignment="1">
      <alignment wrapText="1"/>
    </xf>
    <xf numFmtId="0" fontId="1" fillId="12" borderId="4" xfId="0" applyFont="1" applyFill="1" applyBorder="1" applyAlignment="1">
      <alignment wrapText="1"/>
    </xf>
    <xf numFmtId="0" fontId="1" fillId="6" borderId="6" xfId="0" applyFont="1" applyFill="1" applyBorder="1"/>
    <xf numFmtId="0" fontId="1" fillId="7" borderId="6" xfId="0" applyFont="1" applyFill="1" applyBorder="1"/>
    <xf numFmtId="0" fontId="1" fillId="7" borderId="1" xfId="0" applyFont="1" applyFill="1" applyBorder="1"/>
    <xf numFmtId="0" fontId="1" fillId="6" borderId="0" xfId="0" applyFont="1" applyFill="1"/>
    <xf numFmtId="0" fontId="1" fillId="2" borderId="0" xfId="0" applyFont="1" applyFill="1"/>
    <xf numFmtId="16" fontId="0" fillId="0" borderId="0" xfId="0" applyNumberFormat="1"/>
    <xf numFmtId="14" fontId="0" fillId="0" borderId="0" xfId="0" quotePrefix="1" applyNumberFormat="1" applyAlignment="1">
      <alignment vertical="center" wrapText="1"/>
    </xf>
    <xf numFmtId="0" fontId="0" fillId="15" borderId="0" xfId="0" applyFill="1"/>
    <xf numFmtId="0" fontId="0" fillId="15" borderId="11" xfId="0" applyFill="1" applyBorder="1"/>
    <xf numFmtId="0" fontId="0" fillId="15" borderId="11" xfId="0" quotePrefix="1" applyFill="1" applyBorder="1"/>
    <xf numFmtId="0" fontId="0" fillId="15" borderId="11" xfId="0" applyFill="1" applyBorder="1" applyAlignment="1">
      <alignment wrapText="1"/>
    </xf>
    <xf numFmtId="0" fontId="1" fillId="0" borderId="2" xfId="0" applyFont="1" applyBorder="1" applyAlignment="1">
      <alignment wrapText="1"/>
    </xf>
    <xf numFmtId="0" fontId="1" fillId="10" borderId="4" xfId="0" applyFont="1" applyFill="1" applyBorder="1" applyAlignment="1">
      <alignment wrapText="1"/>
    </xf>
    <xf numFmtId="0" fontId="1" fillId="10" borderId="0" xfId="0" applyFont="1" applyFill="1" applyAlignment="1">
      <alignment wrapText="1"/>
    </xf>
    <xf numFmtId="0" fontId="1" fillId="4" borderId="0" xfId="0" applyFont="1" applyFill="1" applyAlignment="1">
      <alignment wrapText="1"/>
    </xf>
    <xf numFmtId="0" fontId="1" fillId="10" borderId="0" xfId="0" applyFont="1" applyFill="1" applyAlignment="1">
      <alignment vertical="center" wrapText="1"/>
    </xf>
    <xf numFmtId="0" fontId="0" fillId="0" borderId="7" xfId="0" applyBorder="1"/>
    <xf numFmtId="0" fontId="0" fillId="0" borderId="10" xfId="0" applyBorder="1"/>
    <xf numFmtId="0" fontId="0" fillId="0" borderId="12" xfId="0" applyBorder="1"/>
    <xf numFmtId="0" fontId="5" fillId="11" borderId="9" xfId="0" applyFont="1" applyFill="1" applyBorder="1" applyAlignment="1">
      <alignment wrapText="1"/>
    </xf>
    <xf numFmtId="0" fontId="5" fillId="11" borderId="9" xfId="0" applyFont="1" applyFill="1" applyBorder="1"/>
    <xf numFmtId="0" fontId="5" fillId="0" borderId="0" xfId="0" applyFont="1"/>
    <xf numFmtId="0" fontId="5" fillId="0" borderId="13" xfId="0" applyFont="1" applyBorder="1" applyAlignment="1">
      <alignment wrapText="1"/>
    </xf>
    <xf numFmtId="0" fontId="5" fillId="16" borderId="13" xfId="0" applyFont="1" applyFill="1" applyBorder="1" applyAlignment="1">
      <alignment wrapText="1"/>
    </xf>
    <xf numFmtId="0" fontId="5" fillId="4" borderId="9" xfId="0" applyFont="1" applyFill="1" applyBorder="1"/>
    <xf numFmtId="0" fontId="5" fillId="4" borderId="9" xfId="0" applyFont="1" applyFill="1" applyBorder="1" applyAlignment="1">
      <alignment wrapText="1"/>
    </xf>
    <xf numFmtId="0" fontId="1" fillId="0" borderId="14" xfId="0" applyFont="1" applyBorder="1"/>
    <xf numFmtId="0" fontId="1" fillId="0" borderId="15" xfId="0" applyFont="1" applyBorder="1"/>
    <xf numFmtId="0" fontId="0" fillId="8" borderId="4" xfId="0" applyFill="1" applyBorder="1"/>
    <xf numFmtId="0" fontId="5" fillId="0" borderId="7" xfId="0" applyFont="1" applyBorder="1"/>
    <xf numFmtId="0" fontId="5" fillId="16" borderId="13" xfId="0" applyFont="1" applyFill="1" applyBorder="1"/>
    <xf numFmtId="0" fontId="5" fillId="0" borderId="13" xfId="0" applyFont="1" applyBorder="1"/>
    <xf numFmtId="0" fontId="5" fillId="4" borderId="0" xfId="0" applyFont="1" applyFill="1"/>
    <xf numFmtId="0" fontId="0" fillId="7" borderId="6" xfId="0" applyFill="1" applyBorder="1"/>
    <xf numFmtId="0" fontId="5" fillId="0" borderId="9" xfId="0" applyFont="1" applyBorder="1" applyAlignment="1">
      <alignment horizontal="left"/>
    </xf>
    <xf numFmtId="0" fontId="5" fillId="4" borderId="13" xfId="0" applyFont="1" applyFill="1" applyBorder="1"/>
    <xf numFmtId="14" fontId="1" fillId="15" borderId="0" xfId="0" applyNumberFormat="1" applyFont="1" applyFill="1"/>
    <xf numFmtId="9" fontId="0" fillId="0" borderId="0" xfId="1" applyFont="1"/>
    <xf numFmtId="0" fontId="8" fillId="17" borderId="16" xfId="0" applyFont="1" applyFill="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8" fillId="17" borderId="0" xfId="0" applyFont="1" applyFill="1"/>
    <xf numFmtId="14" fontId="0" fillId="0" borderId="0" xfId="0" quotePrefix="1" applyNumberFormat="1" applyAlignment="1">
      <alignment horizontal="left"/>
    </xf>
    <xf numFmtId="165" fontId="0" fillId="0" borderId="0" xfId="0" applyNumberFormat="1" applyAlignment="1">
      <alignment horizontal="center"/>
    </xf>
    <xf numFmtId="0" fontId="7" fillId="0" borderId="0" xfId="0" applyFont="1"/>
    <xf numFmtId="0" fontId="7" fillId="7" borderId="6" xfId="0" applyFont="1" applyFill="1" applyBorder="1"/>
    <xf numFmtId="0" fontId="7" fillId="7" borderId="1" xfId="0" applyFont="1" applyFill="1" applyBorder="1"/>
    <xf numFmtId="0" fontId="7" fillId="7" borderId="4" xfId="0" applyFont="1" applyFill="1" applyBorder="1"/>
    <xf numFmtId="0" fontId="7" fillId="0" borderId="0" xfId="0" applyFont="1" applyAlignment="1">
      <alignment wrapText="1"/>
    </xf>
    <xf numFmtId="0" fontId="7" fillId="0" borderId="4" xfId="0" applyFont="1" applyBorder="1"/>
    <xf numFmtId="0" fontId="7" fillId="0" borderId="6" xfId="0" applyFont="1" applyBorder="1"/>
    <xf numFmtId="0" fontId="9" fillId="0" borderId="9" xfId="0" applyFont="1" applyBorder="1" applyAlignment="1">
      <alignment wrapText="1"/>
    </xf>
    <xf numFmtId="0" fontId="1" fillId="15" borderId="4" xfId="0" applyFont="1" applyFill="1" applyBorder="1" applyAlignment="1">
      <alignment wrapText="1"/>
    </xf>
    <xf numFmtId="166" fontId="0" fillId="0" borderId="0" xfId="2" applyNumberFormat="1" applyFont="1"/>
    <xf numFmtId="0" fontId="0" fillId="0" borderId="11" xfId="0" applyBorder="1"/>
    <xf numFmtId="0" fontId="7" fillId="18" borderId="0" xfId="0" applyFont="1" applyFill="1"/>
    <xf numFmtId="0" fontId="7" fillId="18" borderId="6" xfId="0" applyFont="1" applyFill="1" applyBorder="1"/>
    <xf numFmtId="0" fontId="0" fillId="18" borderId="0" xfId="0" applyFill="1"/>
    <xf numFmtId="14" fontId="0" fillId="18" borderId="0" xfId="0" applyNumberFormat="1" applyFill="1"/>
    <xf numFmtId="0" fontId="7" fillId="18" borderId="4" xfId="0" applyFont="1" applyFill="1" applyBorder="1"/>
    <xf numFmtId="0" fontId="0" fillId="14" borderId="11" xfId="0" quotePrefix="1" applyFill="1" applyBorder="1"/>
    <xf numFmtId="0" fontId="0" fillId="0" borderId="11" xfId="0" quotePrefix="1" applyBorder="1"/>
    <xf numFmtId="0" fontId="0" fillId="14" borderId="0" xfId="0" applyFill="1"/>
    <xf numFmtId="0" fontId="0" fillId="14" borderId="11" xfId="0" applyFill="1" applyBorder="1" applyAlignment="1">
      <alignment wrapText="1"/>
    </xf>
    <xf numFmtId="0" fontId="0" fillId="0" borderId="26" xfId="0" applyBorder="1"/>
    <xf numFmtId="9" fontId="0" fillId="0" borderId="26" xfId="1" applyFont="1" applyBorder="1"/>
    <xf numFmtId="0" fontId="1" fillId="0" borderId="26" xfId="0" applyFont="1" applyBorder="1"/>
    <xf numFmtId="0" fontId="0" fillId="0" borderId="27" xfId="0" applyBorder="1"/>
    <xf numFmtId="0" fontId="1" fillId="0" borderId="11" xfId="0" applyFont="1" applyBorder="1"/>
    <xf numFmtId="0" fontId="1" fillId="0" borderId="7" xfId="0" applyFont="1" applyBorder="1" applyAlignment="1">
      <alignment wrapText="1"/>
    </xf>
    <xf numFmtId="0" fontId="0" fillId="0" borderId="28" xfId="0"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9" fontId="0" fillId="0" borderId="29" xfId="1" applyFont="1" applyBorder="1"/>
    <xf numFmtId="9" fontId="0" fillId="0" borderId="30" xfId="1" applyFont="1" applyBorder="1"/>
    <xf numFmtId="0" fontId="1" fillId="0" borderId="29" xfId="0" applyFont="1" applyBorder="1"/>
    <xf numFmtId="0" fontId="1" fillId="0" borderId="30" xfId="0" applyFont="1" applyBorder="1"/>
    <xf numFmtId="0" fontId="0" fillId="0" borderId="1" xfId="0" applyBorder="1"/>
    <xf numFmtId="0" fontId="0" fillId="0" borderId="39" xfId="0" applyBorder="1"/>
    <xf numFmtId="0" fontId="1" fillId="0" borderId="41" xfId="0" applyFont="1" applyBorder="1"/>
    <xf numFmtId="0" fontId="0" fillId="15" borderId="37" xfId="0" applyFill="1" applyBorder="1"/>
    <xf numFmtId="9" fontId="0" fillId="15" borderId="0" xfId="1" applyFont="1" applyFill="1" applyBorder="1"/>
    <xf numFmtId="0" fontId="0" fillId="15" borderId="38" xfId="0" applyFill="1" applyBorder="1"/>
    <xf numFmtId="0" fontId="0" fillId="0" borderId="0" xfId="0" applyAlignment="1">
      <alignment horizontal="center" wrapText="1"/>
    </xf>
    <xf numFmtId="0" fontId="0" fillId="0" borderId="26" xfId="0" applyBorder="1" applyAlignment="1">
      <alignment horizontal="center" wrapText="1"/>
    </xf>
    <xf numFmtId="0" fontId="0" fillId="0" borderId="42" xfId="0" applyBorder="1"/>
    <xf numFmtId="9" fontId="0" fillId="0" borderId="32" xfId="1" applyFont="1" applyBorder="1"/>
    <xf numFmtId="165" fontId="0" fillId="0" borderId="0" xfId="0" applyNumberFormat="1"/>
    <xf numFmtId="0" fontId="1" fillId="0" borderId="11" xfId="0" applyFont="1" applyBorder="1" applyAlignment="1">
      <alignment wrapText="1"/>
    </xf>
    <xf numFmtId="0" fontId="0" fillId="0" borderId="11" xfId="0" quotePrefix="1" applyBorder="1" applyAlignment="1">
      <alignment wrapText="1"/>
    </xf>
    <xf numFmtId="0" fontId="7" fillId="0" borderId="0" xfId="0" quotePrefix="1" applyFont="1" applyAlignment="1">
      <alignment wrapText="1"/>
    </xf>
    <xf numFmtId="0" fontId="0" fillId="0" borderId="6" xfId="0" applyBorder="1"/>
    <xf numFmtId="0" fontId="10" fillId="0" borderId="0" xfId="0" applyFont="1" applyAlignment="1">
      <alignment horizontal="left"/>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0" xfId="0" applyAlignment="1">
      <alignment horizontal="center"/>
    </xf>
    <xf numFmtId="0" fontId="0" fillId="15" borderId="34" xfId="0" applyFill="1" applyBorder="1" applyAlignment="1">
      <alignment horizontal="center"/>
    </xf>
    <xf numFmtId="0" fontId="0" fillId="15" borderId="35" xfId="0" applyFill="1" applyBorder="1" applyAlignment="1">
      <alignment horizontal="center"/>
    </xf>
    <xf numFmtId="0" fontId="0" fillId="15" borderId="36" xfId="0" applyFill="1" applyBorder="1" applyAlignment="1">
      <alignment horizontal="center"/>
    </xf>
  </cellXfs>
  <cellStyles count="9">
    <cellStyle name="Comma" xfId="2" builtinId="3"/>
    <cellStyle name="Comma 2" xfId="8" xr:uid="{116E3B6B-806B-4ECB-84A7-57CA5030D35A}"/>
    <cellStyle name="Normal" xfId="0" builtinId="0"/>
    <cellStyle name="Normal 2" xfId="5" xr:uid="{F1212214-38AB-41C6-9868-EA87D95030D5}"/>
    <cellStyle name="Normal 3" xfId="6" xr:uid="{BE622A00-4392-4644-80E6-D1DADD67F6F2}"/>
    <cellStyle name="Normal 4" xfId="3" xr:uid="{33F1A2D2-F276-43A9-A786-539764318E46}"/>
    <cellStyle name="Percent" xfId="1" builtinId="5"/>
    <cellStyle name="Percent 2" xfId="7" xr:uid="{D0065F32-6B95-44DE-87AD-D99F6314AA13}"/>
    <cellStyle name="Percent 3" xfId="4" xr:uid="{5B5421ED-EA6C-421B-8C87-0001B20374C8}"/>
  </cellStyles>
  <dxfs count="24">
    <dxf>
      <border>
        <left style="thin">
          <color rgb="FF000000"/>
        </left>
        <right/>
        <top style="thin">
          <color rgb="FF000000"/>
        </top>
        <bottom style="thin">
          <color rgb="FF000000"/>
        </bottom>
        <vertical style="thin">
          <color rgb="FF000000"/>
        </vertical>
        <horizontal style="thin">
          <color rgb="FF000000"/>
        </horizontal>
      </border>
    </dxf>
    <dxf>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border>
        <left style="thin">
          <color rgb="FF000000"/>
        </left>
        <right style="thin">
          <color rgb="FF000000"/>
        </right>
        <top/>
        <bottom/>
        <vertical style="thin">
          <color rgb="FF000000"/>
        </vertical>
        <horizontal style="thin">
          <color rgb="FF000000"/>
        </horizontal>
      </border>
    </dxf>
    <dxf>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Arial"/>
        <family val="2"/>
        <scheme val="none"/>
      </font>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border>
        <left style="thin">
          <color rgb="FF000000"/>
        </left>
        <right style="thin">
          <color rgb="FF000000"/>
        </right>
        <top/>
        <bottom/>
        <vertical style="thin">
          <color rgb="FF000000"/>
        </vertical>
        <horizontal style="thin">
          <color rgb="FF000000"/>
        </horizontal>
      </border>
    </dxf>
    <dxf>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border>
        <left style="thin">
          <color rgb="FF000000"/>
        </left>
        <right style="thin">
          <color rgb="FF000000"/>
        </right>
        <top/>
        <bottom/>
        <vertical style="thin">
          <color rgb="FF000000"/>
        </vertical>
        <horizontal style="thin">
          <color rgb="FF000000"/>
        </horizontal>
      </border>
    </dxf>
    <dxf>
      <border>
        <left style="thin">
          <color rgb="FF000000"/>
        </left>
        <right/>
        <top style="thin">
          <color rgb="FF000000"/>
        </top>
        <bottom style="thin">
          <color rgb="FF000000"/>
        </bottom>
        <vertical style="thin">
          <color rgb="FF000000"/>
        </vertical>
        <horizontal style="thin">
          <color rgb="FF000000"/>
        </horizontal>
      </border>
    </dxf>
    <dxf>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border>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'CSFA Accumilative data'!$AH$387:$AH$394</c:f>
              <c:strCache>
                <c:ptCount val="8"/>
                <c:pt idx="0">
                  <c:v> Aalanna </c:v>
                </c:pt>
                <c:pt idx="1">
                  <c:v>CCEPL</c:v>
                </c:pt>
                <c:pt idx="2">
                  <c:v>Crescon </c:v>
                </c:pt>
                <c:pt idx="3">
                  <c:v>Devasnsh</c:v>
                </c:pt>
                <c:pt idx="4">
                  <c:v>Ess Pee</c:v>
                </c:pt>
                <c:pt idx="5">
                  <c:v>Fluidline</c:v>
                </c:pt>
                <c:pt idx="6">
                  <c:v>GEA</c:v>
                </c:pt>
                <c:pt idx="7">
                  <c:v>SPX</c:v>
                </c:pt>
              </c:strCache>
            </c:strRef>
          </c:cat>
          <c:val>
            <c:numRef>
              <c:f>'CSFA Accumilative data'!$AI$387:$AI$394</c:f>
              <c:numCache>
                <c:formatCode>General</c:formatCode>
                <c:ptCount val="8"/>
                <c:pt idx="0" formatCode="_-* #,##0.00_-;\-* #,##0.00_-;_-* &quot;-&quot;??_-;_-@_-">
                  <c:v>2.69</c:v>
                </c:pt>
                <c:pt idx="1">
                  <c:v>2.88</c:v>
                </c:pt>
                <c:pt idx="2">
                  <c:v>3.04</c:v>
                </c:pt>
                <c:pt idx="3">
                  <c:v>2.46</c:v>
                </c:pt>
                <c:pt idx="4">
                  <c:v>2.61</c:v>
                </c:pt>
                <c:pt idx="5">
                  <c:v>2.95</c:v>
                </c:pt>
                <c:pt idx="6">
                  <c:v>2.52</c:v>
                </c:pt>
                <c:pt idx="7">
                  <c:v>2.5299999999999998</c:v>
                </c:pt>
              </c:numCache>
            </c:numRef>
          </c:val>
          <c:extLst>
            <c:ext xmlns:c16="http://schemas.microsoft.com/office/drawing/2014/chart" uri="{C3380CC4-5D6E-409C-BE32-E72D297353CC}">
              <c16:uniqueId val="{00000000-2FEC-460D-9E11-9758C2519ECE}"/>
            </c:ext>
          </c:extLst>
        </c:ser>
        <c:dLbls>
          <c:dLblPos val="outEnd"/>
          <c:showLegendKey val="0"/>
          <c:showVal val="1"/>
          <c:showCatName val="0"/>
          <c:showSerName val="0"/>
          <c:showPercent val="0"/>
          <c:showBubbleSize val="0"/>
        </c:dLbls>
        <c:gapWidth val="115"/>
        <c:overlap val="-20"/>
        <c:axId val="1565760992"/>
        <c:axId val="1565761472"/>
      </c:barChart>
      <c:catAx>
        <c:axId val="15657609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761472"/>
        <c:crosses val="autoZero"/>
        <c:auto val="1"/>
        <c:lblAlgn val="ctr"/>
        <c:lblOffset val="100"/>
        <c:noMultiLvlLbl val="0"/>
      </c:catAx>
      <c:valAx>
        <c:axId val="1565761472"/>
        <c:scaling>
          <c:orientation val="minMax"/>
        </c:scaling>
        <c:delete val="1"/>
        <c:axPos val="b"/>
        <c:numFmt formatCode="_-* #,##0.00_-;\-* #,##0.00_-;_-* &quot;-&quot;??_-;_-@_-" sourceLinked="1"/>
        <c:majorTickMark val="none"/>
        <c:minorTickMark val="none"/>
        <c:tickLblPos val="nextTo"/>
        <c:crossAx val="156576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'Severity info'!$L$18</c:f>
              <c:strCache>
                <c:ptCount val="1"/>
                <c:pt idx="0">
                  <c:v>unsafe acts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C0D-4F49-820A-A3C49F7A3770}"/>
              </c:ext>
            </c:extLst>
          </c:dPt>
          <c:dPt>
            <c:idx val="1"/>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C0D-4F49-820A-A3C49F7A3770}"/>
              </c:ext>
            </c:extLst>
          </c:dPt>
          <c:dPt>
            <c:idx val="2"/>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C0D-4F49-820A-A3C49F7A3770}"/>
              </c:ext>
            </c:extLst>
          </c:dPt>
          <c:dPt>
            <c:idx val="3"/>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2C0D-4F49-820A-A3C49F7A3770}"/>
              </c:ext>
            </c:extLst>
          </c:dPt>
          <c:dPt>
            <c:idx val="4"/>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C0D-4F49-820A-A3C49F7A3770}"/>
              </c:ext>
            </c:extLst>
          </c:dPt>
          <c:dPt>
            <c:idx val="5"/>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2C0D-4F49-820A-A3C49F7A3770}"/>
              </c:ext>
            </c:extLst>
          </c:dPt>
          <c:dPt>
            <c:idx val="6"/>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C0D-4F49-820A-A3C49F7A37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'Severity info'!$K$19:$K$25</c:f>
              <c:numCache>
                <c:formatCode>General</c:formatCode>
                <c:ptCount val="7"/>
                <c:pt idx="0">
                  <c:v>2.6923076923076925</c:v>
                </c:pt>
                <c:pt idx="1">
                  <c:v>3.0857142857142859</c:v>
                </c:pt>
                <c:pt idx="2">
                  <c:v>2.9607843137254903</c:v>
                </c:pt>
                <c:pt idx="3">
                  <c:v>3.4</c:v>
                </c:pt>
                <c:pt idx="4">
                  <c:v>2.125</c:v>
                </c:pt>
                <c:pt idx="5">
                  <c:v>2</c:v>
                </c:pt>
                <c:pt idx="6">
                  <c:v>3.1071428571428572</c:v>
                </c:pt>
              </c:numCache>
            </c:numRef>
          </c:cat>
          <c:val>
            <c:numRef>
              <c:f>'Severity info'!$L$19:$L$25</c:f>
              <c:numCache>
                <c:formatCode>General</c:formatCode>
                <c:ptCount val="7"/>
                <c:pt idx="0">
                  <c:v>4</c:v>
                </c:pt>
                <c:pt idx="1">
                  <c:v>15</c:v>
                </c:pt>
                <c:pt idx="2">
                  <c:v>20</c:v>
                </c:pt>
                <c:pt idx="3">
                  <c:v>2</c:v>
                </c:pt>
                <c:pt idx="4">
                  <c:v>2</c:v>
                </c:pt>
                <c:pt idx="5">
                  <c:v>2</c:v>
                </c:pt>
                <c:pt idx="6">
                  <c:v>10</c:v>
                </c:pt>
              </c:numCache>
            </c:numRef>
          </c:val>
          <c:extLst>
            <c:ext xmlns:c16="http://schemas.microsoft.com/office/drawing/2014/chart" uri="{C3380CC4-5D6E-409C-BE32-E72D297353CC}">
              <c16:uniqueId val="{00000000-2C0D-4F49-820A-A3C49F7A3770}"/>
            </c:ext>
          </c:extLst>
        </c:ser>
        <c:dLbls>
          <c:dLblPos val="outEnd"/>
          <c:showLegendKey val="0"/>
          <c:showVal val="1"/>
          <c:showCatName val="0"/>
          <c:showSerName val="0"/>
          <c:showPercent val="0"/>
          <c:showBubbleSize val="0"/>
        </c:dLbls>
        <c:gapWidth val="115"/>
        <c:overlap val="-20"/>
        <c:axId val="1439240592"/>
        <c:axId val="1439237232"/>
      </c:barChart>
      <c:catAx>
        <c:axId val="14392405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237232"/>
        <c:crosses val="autoZero"/>
        <c:auto val="1"/>
        <c:lblAlgn val="ctr"/>
        <c:lblOffset val="100"/>
        <c:noMultiLvlLbl val="0"/>
      </c:catAx>
      <c:valAx>
        <c:axId val="1439237232"/>
        <c:scaling>
          <c:orientation val="minMax"/>
        </c:scaling>
        <c:delete val="1"/>
        <c:axPos val="b"/>
        <c:numFmt formatCode="General" sourceLinked="1"/>
        <c:majorTickMark val="none"/>
        <c:minorTickMark val="none"/>
        <c:tickLblPos val="nextTo"/>
        <c:crossAx val="143924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Sheet3!$C$28</c:f>
              <c:strCache>
                <c:ptCount val="1"/>
                <c:pt idx="0">
                  <c:v>Count of Observation Discription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Sheet3!$B$29:$B$42</c:f>
              <c:strCache>
                <c:ptCount val="14"/>
                <c:pt idx="0">
                  <c:v>22-May</c:v>
                </c:pt>
                <c:pt idx="1">
                  <c:v>23-May</c:v>
                </c:pt>
                <c:pt idx="2">
                  <c:v>25-May</c:v>
                </c:pt>
                <c:pt idx="3">
                  <c:v>26-May</c:v>
                </c:pt>
                <c:pt idx="4">
                  <c:v>27-May</c:v>
                </c:pt>
                <c:pt idx="5">
                  <c:v>28-May</c:v>
                </c:pt>
                <c:pt idx="6">
                  <c:v>29-May</c:v>
                </c:pt>
                <c:pt idx="7">
                  <c:v>30-May</c:v>
                </c:pt>
                <c:pt idx="8">
                  <c:v>01-Jun</c:v>
                </c:pt>
                <c:pt idx="9">
                  <c:v>02-Jun</c:v>
                </c:pt>
                <c:pt idx="10">
                  <c:v>03-Jun</c:v>
                </c:pt>
                <c:pt idx="11">
                  <c:v>04-Jun</c:v>
                </c:pt>
                <c:pt idx="12">
                  <c:v>5-Jun</c:v>
                </c:pt>
                <c:pt idx="13">
                  <c:v>6-Jun</c:v>
                </c:pt>
              </c:strCache>
            </c:strRef>
          </c:cat>
          <c:val>
            <c:numRef>
              <c:f>Sheet3!$C$29:$C$42</c:f>
              <c:numCache>
                <c:formatCode>General</c:formatCode>
                <c:ptCount val="14"/>
                <c:pt idx="0">
                  <c:v>33</c:v>
                </c:pt>
                <c:pt idx="1">
                  <c:v>12</c:v>
                </c:pt>
                <c:pt idx="2">
                  <c:v>25</c:v>
                </c:pt>
                <c:pt idx="3">
                  <c:v>18</c:v>
                </c:pt>
                <c:pt idx="4">
                  <c:v>16</c:v>
                </c:pt>
                <c:pt idx="5">
                  <c:v>13</c:v>
                </c:pt>
                <c:pt idx="6">
                  <c:v>18</c:v>
                </c:pt>
                <c:pt idx="7">
                  <c:v>21</c:v>
                </c:pt>
                <c:pt idx="8">
                  <c:v>23</c:v>
                </c:pt>
                <c:pt idx="9">
                  <c:v>28</c:v>
                </c:pt>
                <c:pt idx="10">
                  <c:v>27</c:v>
                </c:pt>
                <c:pt idx="11">
                  <c:v>10</c:v>
                </c:pt>
                <c:pt idx="12">
                  <c:v>5</c:v>
                </c:pt>
                <c:pt idx="13">
                  <c:v>20</c:v>
                </c:pt>
              </c:numCache>
            </c:numRef>
          </c:val>
          <c:extLst>
            <c:ext xmlns:c16="http://schemas.microsoft.com/office/drawing/2014/chart" uri="{C3380CC4-5D6E-409C-BE32-E72D297353CC}">
              <c16:uniqueId val="{00000000-B11C-4BBF-A9E8-FF14A2F496C9}"/>
            </c:ext>
          </c:extLst>
        </c:ser>
        <c:dLbls>
          <c:dLblPos val="ctr"/>
          <c:showLegendKey val="0"/>
          <c:showVal val="1"/>
          <c:showCatName val="0"/>
          <c:showSerName val="0"/>
          <c:showPercent val="0"/>
          <c:showBubbleSize val="0"/>
        </c:dLbls>
        <c:gapWidth val="150"/>
        <c:overlap val="100"/>
        <c:axId val="1497243999"/>
        <c:axId val="1497249279"/>
      </c:barChart>
      <c:catAx>
        <c:axId val="14972439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249279"/>
        <c:crosses val="autoZero"/>
        <c:auto val="1"/>
        <c:lblAlgn val="ctr"/>
        <c:lblOffset val="100"/>
        <c:noMultiLvlLbl val="0"/>
      </c:catAx>
      <c:valAx>
        <c:axId val="1497249279"/>
        <c:scaling>
          <c:orientation val="minMax"/>
        </c:scaling>
        <c:delete val="1"/>
        <c:axPos val="l"/>
        <c:numFmt formatCode="General" sourceLinked="1"/>
        <c:majorTickMark val="none"/>
        <c:minorTickMark val="none"/>
        <c:tickLblPos val="nextTo"/>
        <c:crossAx val="1497243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24</xdr:col>
      <xdr:colOff>448733</xdr:colOff>
      <xdr:row>385</xdr:row>
      <xdr:rowOff>156634</xdr:rowOff>
    </xdr:from>
    <xdr:to>
      <xdr:col>32</xdr:col>
      <xdr:colOff>143933</xdr:colOff>
      <xdr:row>441</xdr:row>
      <xdr:rowOff>105834</xdr:rowOff>
    </xdr:to>
    <xdr:graphicFrame macro="">
      <xdr:nvGraphicFramePr>
        <xdr:cNvPr id="11" name="Chart 1">
          <a:extLst>
            <a:ext uri="{FF2B5EF4-FFF2-40B4-BE49-F238E27FC236}">
              <a16:creationId xmlns:a16="http://schemas.microsoft.com/office/drawing/2014/main" id="{19BBE34F-F4E6-D8E1-0E8D-16936536AA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369570</xdr:colOff>
      <xdr:row>2</xdr:row>
      <xdr:rowOff>55245</xdr:rowOff>
    </xdr:from>
    <xdr:to>
      <xdr:col>10</xdr:col>
      <xdr:colOff>1068558</xdr:colOff>
      <xdr:row>11</xdr:row>
      <xdr:rowOff>157255</xdr:rowOff>
    </xdr:to>
    <xdr:pic>
      <xdr:nvPicPr>
        <xdr:cNvPr id="5" name="Picture 1">
          <a:extLst>
            <a:ext uri="{FF2B5EF4-FFF2-40B4-BE49-F238E27FC236}">
              <a16:creationId xmlns:a16="http://schemas.microsoft.com/office/drawing/2014/main" id="{F4128F35-647B-3AB1-0E6E-47D512F53B89}"/>
            </a:ext>
          </a:extLst>
        </xdr:cNvPr>
        <xdr:cNvPicPr>
          <a:picLocks noChangeAspect="1"/>
        </xdr:cNvPicPr>
      </xdr:nvPicPr>
      <xdr:blipFill>
        <a:blip xmlns:r="http://schemas.openxmlformats.org/officeDocument/2006/relationships" r:embed="rId1"/>
        <a:stretch>
          <a:fillRect/>
        </a:stretch>
      </xdr:blipFill>
      <xdr:spPr>
        <a:xfrm>
          <a:off x="4646295" y="436245"/>
          <a:ext cx="7090263" cy="1816510"/>
        </a:xfrm>
        <a:prstGeom prst="rect">
          <a:avLst/>
        </a:prstGeom>
      </xdr:spPr>
    </xdr:pic>
    <xdr:clientData/>
  </xdr:twoCellAnchor>
  <xdr:twoCellAnchor>
    <xdr:from>
      <xdr:col>0</xdr:col>
      <xdr:colOff>209550</xdr:colOff>
      <xdr:row>31</xdr:row>
      <xdr:rowOff>19050</xdr:rowOff>
    </xdr:from>
    <xdr:to>
      <xdr:col>4</xdr:col>
      <xdr:colOff>609600</xdr:colOff>
      <xdr:row>46</xdr:row>
      <xdr:rowOff>19050</xdr:rowOff>
    </xdr:to>
    <xdr:graphicFrame macro="">
      <xdr:nvGraphicFramePr>
        <xdr:cNvPr id="3" name="Chart 4">
          <a:extLst>
            <a:ext uri="{FF2B5EF4-FFF2-40B4-BE49-F238E27FC236}">
              <a16:creationId xmlns:a16="http://schemas.microsoft.com/office/drawing/2014/main" id="{D79E0F8F-F7D7-5BD3-1C46-064F8B0F7125}"/>
            </a:ext>
            <a:ext uri="{147F2762-F138-4A5C-976F-8EAC2B608ADB}">
              <a16:predDERef xmlns:a16="http://schemas.microsoft.com/office/drawing/2014/main" pred="{F4128F35-647B-3AB1-0E6E-47D512F53B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1068705</xdr:colOff>
      <xdr:row>20</xdr:row>
      <xdr:rowOff>175260</xdr:rowOff>
    </xdr:from>
    <xdr:to>
      <xdr:col>6</xdr:col>
      <xdr:colOff>832485</xdr:colOff>
      <xdr:row>35</xdr:row>
      <xdr:rowOff>175260</xdr:rowOff>
    </xdr:to>
    <xdr:graphicFrame macro="">
      <xdr:nvGraphicFramePr>
        <xdr:cNvPr id="4" name="Chart 4">
          <a:extLst>
            <a:ext uri="{FF2B5EF4-FFF2-40B4-BE49-F238E27FC236}">
              <a16:creationId xmlns:a16="http://schemas.microsoft.com/office/drawing/2014/main" id="{487AFA9B-E4C9-6A32-DA21-3433C4FF07C6}"/>
            </a:ext>
            <a:ext uri="{147F2762-F138-4A5C-976F-8EAC2B608ADB}">
              <a16:predDERef xmlns:a16="http://schemas.microsoft.com/office/drawing/2014/main" pred="{BCB15BC8-4DCD-55B7-690D-C7EAC84992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CH EHS" refreshedDate="46189.850189351855" createdVersion="8" refreshedVersion="8" minRefreshableVersion="3" recordCount="54" xr:uid="{A247D6F2-3495-4765-93CD-7D736A40952B}">
  <cacheSource type="worksheet">
    <worksheetSource ref="A2:A56" sheet="Sheet4"/>
  </cacheSource>
  <cacheFields count="1">
    <cacheField name="Fall of Material"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CH EHS" refreshedDate="46189.852081712961" createdVersion="8" refreshedVersion="8" minRefreshableVersion="3" recordCount="57" xr:uid="{1CA6C93D-B791-43B0-998A-86562ECDB7F1}">
  <cacheSource type="worksheet">
    <worksheetSource ref="I3:I60" sheet="Sheet4"/>
  </cacheSource>
  <cacheFields count="1">
    <cacheField name="Trend" numFmtId="0">
      <sharedItems count="16">
        <s v="Fall of Material"/>
        <s v="Sharp Edges"/>
        <s v="Tools &amp; Tackles"/>
        <s v="Barrication"/>
        <s v="Scaffold Safety"/>
        <s v="Fall from Height"/>
        <s v="Electrical Safety"/>
        <s v="Fabrication"/>
        <s v="Supervision"/>
        <s v="Slip, Trip and Fall"/>
        <s v="Fire Safety"/>
        <s v="Ergonomic Hazard"/>
        <s v="Illumination"/>
        <s v="Even Surface"/>
        <s v="PPE"/>
        <s v="Line of Fire"/>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CH EHS" refreshedDate="46205.678101041667" createdVersion="8" refreshedVersion="8" minRefreshableVersion="3" recordCount="656" xr:uid="{19BF0644-9023-4386-B5AD-8F260747B8E9}">
  <cacheSource type="worksheet">
    <worksheetSource ref="A1:S1048576" sheet="CSFA Accumilative data"/>
  </cacheSource>
  <cacheFields count="21">
    <cacheField name="ln" numFmtId="0">
      <sharedItems containsString="0" containsBlank="1" containsNumber="1" containsInteger="1" minValue="1" maxValue="654"/>
    </cacheField>
    <cacheField name="Trend" numFmtId="0">
      <sharedItems containsBlank="1"/>
    </cacheField>
    <cacheField name="Observation Discription " numFmtId="0">
      <sharedItems containsBlank="1" longText="1"/>
    </cacheField>
    <cacheField name="Engineer" numFmtId="0">
      <sharedItems containsString="0" containsBlank="1" containsNumber="1" containsInteger="1" minValue="1" maxValue="1"/>
    </cacheField>
    <cacheField name="Contractors" numFmtId="0">
      <sharedItems containsString="0" containsBlank="1" containsNumber="1" containsInteger="1" minValue="1" maxValue="1"/>
    </cacheField>
    <cacheField name="Good Citizens" numFmtId="0">
      <sharedItems containsBlank="1" containsMixedTypes="1" containsNumber="1" containsInteger="1" minValue="0" maxValue="39"/>
    </cacheField>
    <cacheField name="Violators" numFmtId="0">
      <sharedItems containsBlank="1" containsMixedTypes="1" containsNumber="1" containsInteger="1" minValue="0" maxValue="30"/>
    </cacheField>
    <cacheField name="Number of Violations" numFmtId="0">
      <sharedItems containsBlank="1" containsMixedTypes="1" containsNumber="1" containsInteger="1" minValue="1" maxValue="12"/>
    </cacheField>
    <cacheField name="Severity " numFmtId="0">
      <sharedItems containsString="0" containsBlank="1" containsNumber="1" containsInteger="1" minValue="0" maxValue="5" count="7">
        <n v="3"/>
        <n v="4"/>
        <n v="2"/>
        <n v="5"/>
        <n v="1"/>
        <m/>
        <n v="0"/>
      </sharedItems>
    </cacheField>
    <cacheField name="Violations x Severity" numFmtId="0">
      <sharedItems containsString="0" containsBlank="1" containsNumber="1" containsInteger="1" minValue="0" maxValue="36"/>
    </cacheField>
    <cacheField name="4 &amp; 5" numFmtId="0">
      <sharedItems containsString="0" containsBlank="1" containsNumber="1" containsInteger="1" minValue="1" maxValue="1" count="2">
        <m/>
        <n v="1"/>
      </sharedItems>
    </cacheField>
    <cacheField name="PPE Non-compliance " numFmtId="0">
      <sharedItems containsString="0" containsBlank="1" containsNumber="1" containsInteger="1" minValue="0" maxValue="1"/>
    </cacheField>
    <cacheField name="unsafe Condes" numFmtId="0">
      <sharedItems containsString="0" containsBlank="1" containsNumber="1" containsInteger="1" minValue="1" maxValue="3"/>
    </cacheField>
    <cacheField name="unsafe acts" numFmtId="0">
      <sharedItems containsString="0" containsBlank="1" containsNumber="1" containsInteger="1" minValue="0" maxValue="1"/>
    </cacheField>
    <cacheField name="Contractor name" numFmtId="0">
      <sharedItems containsBlank="1" containsMixedTypes="1" containsNumber="1" containsInteger="1" minValue="1" maxValue="1" count="20">
        <s v="Crescon"/>
        <s v="Fluidline"/>
        <s v="Devansh"/>
        <s v="Supertech"/>
        <s v="Danone"/>
        <s v="SPX"/>
        <s v="Sai Electro"/>
        <s v="Esspee"/>
        <s v="CCEPL"/>
        <s v="Aalanna"/>
        <s v="GEA"/>
        <s v="Maptrix"/>
        <m/>
        <s v="Crescon "/>
        <s v="Satnam"/>
        <s v="All"/>
        <s v="ESSWIN"/>
        <s v="Project Management &amp; Structure"/>
        <s v="Common area"/>
        <n v="1" u="1"/>
      </sharedItems>
    </cacheField>
    <cacheField name="Status" numFmtId="0">
      <sharedItems containsBlank="1"/>
    </cacheField>
    <cacheField name="Danone FPR" numFmtId="0">
      <sharedItems containsBlank="1"/>
    </cacheField>
    <cacheField name="Zone" numFmtId="0">
      <sharedItems containsBlank="1"/>
    </cacheField>
    <cacheField name="Date" numFmtId="14">
      <sharedItems containsNonDate="0" containsDate="1" containsString="0" containsBlank="1" minDate="2026-05-22T00:00:00" maxDate="2026-07-01T00:00:00" count="36">
        <d v="2026-05-22T00:00:00"/>
        <d v="2026-05-23T00:00:00"/>
        <d v="2026-05-25T00:00:00"/>
        <d v="2026-05-26T00:00:00"/>
        <d v="2026-05-27T00:00:00"/>
        <d v="2026-05-28T00:00:00"/>
        <d v="2026-05-29T00:00:00"/>
        <d v="2026-05-30T00:00:00"/>
        <d v="2026-06-01T00:00:00"/>
        <d v="2026-06-02T00:00:00"/>
        <d v="2026-06-03T00:00:00"/>
        <d v="2026-06-04T00:00:00"/>
        <d v="2026-06-05T00:00:00"/>
        <d v="2026-06-06T00:00:00"/>
        <d v="2026-06-08T00:00:00"/>
        <d v="2026-06-09T00:00:00"/>
        <d v="2026-06-10T00:00:00"/>
        <d v="2026-06-11T00:00:00"/>
        <d v="2026-06-12T00:00:00"/>
        <d v="2026-06-13T00:00:00"/>
        <d v="2026-06-15T00:00:00"/>
        <d v="2026-06-16T00:00:00"/>
        <d v="2026-06-17T00:00:00"/>
        <d v="2026-06-18T00:00:00"/>
        <d v="2026-06-19T00:00:00"/>
        <d v="2026-06-20T00:00:00"/>
        <d v="2026-06-21T00:00:00"/>
        <d v="2026-06-22T00:00:00"/>
        <d v="2026-06-23T00:00:00"/>
        <d v="2026-06-24T00:00:00"/>
        <d v="2026-06-25T00:00:00"/>
        <d v="2026-06-26T00:00:00"/>
        <d v="2026-06-27T00:00:00"/>
        <d v="2026-06-29T00:00:00"/>
        <d v="2026-06-30T00:00:00"/>
        <m/>
      </sharedItems>
      <fieldGroup par="20"/>
    </cacheField>
    <cacheField name="Days (Date)" numFmtId="0" databaseField="0">
      <fieldGroup base="18">
        <rangePr groupBy="days" startDate="2026-05-22T00:00:00" endDate="2026-07-01T00:00:00"/>
        <groupItems count="368">
          <s v="&lt;22-05-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6"/>
        </groupItems>
      </fieldGroup>
    </cacheField>
    <cacheField name="Months (Date)" numFmtId="0" databaseField="0">
      <fieldGroup base="18">
        <rangePr groupBy="months" startDate="2026-05-22T00:00:00" endDate="2026-07-01T00:00:00"/>
        <groupItems count="14">
          <s v="&lt;22-05-2026"/>
          <s v="Jan"/>
          <s v="Feb"/>
          <s v="Mar"/>
          <s v="Apr"/>
          <s v="May"/>
          <s v="Jun"/>
          <s v="Jul"/>
          <s v="Aug"/>
          <s v="Sep"/>
          <s v="Oct"/>
          <s v="Nov"/>
          <s v="Dec"/>
          <s v="&gt;01-07-2026"/>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CH EHS" refreshedDate="46205.679833449074" createdVersion="8" refreshedVersion="8" minRefreshableVersion="3" recordCount="656" xr:uid="{D125A6C5-8267-4856-AE23-71A3DE81A9F6}">
  <cacheSource type="worksheet">
    <worksheetSource ref="B1:B1048576" sheet="CSFA Accumilative data"/>
  </cacheSource>
  <cacheFields count="1">
    <cacheField name="Trend" numFmtId="0">
      <sharedItems containsBlank="1" count="52">
        <s v="Material Management"/>
        <s v="Barricading"/>
        <s v="Sharp edges"/>
        <s v="Housekeeping"/>
        <s v="Work at Height"/>
        <s v="Tools &amp; Equipment"/>
        <s v="Excavation"/>
        <s v="Environment"/>
        <s v="Electrical"/>
        <s v="PPE"/>
        <s v="Access &amp; Egress"/>
        <s v="PTW &amp; Supervision"/>
        <s v="Lifting Operations"/>
        <s v="Unsafe Behavior"/>
        <s v="Fire Safety"/>
        <s v="Workbench"/>
        <s v="Good Practice"/>
        <m/>
        <s v="Slip &amp; trip "/>
        <s v="5S" u="1"/>
        <s v="Fall of Material" u="1"/>
        <s v="Barrication" u="1"/>
        <s v="Tools &amp; Tackles" u="1"/>
        <s v="Scaffold Safety" u="1"/>
        <s v="Fall from Height" u="1"/>
        <s v="Slip, Trip and Fall" u="1"/>
        <s v="Other" u="1"/>
        <s v="Electrical Safety" u="1"/>
        <s v="PTW" u="1"/>
        <s v="Supervision" u="1"/>
        <s v="Illumination" u="1"/>
        <s v="Road Safety" u="1"/>
        <s v="Signages" u="1"/>
        <s v="Fabrication" u="1"/>
        <s v="Water Logging" u="1"/>
        <s v="Ergonomic Hazard" u="1"/>
        <s v="Hygiene" u="1"/>
        <s v="Material Handling" u="1"/>
        <s v="Even Surface" u="1"/>
        <s v="Human Error" u="1"/>
        <s v="Paralle Work" u="1"/>
        <s v="Wellbeing" u="1"/>
        <s v="Interlock" u="1"/>
        <s v="Safe Observation" u="1"/>
        <s v="Lifting Operation" u="1"/>
        <s v="Line of Fire" u="1"/>
        <s v="Emergency Exit" u="1"/>
        <s v="No Access" u="1"/>
        <s v="Stability" u="1"/>
        <s v="Inspection" u="1"/>
        <s v="Pinch Point" u="1"/>
        <s v="Access"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
  <r>
    <s v="Sharp Edges"/>
  </r>
  <r>
    <s v="Tools &amp; Tackles"/>
  </r>
  <r>
    <s v="Fall of Material"/>
  </r>
  <r>
    <s v="Barrication"/>
  </r>
  <r>
    <s v="Scaffold Safety"/>
  </r>
  <r>
    <s v="Fall from Height"/>
  </r>
  <r>
    <s v="Electrical Safety"/>
  </r>
  <r>
    <s v="Electrical Safety"/>
  </r>
  <r>
    <s v="Sharp Edges"/>
  </r>
  <r>
    <s v="Fabrication"/>
  </r>
  <r>
    <s v="Supervision"/>
  </r>
  <r>
    <s v="Sharp Edges"/>
  </r>
  <r>
    <s v="Sharp Edges"/>
  </r>
  <r>
    <s v="Electrical Safety"/>
  </r>
  <r>
    <s v="Tools &amp; Tackles"/>
  </r>
  <r>
    <s v="Barrication"/>
  </r>
  <r>
    <s v="Slip, Trip and Fall"/>
  </r>
  <r>
    <s v="Sharp Edges"/>
  </r>
  <r>
    <s v="Electrical Safety"/>
  </r>
  <r>
    <s v="Scaffold Safety"/>
  </r>
  <r>
    <s v="Electrical Safety"/>
  </r>
  <r>
    <s v="Electrical Safety"/>
  </r>
  <r>
    <s v="Fall from Height"/>
  </r>
  <r>
    <s v="Fire Safety"/>
  </r>
  <r>
    <s v="Ergonomic Hazard"/>
  </r>
  <r>
    <s v="Electrical Safety"/>
  </r>
  <r>
    <s v="Illumination"/>
  </r>
  <r>
    <s v="Even Surface"/>
  </r>
  <r>
    <s v="Fall of Material"/>
  </r>
  <r>
    <s v="Fall of Material"/>
  </r>
  <r>
    <s v="Fall of Material"/>
  </r>
  <r>
    <s v="Fall from Height"/>
  </r>
  <r>
    <s v="Fall of Material"/>
  </r>
  <r>
    <s v="Fall of Material"/>
  </r>
  <r>
    <s v="PPE"/>
  </r>
  <r>
    <s v="Fall from Height"/>
  </r>
  <r>
    <s v="Barrication"/>
  </r>
  <r>
    <s v="Barrication"/>
  </r>
  <r>
    <s v="Line of Fire"/>
  </r>
  <r>
    <s v="Electrical Safety"/>
  </r>
  <r>
    <s v="PPE"/>
  </r>
  <r>
    <s v="PPE"/>
  </r>
  <r>
    <s v="Fall of Material"/>
  </r>
  <r>
    <s v="PPE"/>
  </r>
  <r>
    <s v="Electrical Safety"/>
  </r>
  <r>
    <s v="Even Surface"/>
  </r>
  <r>
    <s v="Scaffold Safety"/>
  </r>
  <r>
    <s v="Electrical Safety"/>
  </r>
  <r>
    <s v="Fall of Material"/>
  </r>
  <r>
    <s v="Electrical Safety"/>
  </r>
  <r>
    <s v="Fall of Material"/>
  </r>
  <r>
    <s v="Electrical Safety"/>
  </r>
  <r>
    <s v="Fall of Material"/>
  </r>
  <r>
    <s v="Sharp Edge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
  <r>
    <x v="0"/>
  </r>
  <r>
    <x v="1"/>
  </r>
  <r>
    <x v="2"/>
  </r>
  <r>
    <x v="0"/>
  </r>
  <r>
    <x v="3"/>
  </r>
  <r>
    <x v="4"/>
  </r>
  <r>
    <x v="5"/>
  </r>
  <r>
    <x v="6"/>
  </r>
  <r>
    <x v="6"/>
  </r>
  <r>
    <x v="1"/>
  </r>
  <r>
    <x v="6"/>
  </r>
  <r>
    <x v="7"/>
  </r>
  <r>
    <x v="8"/>
  </r>
  <r>
    <x v="1"/>
  </r>
  <r>
    <x v="1"/>
  </r>
  <r>
    <x v="6"/>
  </r>
  <r>
    <x v="2"/>
  </r>
  <r>
    <x v="3"/>
  </r>
  <r>
    <x v="9"/>
  </r>
  <r>
    <x v="1"/>
  </r>
  <r>
    <x v="6"/>
  </r>
  <r>
    <x v="4"/>
  </r>
  <r>
    <x v="7"/>
  </r>
  <r>
    <x v="6"/>
  </r>
  <r>
    <x v="6"/>
  </r>
  <r>
    <x v="5"/>
  </r>
  <r>
    <x v="10"/>
  </r>
  <r>
    <x v="11"/>
  </r>
  <r>
    <x v="6"/>
  </r>
  <r>
    <x v="12"/>
  </r>
  <r>
    <x v="13"/>
  </r>
  <r>
    <x v="0"/>
  </r>
  <r>
    <x v="0"/>
  </r>
  <r>
    <x v="5"/>
  </r>
  <r>
    <x v="0"/>
  </r>
  <r>
    <x v="0"/>
  </r>
  <r>
    <x v="14"/>
  </r>
  <r>
    <x v="5"/>
  </r>
  <r>
    <x v="3"/>
  </r>
  <r>
    <x v="13"/>
  </r>
  <r>
    <x v="3"/>
  </r>
  <r>
    <x v="15"/>
  </r>
  <r>
    <x v="6"/>
  </r>
  <r>
    <x v="14"/>
  </r>
  <r>
    <x v="14"/>
  </r>
  <r>
    <x v="0"/>
  </r>
  <r>
    <x v="14"/>
  </r>
  <r>
    <x v="6"/>
  </r>
  <r>
    <x v="13"/>
  </r>
  <r>
    <x v="4"/>
  </r>
  <r>
    <x v="6"/>
  </r>
  <r>
    <x v="0"/>
  </r>
  <r>
    <x v="6"/>
  </r>
  <r>
    <x v="0"/>
  </r>
  <r>
    <x v="6"/>
  </r>
  <r>
    <x v="0"/>
  </r>
  <r>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6">
  <r>
    <n v="1"/>
    <s v="Material Management"/>
    <s v="Stacking of material in improper way"/>
    <m/>
    <n v="1"/>
    <m/>
    <m/>
    <n v="1"/>
    <x v="0"/>
    <n v="3"/>
    <x v="0"/>
    <m/>
    <n v="1"/>
    <m/>
    <x v="0"/>
    <s v="Closed"/>
    <m/>
    <s v="Zone 1 - Chiller Building and Oil Injection"/>
    <x v="0"/>
  </r>
  <r>
    <n v="2"/>
    <s v="Material Management"/>
    <s v="GI Sheet found kept untied "/>
    <m/>
    <n v="1"/>
    <m/>
    <m/>
    <n v="1"/>
    <x v="1"/>
    <n v="4"/>
    <x v="1"/>
    <m/>
    <n v="1"/>
    <m/>
    <x v="0"/>
    <s v="Closed"/>
    <m/>
    <s v="Zone 1 - Chiller Building and Oil Injection"/>
    <x v="0"/>
  </r>
  <r>
    <n v="3"/>
    <s v="Barricading"/>
    <s v="Uneven surface of the chiller area without barrication"/>
    <m/>
    <n v="1"/>
    <m/>
    <m/>
    <n v="1"/>
    <x v="0"/>
    <n v="3"/>
    <x v="0"/>
    <m/>
    <n v="1"/>
    <m/>
    <x v="0"/>
    <s v="Closed"/>
    <m/>
    <s v="Zone 1 - Chiller Building and Oil Injection"/>
    <x v="0"/>
  </r>
  <r>
    <n v="4"/>
    <s v="Sharp edges"/>
    <s v="Sharp edges of the Electrical DB Canopy "/>
    <m/>
    <n v="1"/>
    <m/>
    <m/>
    <n v="1"/>
    <x v="1"/>
    <n v="4"/>
    <x v="1"/>
    <m/>
    <n v="1"/>
    <m/>
    <x v="0"/>
    <s v="Closed"/>
    <m/>
    <s v="Zone 1 - Chiller Building and Oil Injection"/>
    <x v="0"/>
  </r>
  <r>
    <n v="5"/>
    <s v="Material Management"/>
    <s v="Using of defective web-sling for lifting material"/>
    <m/>
    <n v="1"/>
    <n v="5"/>
    <n v="2"/>
    <n v="2"/>
    <x v="1"/>
    <n v="8"/>
    <x v="1"/>
    <m/>
    <m/>
    <n v="1"/>
    <x v="0"/>
    <s v="Closed"/>
    <m/>
    <s v="Zone 1 - Chiller Building and Oil Injection"/>
    <x v="0"/>
  </r>
  <r>
    <n v="6"/>
    <s v="Barricading"/>
    <s v="Wobling of sheets barrication due to wind "/>
    <m/>
    <n v="1"/>
    <m/>
    <m/>
    <n v="1"/>
    <x v="1"/>
    <n v="4"/>
    <x v="1"/>
    <m/>
    <n v="1"/>
    <m/>
    <x v="0"/>
    <s v="Closed"/>
    <m/>
    <s v="Zone 1 - Chiller Building and Oil Injection"/>
    <x v="0"/>
  </r>
  <r>
    <n v="7"/>
    <s v="Barricading"/>
    <s v="Insufficient barricading at roof"/>
    <m/>
    <n v="1"/>
    <m/>
    <m/>
    <n v="1"/>
    <x v="1"/>
    <n v="4"/>
    <x v="1"/>
    <m/>
    <n v="1"/>
    <m/>
    <x v="0"/>
    <s v="Closed"/>
    <m/>
    <s v="Zone 1 - Chiller Building and Oil Injection"/>
    <x v="0"/>
  </r>
  <r>
    <n v="8"/>
    <s v="Housekeeping"/>
    <s v="Poor house-keeping"/>
    <m/>
    <n v="1"/>
    <m/>
    <m/>
    <n v="2"/>
    <x v="0"/>
    <n v="6"/>
    <x v="0"/>
    <m/>
    <n v="1"/>
    <m/>
    <x v="0"/>
    <s v="Closed"/>
    <m/>
    <s v="Zone 1 - Chiller Building and Oil Injection"/>
    <x v="0"/>
  </r>
  <r>
    <n v="9"/>
    <s v="Work at Height"/>
    <s v="Scaffolding with wooden planks"/>
    <m/>
    <n v="1"/>
    <m/>
    <m/>
    <n v="1"/>
    <x v="1"/>
    <n v="4"/>
    <x v="1"/>
    <m/>
    <m/>
    <m/>
    <x v="0"/>
    <s v="Closed"/>
    <m/>
    <s v="Zone 1 - Chiller Building and Oil Injection"/>
    <x v="0"/>
  </r>
  <r>
    <n v="10"/>
    <s v="Sharp edges"/>
    <s v="Sharp edges of the Compactor Guard "/>
    <m/>
    <n v="1"/>
    <m/>
    <m/>
    <n v="1"/>
    <x v="0"/>
    <n v="3"/>
    <x v="0"/>
    <m/>
    <n v="1"/>
    <m/>
    <x v="0"/>
    <s v="Closed"/>
    <m/>
    <s v="Zone 3 - Piperack H,I &amp; K Section, Temp. Chiller"/>
    <x v="0"/>
  </r>
  <r>
    <n v="11"/>
    <s v="Work at Height"/>
    <s v="Monkey Ladder without cage"/>
    <m/>
    <n v="1"/>
    <m/>
    <m/>
    <n v="1"/>
    <x v="0"/>
    <n v="3"/>
    <x v="0"/>
    <m/>
    <n v="1"/>
    <m/>
    <x v="1"/>
    <s v="Closed"/>
    <m/>
    <s v="Zone 3 - Piperack H,I &amp; K Section, Temp. Chiller"/>
    <x v="0"/>
  </r>
  <r>
    <n v="12"/>
    <s v="Tools &amp; Equipment"/>
    <s v="Inspection overdue Compactor used "/>
    <m/>
    <n v="1"/>
    <n v="6"/>
    <n v="1"/>
    <n v="1"/>
    <x v="0"/>
    <n v="3"/>
    <x v="0"/>
    <m/>
    <m/>
    <n v="1"/>
    <x v="0"/>
    <s v="Closed"/>
    <m/>
    <s v="Zone 3 - Piperack H,I &amp; K Section, Temp. Chiller"/>
    <x v="0"/>
  </r>
  <r>
    <n v="13"/>
    <s v="Work at Height"/>
    <s v="Railings missing from the ramps"/>
    <m/>
    <n v="1"/>
    <m/>
    <m/>
    <n v="1"/>
    <x v="1"/>
    <n v="4"/>
    <x v="1"/>
    <n v="0"/>
    <n v="1"/>
    <n v="0"/>
    <x v="2"/>
    <s v="Closed"/>
    <m/>
    <s v="Zone 1 - Chiller Building and Oil Injection"/>
    <x v="0"/>
  </r>
  <r>
    <n v="14"/>
    <s v="Excavation"/>
    <s v="Excavated pits kept open and back filling not done"/>
    <m/>
    <n v="1"/>
    <s v=" "/>
    <m/>
    <n v="1"/>
    <x v="0"/>
    <n v="3"/>
    <x v="0"/>
    <n v="0"/>
    <n v="1"/>
    <n v="0"/>
    <x v="0"/>
    <s v="Closed"/>
    <m/>
    <s v="Zone 1 - Chiller Building and Oil Injection"/>
    <x v="0"/>
  </r>
  <r>
    <n v="15"/>
    <s v="Sharp edges"/>
    <s v="Sharp edges of barrication sheet exposed"/>
    <m/>
    <n v="1"/>
    <m/>
    <m/>
    <n v="1"/>
    <x v="0"/>
    <n v="3"/>
    <x v="0"/>
    <n v="0"/>
    <n v="2"/>
    <n v="0"/>
    <x v="0"/>
    <s v="Closed"/>
    <m/>
    <s v="Zone 1 - Chiller Building and Oil Injection"/>
    <x v="0"/>
  </r>
  <r>
    <n v="16"/>
    <s v="Housekeeping"/>
    <s v="5S improper (cable trays)"/>
    <m/>
    <n v="1"/>
    <s v=" "/>
    <m/>
    <n v="1"/>
    <x v="0"/>
    <n v="3"/>
    <x v="0"/>
    <n v="0"/>
    <n v="1"/>
    <n v="0"/>
    <x v="3"/>
    <s v="Closed"/>
    <m/>
    <s v="Zone 1 - Chiller Building and Oil Injection"/>
    <x v="0"/>
  </r>
  <r>
    <n v="17"/>
    <s v="Environment"/>
    <s v="Water logging"/>
    <m/>
    <n v="1"/>
    <m/>
    <m/>
    <n v="1"/>
    <x v="2"/>
    <n v="2"/>
    <x v="0"/>
    <m/>
    <n v="1"/>
    <m/>
    <x v="1"/>
    <s v="Closed"/>
    <m/>
    <s v="Zone 3 - Piperack H,I &amp; K Section, Temp. Chiller"/>
    <x v="0"/>
  </r>
  <r>
    <n v="18"/>
    <s v="Electrical"/>
    <s v="Plastic chair in panel room "/>
    <m/>
    <n v="1"/>
    <m/>
    <m/>
    <n v="1"/>
    <x v="0"/>
    <n v="3"/>
    <x v="0"/>
    <m/>
    <n v="1"/>
    <m/>
    <x v="4"/>
    <s v="Closed"/>
    <m/>
    <s v="Zone 1 - Chiller Building and Oil Injection"/>
    <x v="0"/>
  </r>
  <r>
    <n v="19"/>
    <s v="Electrical"/>
    <s v="Improper Insulation "/>
    <m/>
    <n v="1"/>
    <m/>
    <m/>
    <n v="1"/>
    <x v="1"/>
    <n v="4"/>
    <x v="1"/>
    <m/>
    <n v="1"/>
    <m/>
    <x v="5"/>
    <s v="Closed"/>
    <m/>
    <s v="Zone 1 - Chiller Building and Oil Injection"/>
    <x v="0"/>
  </r>
  <r>
    <n v="20"/>
    <s v="Work at Height"/>
    <s v="Cage ladder not closed"/>
    <m/>
    <n v="1"/>
    <m/>
    <m/>
    <n v="1"/>
    <x v="0"/>
    <n v="3"/>
    <x v="0"/>
    <m/>
    <n v="1"/>
    <m/>
    <x v="1"/>
    <s v="Closed"/>
    <m/>
    <s v="Zone 3 - Piperack H,I &amp; K Section, Temp. Chiller"/>
    <x v="0"/>
  </r>
  <r>
    <n v="21"/>
    <s v="Material Management"/>
    <s v="Pannel not fixed properly at site"/>
    <m/>
    <n v="1"/>
    <m/>
    <m/>
    <n v="1"/>
    <x v="3"/>
    <n v="5"/>
    <x v="1"/>
    <m/>
    <n v="1"/>
    <m/>
    <x v="0"/>
    <s v="Closed"/>
    <m/>
    <s v="Zone 1 - Chiller Building and Oil Injection"/>
    <x v="0"/>
  </r>
  <r>
    <n v="22"/>
    <s v="PPE"/>
    <s v="Workmen without safety hand gloves"/>
    <m/>
    <n v="1"/>
    <n v="2"/>
    <m/>
    <n v="1"/>
    <x v="0"/>
    <n v="3"/>
    <x v="0"/>
    <m/>
    <m/>
    <n v="1"/>
    <x v="0"/>
    <s v="Closed"/>
    <m/>
    <s v="Zone 1 - Chiller Building and Oil Injection"/>
    <x v="0"/>
  </r>
  <r>
    <n v="23"/>
    <s v="Access &amp; Egress"/>
    <s v="Permit not accessible with worker easily and found under documents after some time with no clear knowledge of work risks"/>
    <m/>
    <n v="1"/>
    <n v="6"/>
    <m/>
    <n v="1"/>
    <x v="0"/>
    <n v="3"/>
    <x v="0"/>
    <m/>
    <m/>
    <m/>
    <x v="1"/>
    <s v="Closed"/>
    <m/>
    <s v="Zone 3 - Contractor Yard and Periphery"/>
    <x v="0"/>
  </r>
  <r>
    <n v="24"/>
    <s v="PTW &amp; Supervision"/>
    <s v="Supervisor not present for safety check while work was being done"/>
    <m/>
    <n v="1"/>
    <m/>
    <n v="1"/>
    <n v="1"/>
    <x v="0"/>
    <n v="3"/>
    <x v="0"/>
    <m/>
    <m/>
    <n v="1"/>
    <x v="1"/>
    <s v="Closed"/>
    <m/>
    <s v="Zone 3 - Contractor Yard and Periphery"/>
    <x v="0"/>
  </r>
  <r>
    <n v="25"/>
    <s v="PPE"/>
    <s v="PPE not being used while marking and worker told they will use it during cutting"/>
    <m/>
    <n v="1"/>
    <m/>
    <n v="1"/>
    <n v="1"/>
    <x v="0"/>
    <n v="3"/>
    <x v="0"/>
    <n v="1"/>
    <m/>
    <n v="1"/>
    <x v="1"/>
    <s v="Closed"/>
    <m/>
    <s v="Zone 3 - Contractor Yard and Periphery"/>
    <x v="0"/>
  </r>
  <r>
    <n v="26"/>
    <s v="Barricading"/>
    <s v="Non Barricaded material kept near washroom area with very sharp edges and hot surface but no coverage"/>
    <m/>
    <n v="1"/>
    <m/>
    <m/>
    <n v="1"/>
    <x v="0"/>
    <n v="3"/>
    <x v="0"/>
    <m/>
    <n v="1"/>
    <m/>
    <x v="1"/>
    <s v="Closed"/>
    <m/>
    <s v="Zone 3 - Contractor Yard and Periphery"/>
    <x v="0"/>
  </r>
  <r>
    <n v="27"/>
    <s v="Environment"/>
    <s v="Inadequate illumination in contractor yard"/>
    <m/>
    <n v="1"/>
    <m/>
    <m/>
    <n v="1"/>
    <x v="0"/>
    <n v="3"/>
    <x v="0"/>
    <m/>
    <n v="1"/>
    <m/>
    <x v="6"/>
    <s v="Closed"/>
    <m/>
    <s v="Zone 3 - Contractor Yard and Periphery"/>
    <x v="0"/>
  </r>
  <r>
    <n v="28"/>
    <s v="Sharp edges"/>
    <s v="Sharp edge on panel top sheet near container"/>
    <m/>
    <n v="1"/>
    <m/>
    <m/>
    <n v="1"/>
    <x v="1"/>
    <n v="4"/>
    <x v="1"/>
    <m/>
    <n v="1"/>
    <m/>
    <x v="6"/>
    <s v="Closed"/>
    <m/>
    <s v="Zone 3 - Contractor Yard and Periphery"/>
    <x v="0"/>
  </r>
  <r>
    <n v="29"/>
    <s v="Electrical"/>
    <s v="No earthing on power distribution board"/>
    <m/>
    <n v="1"/>
    <m/>
    <m/>
    <n v="1"/>
    <x v="1"/>
    <n v="4"/>
    <x v="0"/>
    <m/>
    <n v="1"/>
    <m/>
    <x v="7"/>
    <s v="Closed"/>
    <m/>
    <s v="Zone 3 - Contractor Yard and Periphery"/>
    <x v="0"/>
  </r>
  <r>
    <n v="30"/>
    <s v="Material Management"/>
    <s v="Broken chair kept in the contractor area"/>
    <m/>
    <n v="1"/>
    <m/>
    <m/>
    <n v="1"/>
    <x v="0"/>
    <n v="3"/>
    <x v="0"/>
    <m/>
    <n v="1"/>
    <m/>
    <x v="7"/>
    <s v="Closed"/>
    <m/>
    <s v="Zone 3 - Contractor Yard and Periphery"/>
    <x v="0"/>
  </r>
  <r>
    <n v="31"/>
    <s v="Access &amp; Egress"/>
    <s v="Loose sheet lying on pathway"/>
    <m/>
    <n v="1"/>
    <m/>
    <m/>
    <n v="1"/>
    <x v="0"/>
    <n v="3"/>
    <x v="0"/>
    <m/>
    <n v="1"/>
    <m/>
    <x v="7"/>
    <s v="Closed"/>
    <m/>
    <s v="Zone 3 - Contractor Yard and Periphery"/>
    <x v="0"/>
  </r>
  <r>
    <n v="32"/>
    <s v="Material Management"/>
    <s v="Wheel chokes Not used for sludge truck"/>
    <m/>
    <n v="1"/>
    <m/>
    <n v="1"/>
    <n v="1"/>
    <x v="0"/>
    <n v="3"/>
    <x v="0"/>
    <m/>
    <n v="1"/>
    <n v="1"/>
    <x v="7"/>
    <s v="Closed"/>
    <m/>
    <s v="Zone 3 - Contractor Yard and Periphery"/>
    <x v="0"/>
  </r>
  <r>
    <n v="33"/>
    <s v="Material Management"/>
    <s v="No signage or hazard warning for stored compressed cylinders"/>
    <m/>
    <n v="1"/>
    <m/>
    <m/>
    <n v="1"/>
    <x v="0"/>
    <n v="3"/>
    <x v="0"/>
    <m/>
    <n v="1"/>
    <m/>
    <x v="1"/>
    <s v="Closed"/>
    <m/>
    <s v="Zone 1 - Chiller Building and Oil Injection"/>
    <x v="0"/>
  </r>
  <r>
    <n v="34"/>
    <s v="Housekeeping"/>
    <s v="Material stored in oil injection area without following 5S"/>
    <m/>
    <n v="1"/>
    <m/>
    <m/>
    <n v="1"/>
    <x v="4"/>
    <n v="1"/>
    <x v="0"/>
    <m/>
    <n v="1"/>
    <m/>
    <x v="2"/>
    <s v="Pending"/>
    <m/>
    <s v="Zone 1 - Chiller Building and Oil Injection"/>
    <x v="1"/>
  </r>
  <r>
    <n v="35"/>
    <s v="Tools &amp; Equipment"/>
    <s v="Not using wise while cutting square pipe with grinder by holding "/>
    <m/>
    <n v="1"/>
    <n v="5"/>
    <n v="1"/>
    <n v="1"/>
    <x v="1"/>
    <n v="4"/>
    <x v="1"/>
    <m/>
    <m/>
    <n v="1"/>
    <x v="8"/>
    <s v="Closed"/>
    <m/>
    <s v="Zone 3 - Contractor Yard and Periphery"/>
    <x v="1"/>
  </r>
  <r>
    <n v="36"/>
    <s v="Sharp edges"/>
    <s v="Sharp edges of the GI sheet exposed "/>
    <m/>
    <n v="1"/>
    <m/>
    <m/>
    <n v="1"/>
    <x v="0"/>
    <n v="3"/>
    <x v="0"/>
    <m/>
    <n v="1"/>
    <m/>
    <x v="1"/>
    <s v="Closed"/>
    <m/>
    <s v="Zone 3 - Piperack H,I &amp; K Section, Temp. Chiller"/>
    <x v="1"/>
  </r>
  <r>
    <n v="37"/>
    <s v="Environment"/>
    <s v="Water logging near cooling tower"/>
    <m/>
    <n v="1"/>
    <m/>
    <m/>
    <n v="1"/>
    <x v="0"/>
    <n v="3"/>
    <x v="0"/>
    <m/>
    <n v="1"/>
    <m/>
    <x v="1"/>
    <s v="Closed"/>
    <m/>
    <s v="Zone 3 - Piperack H,I &amp; K Section, Temp. Chiller"/>
    <x v="1"/>
  </r>
  <r>
    <n v="38"/>
    <s v="Housekeeping"/>
    <s v="Poor house keeping - Unwanted material kept in the way"/>
    <m/>
    <n v="1"/>
    <m/>
    <m/>
    <n v="1"/>
    <x v="2"/>
    <n v="2"/>
    <x v="0"/>
    <m/>
    <n v="1"/>
    <m/>
    <x v="0"/>
    <s v="Closed"/>
    <m/>
    <s v="Zone 3 - Piperack H,I &amp; K Section, Temp. Chiller"/>
    <x v="1"/>
  </r>
  <r>
    <n v="39"/>
    <s v="Housekeeping"/>
    <s v="House Keeping to improve"/>
    <m/>
    <n v="1"/>
    <m/>
    <m/>
    <n v="1"/>
    <x v="2"/>
    <n v="2"/>
    <x v="0"/>
    <m/>
    <n v="1"/>
    <m/>
    <x v="5"/>
    <s v="Closed"/>
    <m/>
    <s v="Zone 4 - Oil Blending, Panel Room, Refrigeration Building &amp; Roof Areas"/>
    <x v="1"/>
  </r>
  <r>
    <n v="40"/>
    <s v="Electrical"/>
    <s v="Manual Transfer of Panels through Staircase"/>
    <m/>
    <n v="1"/>
    <n v="10"/>
    <n v="3"/>
    <n v="1"/>
    <x v="0"/>
    <n v="3"/>
    <x v="0"/>
    <m/>
    <m/>
    <n v="1"/>
    <x v="7"/>
    <s v="Closed"/>
    <m/>
    <s v="Zone 2 - Evaporator Building"/>
    <x v="1"/>
  </r>
  <r>
    <n v="41"/>
    <s v="Electrical"/>
    <s v="Loose cables and unwanted cables removal"/>
    <m/>
    <n v="1"/>
    <m/>
    <m/>
    <n v="1"/>
    <x v="0"/>
    <n v="3"/>
    <x v="0"/>
    <m/>
    <n v="1"/>
    <m/>
    <x v="7"/>
    <s v="Closed"/>
    <m/>
    <s v="Zone 4 - Oil Blending, Panel Room, Refrigeration Building &amp; Roof Areas"/>
    <x v="1"/>
  </r>
  <r>
    <n v="42"/>
    <s v="Electrical"/>
    <s v="Disconnector Switch for DB panel required"/>
    <m/>
    <n v="1"/>
    <m/>
    <m/>
    <n v="1"/>
    <x v="0"/>
    <n v="3"/>
    <x v="0"/>
    <m/>
    <n v="1"/>
    <m/>
    <x v="4"/>
    <s v="Pending"/>
    <s v="Danish"/>
    <s v="Zone 4 - Oil Blending, Panel Room, Refrigeration Building &amp; Roof Areas"/>
    <x v="1"/>
  </r>
  <r>
    <n v="43"/>
    <s v="Work at Height"/>
    <s v="Access to Staircase is open, and the platform is not complete"/>
    <m/>
    <n v="1"/>
    <m/>
    <m/>
    <n v="1"/>
    <x v="2"/>
    <n v="2"/>
    <x v="0"/>
    <m/>
    <n v="1"/>
    <m/>
    <x v="2"/>
    <s v="Closed"/>
    <m/>
    <s v="Zone 1 - Chiller Building and Oil Injection"/>
    <x v="1"/>
  </r>
  <r>
    <n v="44"/>
    <s v="Access &amp; Egress"/>
    <s v="Pathway was blocked .jsa was not capturing all the hazards "/>
    <m/>
    <n v="1"/>
    <m/>
    <m/>
    <n v="1"/>
    <x v="0"/>
    <n v="3"/>
    <x v="0"/>
    <m/>
    <n v="1"/>
    <m/>
    <x v="8"/>
    <s v="Closed"/>
    <m/>
    <s v="Zone 3 - Piperack H,I &amp; K Section, Temp. Chiller"/>
    <x v="1"/>
  </r>
  <r>
    <n v="45"/>
    <s v="Barricading"/>
    <s v="Area was not barricade "/>
    <m/>
    <n v="1"/>
    <n v="6"/>
    <n v="3"/>
    <n v="1"/>
    <x v="0"/>
    <n v="3"/>
    <x v="0"/>
    <m/>
    <m/>
    <n v="1"/>
    <x v="8"/>
    <s v="Closed"/>
    <m/>
    <s v="Zone 3 - Piperack H,I &amp; K Section, Temp. Chiller"/>
    <x v="1"/>
  </r>
  <r>
    <n v="46"/>
    <s v="Lifting Operations"/>
    <s v="During the Critical lifting activities, Multiple Non-compliances were Observed in Pipe rack side.1. Supervisor and safety engineer is not at site. 2. JSA condition not respected during emergency 3. Excavated area in the vicinity of work may lead to the incident 4. Pipe rack kept in the pathway causing the trip hazard 5. Boom lifter person was in the line of fire  "/>
    <m/>
    <n v="1"/>
    <n v="8"/>
    <n v="3"/>
    <n v="5"/>
    <x v="1"/>
    <n v="20"/>
    <x v="1"/>
    <m/>
    <n v="1"/>
    <n v="1"/>
    <x v="0"/>
    <s v="Closed"/>
    <m/>
    <s v="Zone 3 - Piperack H,I &amp; K Section, Temp. Chiller"/>
    <x v="2"/>
  </r>
  <r>
    <n v="47"/>
    <s v="Work at Height"/>
    <s v="Scaffold inspection tag missing, open wire observed in the area. concrete needs to be removed from the area. Door of roof is still open "/>
    <m/>
    <n v="1"/>
    <m/>
    <m/>
    <n v="1"/>
    <x v="0"/>
    <n v="3"/>
    <x v="0"/>
    <m/>
    <n v="1"/>
    <m/>
    <x v="9"/>
    <s v="Closed"/>
    <m/>
    <s v="Zone 2 - Evaporator Building"/>
    <x v="2"/>
  </r>
  <r>
    <n v="48"/>
    <s v="Access &amp; Egress"/>
    <s v="Staircase is not adequate in the entrance. "/>
    <m/>
    <n v="1"/>
    <m/>
    <m/>
    <n v="1"/>
    <x v="0"/>
    <n v="3"/>
    <x v="0"/>
    <m/>
    <n v="1"/>
    <m/>
    <x v="9"/>
    <s v="Closed"/>
    <m/>
    <s v="Zone 2 - Evaporator Building"/>
    <x v="2"/>
  </r>
  <r>
    <n v="49"/>
    <s v="Work at Height"/>
    <s v="Ladder leading to Tanks platform is not locked"/>
    <m/>
    <n v="1"/>
    <m/>
    <m/>
    <n v="1"/>
    <x v="0"/>
    <n v="3"/>
    <x v="0"/>
    <m/>
    <n v="1"/>
    <m/>
    <x v="2"/>
    <s v="Closed"/>
    <m/>
    <s v="Zone 1 - Chiller Building and Oil Injection"/>
    <x v="2"/>
  </r>
  <r>
    <n v="50"/>
    <s v="Housekeeping"/>
    <s v="House keeping to be improved"/>
    <m/>
    <n v="1"/>
    <m/>
    <m/>
    <n v="1"/>
    <x v="4"/>
    <n v="1"/>
    <x v="0"/>
    <m/>
    <n v="1"/>
    <m/>
    <x v="2"/>
    <s v="Closed"/>
    <m/>
    <s v="Zone 1 - Chiller Building and Oil Injection"/>
    <x v="2"/>
  </r>
  <r>
    <n v="51"/>
    <s v="Work at Height"/>
    <s v="Step platform, Slip / Trip Caution Marking"/>
    <m/>
    <n v="1"/>
    <m/>
    <m/>
    <n v="1"/>
    <x v="0"/>
    <n v="3"/>
    <x v="0"/>
    <m/>
    <n v="1"/>
    <m/>
    <x v="2"/>
    <s v="Closed"/>
    <m/>
    <s v="Zone 1 - Chiller Building and Oil Injection"/>
    <x v="2"/>
  </r>
  <r>
    <n v="52"/>
    <s v="Work at Height"/>
    <s v="Platform tanker unloading - not locked / secured properly to avoid man movement"/>
    <m/>
    <n v="1"/>
    <m/>
    <m/>
    <n v="1"/>
    <x v="0"/>
    <n v="3"/>
    <x v="0"/>
    <m/>
    <n v="1"/>
    <m/>
    <x v="2"/>
    <s v="Closed"/>
    <m/>
    <s v="Zone 1 - Chiller Building and Oil Injection"/>
    <x v="2"/>
  </r>
  <r>
    <n v="53"/>
    <s v="Electrical"/>
    <s v="Dust could be seen on floor and around from outside. Also, temporary hanging cable was going into oil storage room which needs to be corrected. The connection point from panel had gland missing which poses a risk of lizard or insects entering in panel and might lead to electrical hazard."/>
    <m/>
    <n v="1"/>
    <m/>
    <m/>
    <n v="1"/>
    <x v="4"/>
    <n v="1"/>
    <x v="0"/>
    <m/>
    <n v="1"/>
    <m/>
    <x v="5"/>
    <s v="Closed"/>
    <m/>
    <s v="Zone 4 - Oil Blending, Panel Room, Refrigeration Building &amp; Roof Areas"/>
    <x v="2"/>
  </r>
  <r>
    <n v="54"/>
    <s v="PPE"/>
    <s v="Insulation over rockwool being done and worker with out mask and goggles. "/>
    <m/>
    <n v="1"/>
    <n v="8"/>
    <n v="1"/>
    <n v="1"/>
    <x v="0"/>
    <n v="3"/>
    <x v="0"/>
    <n v="1"/>
    <m/>
    <n v="1"/>
    <x v="5"/>
    <s v="Closed"/>
    <m/>
    <s v="Zone 4 - Oil Blending, Panel Room, Refrigeration Building &amp; Roof Areas"/>
    <x v="2"/>
  </r>
  <r>
    <n v="55"/>
    <s v="Housekeeping"/>
    <s v="Poor housekeeping, scrap material found in work place"/>
    <m/>
    <n v="1"/>
    <m/>
    <m/>
    <n v="1"/>
    <x v="2"/>
    <n v="2"/>
    <x v="0"/>
    <m/>
    <n v="1"/>
    <m/>
    <x v="5"/>
    <s v="Closed"/>
    <m/>
    <s v="Zone 4 - Oil Blending, Panel Room, Refrigeration Building &amp; Roof Areas"/>
    <x v="2"/>
  </r>
  <r>
    <n v="56"/>
    <s v="PPE"/>
    <s v="Person found without hand gloves "/>
    <m/>
    <m/>
    <n v="3"/>
    <n v="6"/>
    <n v="1"/>
    <x v="2"/>
    <n v="2"/>
    <x v="0"/>
    <n v="1"/>
    <m/>
    <m/>
    <x v="5"/>
    <s v="Closed"/>
    <m/>
    <s v="Zone 4 - Oil Blending, Panel Room, Refrigeration Building &amp; Roof Areas"/>
    <x v="2"/>
  </r>
  <r>
    <n v="57"/>
    <s v="Electrical"/>
    <s v="Improper way of laying the cables - of extension board"/>
    <m/>
    <n v="1"/>
    <m/>
    <m/>
    <n v="1"/>
    <x v="0"/>
    <n v="3"/>
    <x v="0"/>
    <m/>
    <n v="1"/>
    <m/>
    <x v="1"/>
    <s v="Closed"/>
    <m/>
    <s v="Zone 3 - Piperack H,I &amp; K Section, Temp. Chiller"/>
    <x v="2"/>
  </r>
  <r>
    <n v="58"/>
    <s v="Material Management"/>
    <s v="Improper support of cooling tower"/>
    <m/>
    <n v="1"/>
    <m/>
    <m/>
    <n v="1"/>
    <x v="0"/>
    <n v="3"/>
    <x v="0"/>
    <m/>
    <n v="1"/>
    <m/>
    <x v="1"/>
    <s v="Closed"/>
    <m/>
    <s v="Zone 3 - Piperack H,I &amp; K Section, Temp. Chiller"/>
    <x v="2"/>
  </r>
  <r>
    <n v="59"/>
    <s v="Barricading"/>
    <s v="During lunch area observed unbarricated &amp; witbout supervion "/>
    <m/>
    <n v="1"/>
    <m/>
    <m/>
    <n v="1"/>
    <x v="0"/>
    <n v="3"/>
    <x v="0"/>
    <m/>
    <n v="1"/>
    <m/>
    <x v="9"/>
    <s v="Closed"/>
    <m/>
    <s v="Zone 2 - Evaporator Building"/>
    <x v="2"/>
  </r>
  <r>
    <n v="60"/>
    <s v="Work at Height"/>
    <s v="Platform support near pedestrial walkway creating obstuction (trip hazard) "/>
    <m/>
    <n v="1"/>
    <m/>
    <m/>
    <n v="1"/>
    <x v="2"/>
    <n v="2"/>
    <x v="0"/>
    <m/>
    <n v="1"/>
    <m/>
    <x v="9"/>
    <s v="Closed"/>
    <m/>
    <s v="Zone 2 - Evaporator Building"/>
    <x v="2"/>
  </r>
  <r>
    <n v="61"/>
    <s v="Access &amp; Egress"/>
    <s v="Drain observed open &amp; drain cover kept in the walkway "/>
    <m/>
    <m/>
    <m/>
    <m/>
    <n v="1"/>
    <x v="2"/>
    <n v="2"/>
    <x v="0"/>
    <m/>
    <n v="1"/>
    <m/>
    <x v="9"/>
    <s v="Closed"/>
    <m/>
    <s v="Zone 2 - Evaporator Building"/>
    <x v="2"/>
  </r>
  <r>
    <n v="62"/>
    <s v="Electrical"/>
    <s v="Improper cable storage"/>
    <m/>
    <n v="1"/>
    <m/>
    <m/>
    <n v="1"/>
    <x v="2"/>
    <n v="2"/>
    <x v="0"/>
    <m/>
    <n v="1"/>
    <m/>
    <x v="10"/>
    <s v="Closed"/>
    <m/>
    <s v="Zone 3 - Contractor Yard and Periphery"/>
    <x v="2"/>
  </r>
  <r>
    <n v="63"/>
    <s v="Electrical"/>
    <s v="Improper stacking of panels/sheets observed on ground. Material not stored safely and may collapse or cause handling hazard."/>
    <m/>
    <n v="1"/>
    <m/>
    <m/>
    <n v="1"/>
    <x v="0"/>
    <n v="3"/>
    <x v="0"/>
    <m/>
    <n v="1"/>
    <m/>
    <x v="8"/>
    <s v="Closed"/>
    <m/>
    <s v="Zone 3 - Contractor Yard and Periphery"/>
    <x v="2"/>
  </r>
  <r>
    <n v="64"/>
    <s v="Material Management"/>
    <s v="Pipes/material improperly stored near assembly area."/>
    <m/>
    <n v="1"/>
    <m/>
    <m/>
    <n v="1"/>
    <x v="0"/>
    <n v="3"/>
    <x v="0"/>
    <m/>
    <n v="1"/>
    <m/>
    <x v="10"/>
    <s v="Closed"/>
    <m/>
    <s v="Zone 3 - Contractor Yard and Periphery"/>
    <x v="2"/>
  </r>
  <r>
    <n v="65"/>
    <s v="Housekeeping"/>
    <s v="5S not maintained inside container. Poor housekeeping, blocked access, and improper material storage observed,"/>
    <m/>
    <n v="1"/>
    <m/>
    <m/>
    <n v="1"/>
    <x v="0"/>
    <n v="3"/>
    <x v="0"/>
    <m/>
    <n v="1"/>
    <m/>
    <x v="1"/>
    <s v="Closed"/>
    <m/>
    <s v="Zone 3 - Contractor Yard and Periphery"/>
    <x v="2"/>
  </r>
  <r>
    <n v="66"/>
    <s v="Housekeeping"/>
    <s v="5S not maintained inside container. Poor housekeeping, blocked access, and improper material storage observed"/>
    <m/>
    <n v="1"/>
    <m/>
    <m/>
    <n v="1"/>
    <x v="0"/>
    <n v="3"/>
    <x v="0"/>
    <m/>
    <n v="1"/>
    <m/>
    <x v="7"/>
    <s v="Closed"/>
    <m/>
    <s v="Zone 3 - Contractor Yard and Periphery"/>
    <x v="2"/>
  </r>
  <r>
    <n v="67"/>
    <s v="Housekeeping"/>
    <s v="Housekeeping not maintained "/>
    <m/>
    <n v="1"/>
    <m/>
    <m/>
    <n v="1"/>
    <x v="2"/>
    <n v="2"/>
    <x v="0"/>
    <m/>
    <n v="1"/>
    <m/>
    <x v="8"/>
    <s v="Closed"/>
    <m/>
    <s v="Zone 3 - Contractor Yard and Periphery"/>
    <x v="2"/>
  </r>
  <r>
    <n v="68"/>
    <s v="PPE"/>
    <s v="Rebinding work involves fixing rebars into existing concrete structures using chemical anchoring systems (HILTI HIT) for structural continuity. During this activity, a worker was observed working without safety goggles, which is a violation of safety protocol and exposes the individual to risks of eye injury from drilling dust, flying debris, and chemical splashes."/>
    <m/>
    <n v="1"/>
    <n v="5"/>
    <n v="2"/>
    <n v="1"/>
    <x v="0"/>
    <n v="3"/>
    <x v="0"/>
    <n v="1"/>
    <m/>
    <n v="1"/>
    <x v="7"/>
    <s v="Closed"/>
    <m/>
    <s v="Zone 2 - Evaporator Building"/>
    <x v="2"/>
  </r>
  <r>
    <n v="69"/>
    <s v="Access &amp; Egress"/>
    <s v="The door at the top of the evaporator building (old dryer side) was found open, and an unusual gap was observed in the stair steps. This condition creates a potential fall hazard and indicates a safety protocol violation due to  unsafe access conditions."/>
    <m/>
    <n v="1"/>
    <m/>
    <m/>
    <n v="1"/>
    <x v="0"/>
    <n v="3"/>
    <x v="0"/>
    <m/>
    <n v="1"/>
    <m/>
    <x v="7"/>
    <s v="Closed"/>
    <m/>
    <s v="Zone 2 - Evaporator Building"/>
    <x v="2"/>
  </r>
  <r>
    <n v="70"/>
    <s v="Sharp edges"/>
    <s v="Gi sheet used for partition at observed tied with plastic rope without proper fixing Near temporary chiller cooling tower, sharp edges of the sheet are not covered"/>
    <m/>
    <n v="1"/>
    <m/>
    <m/>
    <n v="1"/>
    <x v="1"/>
    <n v="4"/>
    <x v="1"/>
    <m/>
    <n v="1"/>
    <m/>
    <x v="0"/>
    <s v="Closed"/>
    <m/>
    <s v="Zone 3 - Piperack H,I &amp; K Section, Temp. Chiller"/>
    <x v="3"/>
  </r>
  <r>
    <n v="71"/>
    <s v="Lifting Operations"/>
    <s v="Observed unloading conret blocks from tractor trolley by standing on the trolley without fall protection"/>
    <m/>
    <n v="1"/>
    <n v="7"/>
    <n v="2"/>
    <n v="1"/>
    <x v="0"/>
    <n v="3"/>
    <x v="0"/>
    <m/>
    <m/>
    <n v="1"/>
    <x v="0"/>
    <s v="Closed"/>
    <m/>
    <s v="Zone 3 - Piperack H,I &amp; K Section, Temp. Chiller"/>
    <x v="3"/>
  </r>
  <r>
    <n v="72"/>
    <s v="Access &amp; Egress"/>
    <s v="Access to teh chiller area is not proper (slip &amp; trip hazard)"/>
    <m/>
    <n v="1"/>
    <m/>
    <m/>
    <n v="1"/>
    <x v="2"/>
    <n v="2"/>
    <x v="0"/>
    <m/>
    <n v="1"/>
    <m/>
    <x v="0"/>
    <s v="Closed"/>
    <m/>
    <s v="Zone 3 - Piperack H,I &amp; K Section, Temp. Chiller"/>
    <x v="3"/>
  </r>
  <r>
    <n v="73"/>
    <s v="Lifting Operations"/>
    <s v="Handling a full roll of sheet firstly single handely and then on feedback 2 people doing heavy lifting. Asked them to arrange a trolley to pick it up as it was too heavy and they were just able to move 7-8 steps and then stop to change hand to take the load. Ergonomically not feasible exercise of lifting they were doing "/>
    <m/>
    <n v="1"/>
    <n v="5"/>
    <n v="2"/>
    <n v="1"/>
    <x v="0"/>
    <n v="3"/>
    <x v="0"/>
    <m/>
    <m/>
    <n v="1"/>
    <x v="11"/>
    <s v="Closed"/>
    <m/>
    <s v="Zone 3 - Piperack H,I &amp; K Section, Temp. Chiller"/>
    <x v="3"/>
  </r>
  <r>
    <n v="74"/>
    <s v="Sharp edges"/>
    <s v="they are creating a structure and welding and that iron strucutre has sharp edges and corners which are uncovered near potta cabins which are too risky for handling for cut related injuries. "/>
    <m/>
    <n v="1"/>
    <m/>
    <m/>
    <n v="1"/>
    <x v="1"/>
    <n v="4"/>
    <x v="1"/>
    <m/>
    <m/>
    <n v="1"/>
    <x v="1"/>
    <s v="Closed"/>
    <m/>
    <s v="Zone 3 - Contractor Yard and Periphery"/>
    <x v="3"/>
  </r>
  <r>
    <n v="75"/>
    <s v="Material Management"/>
    <s v="Improper storage arrangement observed for refrigerant compressed gas cylinders."/>
    <m/>
    <n v="1"/>
    <m/>
    <m/>
    <n v="1"/>
    <x v="0"/>
    <n v="3"/>
    <x v="0"/>
    <m/>
    <n v="1"/>
    <m/>
    <x v="1"/>
    <s v="Closed"/>
    <m/>
    <s v="Zone 1 - Chiller Building and Oil Injection"/>
    <x v="3"/>
  </r>
  <r>
    <n v="76"/>
    <s v="Housekeeping"/>
    <s v="Electrical cable tray and cables were not properly arranged. Poor housekeeping and 5S standards were not maintained"/>
    <m/>
    <n v="1"/>
    <m/>
    <m/>
    <n v="1"/>
    <x v="0"/>
    <n v="3"/>
    <x v="0"/>
    <m/>
    <n v="1"/>
    <m/>
    <x v="3"/>
    <s v="Closed"/>
    <m/>
    <s v="Zone 1 - Chiller Building and Oil Injection"/>
    <x v="3"/>
  </r>
  <r>
    <n v="77"/>
    <s v="Electrical"/>
    <s v="Electrical cable was found directly tied the scaffolding during working at height"/>
    <m/>
    <n v="1"/>
    <n v="2"/>
    <m/>
    <n v="1"/>
    <x v="1"/>
    <n v="4"/>
    <x v="1"/>
    <m/>
    <m/>
    <n v="1"/>
    <x v="10"/>
    <s v="Closed"/>
    <m/>
    <s v="Zone 2 - Evaporator Building"/>
    <x v="3"/>
  </r>
  <r>
    <n v="78"/>
    <s v="PPE"/>
    <s v="Not using goggles shifting of bricks"/>
    <m/>
    <n v="1"/>
    <n v="4"/>
    <n v="4"/>
    <n v="1"/>
    <x v="0"/>
    <n v="3"/>
    <x v="0"/>
    <m/>
    <m/>
    <n v="1"/>
    <x v="0"/>
    <s v="Closed"/>
    <m/>
    <s v="Zone 1 - Chiller Building and Oil Injection"/>
    <x v="3"/>
  </r>
  <r>
    <n v="79"/>
    <s v="Barricading"/>
    <s v="Missing barrication  below the pipe rack"/>
    <m/>
    <n v="1"/>
    <m/>
    <m/>
    <n v="1"/>
    <x v="0"/>
    <n v="3"/>
    <x v="0"/>
    <m/>
    <n v="1"/>
    <m/>
    <x v="0"/>
    <s v="Closed"/>
    <m/>
    <s v="Zone 1 - Chiller Building and Oil Injection"/>
    <x v="3"/>
  </r>
  <r>
    <n v="80"/>
    <s v="Electrical"/>
    <s v="Loose temporary cable found on the area"/>
    <m/>
    <n v="1"/>
    <m/>
    <m/>
    <n v="1"/>
    <x v="0"/>
    <n v="3"/>
    <x v="0"/>
    <m/>
    <n v="1"/>
    <m/>
    <x v="0"/>
    <s v="Closed"/>
    <m/>
    <s v="Zone 1 - Chiller Building and Oil Injection"/>
    <x v="3"/>
  </r>
  <r>
    <n v="81"/>
    <s v="Work at Height"/>
    <s v="Non standard ladder used by team, no safe , instructions not followed by contractor "/>
    <m/>
    <n v="1"/>
    <n v="4"/>
    <n v="2"/>
    <n v="1"/>
    <x v="0"/>
    <n v="3"/>
    <x v="0"/>
    <m/>
    <m/>
    <n v="1"/>
    <x v="1"/>
    <s v="Closed"/>
    <m/>
    <s v="Zone 3 - Piperack H,I &amp; K Section, Temp. Chiller"/>
    <x v="3"/>
  </r>
  <r>
    <n v="82"/>
    <s v="Barricading"/>
    <s v="Area not barricade,proper walkway is not defined one person found using mobile phone while working "/>
    <m/>
    <n v="1"/>
    <n v="12"/>
    <n v="2"/>
    <n v="1"/>
    <x v="0"/>
    <n v="3"/>
    <x v="0"/>
    <m/>
    <m/>
    <n v="1"/>
    <x v="0"/>
    <s v="Closed"/>
    <m/>
    <s v="Zone 1 - Chiller Building and Oil Injection"/>
    <x v="3"/>
  </r>
  <r>
    <n v="83"/>
    <s v="Material Management"/>
    <s v="Uneven access area, materials kept in movement area"/>
    <m/>
    <n v="1"/>
    <m/>
    <m/>
    <n v="1"/>
    <x v="2"/>
    <n v="2"/>
    <x v="0"/>
    <m/>
    <n v="1"/>
    <m/>
    <x v="0"/>
    <s v="Closed"/>
    <m/>
    <s v="Zone 1 - Chiller Building and Oil Injection"/>
    <x v="3"/>
  </r>
  <r>
    <n v="84"/>
    <s v="Tools &amp; Equipment"/>
    <s v="Non compliant tool - hacksaw without frame is being used"/>
    <m/>
    <n v="1"/>
    <n v="12"/>
    <n v="1"/>
    <n v="1"/>
    <x v="1"/>
    <n v="4"/>
    <x v="1"/>
    <m/>
    <m/>
    <n v="1"/>
    <x v="0"/>
    <s v="Closed"/>
    <m/>
    <s v="Zone 1 - Chiller Building and Oil Injection"/>
    <x v="3"/>
  </r>
  <r>
    <n v="85"/>
    <s v="Access &amp; Egress"/>
    <s v="The design of the cutting structure behind the MWRS poses a safety risk due to an angle welded at the bottom of the rectangular frame, creating a potential slip and fall hazard."/>
    <m/>
    <n v="1"/>
    <m/>
    <m/>
    <n v="1"/>
    <x v="2"/>
    <n v="2"/>
    <x v="0"/>
    <m/>
    <n v="1"/>
    <m/>
    <x v="10"/>
    <s v="Closed"/>
    <m/>
    <s v="Zone 3 - Contractor Yard and Periphery"/>
    <x v="3"/>
  </r>
  <r>
    <n v="86"/>
    <s v="Access &amp; Egress"/>
    <s v="It has been observed that people are using the pathway between the two containers, but the exit is very narrow, which poses a safety risk "/>
    <m/>
    <n v="1"/>
    <n v="15"/>
    <n v="2"/>
    <n v="1"/>
    <x v="0"/>
    <n v="3"/>
    <x v="0"/>
    <m/>
    <m/>
    <n v="1"/>
    <x v="4"/>
    <s v="Closed"/>
    <m/>
    <s v="Zone 3 - Contractor Yard and Periphery"/>
    <x v="3"/>
  </r>
  <r>
    <n v="87"/>
    <s v="Access &amp; Egress"/>
    <s v="People are using the pathway between the contractor yard and the chiller building, which passes through the plantation area. The surface is uneven and not level, posing a risk of slips and falls"/>
    <m/>
    <n v="1"/>
    <n v="1"/>
    <n v="20"/>
    <n v="1"/>
    <x v="0"/>
    <n v="3"/>
    <x v="0"/>
    <m/>
    <m/>
    <n v="1"/>
    <x v="0"/>
    <s v="Closed"/>
    <m/>
    <s v="Zone 3 - Contractor Yard and Periphery"/>
    <x v="3"/>
  </r>
  <r>
    <n v="88"/>
    <s v="Material Management"/>
    <s v="Standing on tractor material"/>
    <m/>
    <n v="1"/>
    <n v="7"/>
    <n v="2"/>
    <n v="1"/>
    <x v="0"/>
    <n v="3"/>
    <x v="0"/>
    <m/>
    <m/>
    <n v="1"/>
    <x v="9"/>
    <s v="Closed"/>
    <m/>
    <s v="Zone 3 - Contractor Yard and Periphery"/>
    <x v="4"/>
  </r>
  <r>
    <n v="89"/>
    <s v="PPE"/>
    <s v="Crane kept without wheel stopper"/>
    <m/>
    <m/>
    <m/>
    <m/>
    <n v="1"/>
    <x v="2"/>
    <n v="2"/>
    <x v="0"/>
    <m/>
    <n v="1"/>
    <m/>
    <x v="7"/>
    <s v="Closed"/>
    <m/>
    <s v="Zone 3 - Contractor Yard and Periphery"/>
    <x v="4"/>
  </r>
  <r>
    <n v="90"/>
    <s v="PPE"/>
    <s v="Truck without wheel stopper "/>
    <m/>
    <m/>
    <m/>
    <m/>
    <n v="1"/>
    <x v="0"/>
    <n v="3"/>
    <x v="0"/>
    <m/>
    <n v="1"/>
    <m/>
    <x v="9"/>
    <s v="Closed"/>
    <m/>
    <s v="Zone 3 - Contractor Yard and Periphery"/>
    <x v="4"/>
  </r>
  <r>
    <n v="91"/>
    <s v="Lifting Operations"/>
    <s v="Too many people gathering during the lifting activity"/>
    <m/>
    <n v="1"/>
    <n v="39"/>
    <n v="30"/>
    <n v="1"/>
    <x v="0"/>
    <n v="3"/>
    <x v="0"/>
    <m/>
    <m/>
    <n v="1"/>
    <x v="1"/>
    <s v="Closed"/>
    <m/>
    <s v="Zone 1 - Chiller Building and Oil Injection"/>
    <x v="4"/>
  </r>
  <r>
    <n v="92"/>
    <s v="Material Management"/>
    <s v="Trolly observed without wheel chokes."/>
    <m/>
    <n v="1"/>
    <n v="0"/>
    <n v="0"/>
    <n v="1"/>
    <x v="0"/>
    <n v="3"/>
    <x v="0"/>
    <m/>
    <m/>
    <n v="1"/>
    <x v="0"/>
    <s v="Closed"/>
    <m/>
    <s v="Zone 1 - Chiller Building and Oil Injection"/>
    <x v="4"/>
  </r>
  <r>
    <n v="93"/>
    <s v="Material Management"/>
    <s v="Worker leaning support on the rebars "/>
    <m/>
    <n v="1"/>
    <m/>
    <m/>
    <n v="1"/>
    <x v="0"/>
    <n v="3"/>
    <x v="0"/>
    <m/>
    <n v="1"/>
    <m/>
    <x v="0"/>
    <s v="Closed"/>
    <m/>
    <s v="Zone 1 - Chiller Building and Oil Injection"/>
    <x v="4"/>
  </r>
  <r>
    <n v="94"/>
    <s v="Unsafe Behavior"/>
    <s v="Using mobile phone at working area"/>
    <m/>
    <n v="1"/>
    <n v="8"/>
    <n v="1"/>
    <n v="1"/>
    <x v="4"/>
    <n v="1"/>
    <x v="0"/>
    <m/>
    <m/>
    <n v="1"/>
    <x v="1"/>
    <s v="Closed"/>
    <m/>
    <s v="Zone 3 - Piperack H,I &amp; K Section, Temp. Chiller"/>
    <x v="4"/>
  </r>
  <r>
    <n v="95"/>
    <s v="PPE"/>
    <s v="Crane operator was not wearing PPE"/>
    <m/>
    <n v="1"/>
    <n v="15"/>
    <n v="1"/>
    <n v="1"/>
    <x v="4"/>
    <n v="1"/>
    <x v="0"/>
    <n v="1"/>
    <m/>
    <n v="1"/>
    <x v="1"/>
    <s v="Closed"/>
    <m/>
    <s v="Zone 3 - Piperack H,I &amp; K Section, Temp. Chiller"/>
    <x v="4"/>
  </r>
  <r>
    <n v="96"/>
    <s v="Barricading"/>
    <s v="Parapet wall opening above Utility building without barrication "/>
    <m/>
    <n v="1"/>
    <m/>
    <m/>
    <n v="1"/>
    <x v="1"/>
    <n v="4"/>
    <x v="1"/>
    <m/>
    <n v="1"/>
    <m/>
    <x v="1"/>
    <s v="Closed"/>
    <m/>
    <s v="Zone 3 - Piperack H,I &amp; K Section, Temp. Chiller"/>
    <x v="4"/>
  </r>
  <r>
    <n v="97"/>
    <s v="Electrical"/>
    <s v="Construction power cable taken through door"/>
    <m/>
    <n v="1"/>
    <m/>
    <m/>
    <n v="1"/>
    <x v="0"/>
    <n v="3"/>
    <x v="0"/>
    <m/>
    <n v="1"/>
    <m/>
    <x v="5"/>
    <s v="Closed"/>
    <m/>
    <s v="Zone 4 - Oil Blending, Panel Room, Refrigeration Building &amp; Roof Areas"/>
    <x v="4"/>
  </r>
  <r>
    <n v="98"/>
    <s v="Housekeeping"/>
    <s v="Untidy area on Evaporator roofop"/>
    <m/>
    <n v="1"/>
    <n v="10"/>
    <n v="2"/>
    <n v="1"/>
    <x v="4"/>
    <n v="1"/>
    <x v="0"/>
    <m/>
    <m/>
    <n v="1"/>
    <x v="7"/>
    <s v="Closed"/>
    <m/>
    <s v="Zone 2 - Evaporator Building"/>
    <x v="4"/>
  </r>
  <r>
    <n v="99"/>
    <s v="Access &amp; Egress"/>
    <s v="Stircase top step flight is too high creating trip hazard at top of evaporator "/>
    <m/>
    <n v="1"/>
    <m/>
    <m/>
    <n v="1"/>
    <x v="1"/>
    <n v="4"/>
    <x v="1"/>
    <m/>
    <n v="1"/>
    <m/>
    <x v="9"/>
    <s v="Closed"/>
    <m/>
    <s v="Zone 2 - Evaporator Building"/>
    <x v="4"/>
  </r>
  <r>
    <n v="100"/>
    <s v="Electrical"/>
    <s v="Person holding the cable of extension board "/>
    <m/>
    <n v="1"/>
    <n v="10"/>
    <n v="1"/>
    <n v="1"/>
    <x v="0"/>
    <n v="3"/>
    <x v="0"/>
    <m/>
    <m/>
    <n v="1"/>
    <x v="9"/>
    <s v="Closed"/>
    <m/>
    <s v="Zone 2 - Evaporator Building"/>
    <x v="4"/>
  </r>
  <r>
    <n v="101"/>
    <s v="Material Management"/>
    <s v="Parallel work going on"/>
    <m/>
    <n v="1"/>
    <n v="22"/>
    <n v="4"/>
    <n v="1"/>
    <x v="0"/>
    <n v="3"/>
    <x v="0"/>
    <m/>
    <m/>
    <n v="1"/>
    <x v="0"/>
    <s v="Closed"/>
    <m/>
    <s v="Zone 1 - Chiller Building and Oil Injection"/>
    <x v="4"/>
  </r>
  <r>
    <n v="102"/>
    <s v="Lifting Operations"/>
    <s v="Boom barrier struck in between "/>
    <m/>
    <n v="1"/>
    <n v="35"/>
    <n v="6"/>
    <n v="1"/>
    <x v="0"/>
    <n v="3"/>
    <x v="0"/>
    <m/>
    <m/>
    <n v="1"/>
    <x v="0"/>
    <s v="Closed"/>
    <m/>
    <s v="Zone 3 - Piperack H,I &amp; K Section, Temp. Chiller"/>
    <x v="5"/>
  </r>
  <r>
    <n v="103"/>
    <s v="PPE"/>
    <s v="Helmet not worn by the farana operetor "/>
    <m/>
    <n v="1"/>
    <n v="13"/>
    <n v="2"/>
    <n v="1"/>
    <x v="0"/>
    <n v="3"/>
    <x v="0"/>
    <m/>
    <m/>
    <n v="1"/>
    <x v="0"/>
    <s v="Closed"/>
    <m/>
    <s v="Zone 3 - Piperack H,I &amp; K Section, Temp. Chiller"/>
    <x v="5"/>
  </r>
  <r>
    <n v="104"/>
    <s v="Electrical"/>
    <s v="Cable trays not secured and stored properly."/>
    <m/>
    <n v="1"/>
    <m/>
    <m/>
    <n v="1"/>
    <x v="0"/>
    <n v="3"/>
    <x v="0"/>
    <m/>
    <n v="1"/>
    <m/>
    <x v="6"/>
    <s v="Closed"/>
    <m/>
    <s v="Zone 1 - Chiller Building and Oil Injection"/>
    <x v="5"/>
  </r>
  <r>
    <n v="105"/>
    <s v="Barricading"/>
    <s v="Around 1 feet excavated pit is not barricated"/>
    <m/>
    <n v="1"/>
    <m/>
    <m/>
    <n v="1"/>
    <x v="0"/>
    <n v="3"/>
    <x v="0"/>
    <m/>
    <n v="1"/>
    <m/>
    <x v="0"/>
    <s v="Closed"/>
    <m/>
    <s v="Zone 3 - Piperack H,I &amp; K Section, Temp. Chiller"/>
    <x v="5"/>
  </r>
  <r>
    <n v="106"/>
    <s v="Work at Height"/>
    <s v="Person moving on narrow iron platform and multiple sariyas exposed to manpower near construction area"/>
    <m/>
    <n v="1"/>
    <n v="3"/>
    <n v="1"/>
    <n v="1"/>
    <x v="0"/>
    <n v="3"/>
    <x v="0"/>
    <m/>
    <m/>
    <n v="1"/>
    <x v="0"/>
    <s v="Closed"/>
    <m/>
    <s v="Zone 1 - Chiller Building and Oil Injection"/>
    <x v="5"/>
  </r>
  <r>
    <n v="107"/>
    <s v="Barricading"/>
    <s v="Area barrication was not respected .personel crossing barrication "/>
    <m/>
    <n v="1"/>
    <n v="8"/>
    <n v="3"/>
    <n v="1"/>
    <x v="0"/>
    <n v="3"/>
    <x v="0"/>
    <m/>
    <m/>
    <n v="1"/>
    <x v="1"/>
    <s v="Closed"/>
    <m/>
    <s v="Zone 1 - Chiller Building and Oil Injection"/>
    <x v="5"/>
  </r>
  <r>
    <n v="108"/>
    <s v="Material Management"/>
    <s v="Material stored at floor "/>
    <m/>
    <n v="1"/>
    <m/>
    <m/>
    <n v="1"/>
    <x v="0"/>
    <n v="3"/>
    <x v="0"/>
    <m/>
    <m/>
    <m/>
    <x v="1"/>
    <s v="Closed"/>
    <m/>
    <s v="Zone 1 - Chiller Building and Oil Injection"/>
    <x v="5"/>
  </r>
  <r>
    <n v="109"/>
    <s v="PPE"/>
    <s v="Ms pipe stored without stopper near chiller area "/>
    <m/>
    <n v="1"/>
    <m/>
    <m/>
    <n v="1"/>
    <x v="0"/>
    <n v="3"/>
    <x v="0"/>
    <m/>
    <m/>
    <m/>
    <x v="1"/>
    <s v="Closed"/>
    <m/>
    <s v="Zone 1 - Chiller Building and Oil Injection"/>
    <x v="5"/>
  </r>
  <r>
    <n v="110"/>
    <s v="Housekeeping"/>
    <s v="Housekeeping standards require improvement, as materials were found to be placed irregularly across the area."/>
    <m/>
    <n v="1"/>
    <m/>
    <m/>
    <n v="1"/>
    <x v="2"/>
    <n v="2"/>
    <x v="0"/>
    <m/>
    <m/>
    <m/>
    <x v="0"/>
    <s v="Closed"/>
    <m/>
    <s v="Zone 1 - Chiller Building and Oil Injection"/>
    <x v="5"/>
  </r>
  <r>
    <n v="111"/>
    <s v="Environment"/>
    <s v="Poor ventilation in the area causing High heat in the area "/>
    <m/>
    <n v="1"/>
    <m/>
    <m/>
    <n v="1"/>
    <x v="0"/>
    <n v="3"/>
    <x v="0"/>
    <m/>
    <n v="1"/>
    <m/>
    <x v="4"/>
    <s v="Closed"/>
    <m/>
    <s v="Zone 2 - Evaporator Building"/>
    <x v="5"/>
  </r>
  <r>
    <n v="112"/>
    <s v="PPE"/>
    <s v="Workmen observed using wornout gloves"/>
    <m/>
    <n v="1"/>
    <m/>
    <m/>
    <n v="1"/>
    <x v="2"/>
    <n v="2"/>
    <x v="0"/>
    <m/>
    <m/>
    <n v="1"/>
    <x v="0"/>
    <s v="Closed"/>
    <m/>
    <s v="Zone 1 - Chiller Building and Oil Injection"/>
    <x v="5"/>
  </r>
  <r>
    <n v="113"/>
    <s v="Environment"/>
    <s v="Dust across lines and instruments"/>
    <m/>
    <n v="1"/>
    <m/>
    <m/>
    <n v="1"/>
    <x v="2"/>
    <n v="2"/>
    <x v="0"/>
    <m/>
    <n v="1"/>
    <m/>
    <x v="4"/>
    <s v="Closed"/>
    <s v="Manoj"/>
    <s v="Zone 1 - Chiller Building and Oil Injection"/>
    <x v="5"/>
  </r>
  <r>
    <n v="114"/>
    <s v="Material Management"/>
    <s v="Workmen observed using phonewhile walking "/>
    <m/>
    <n v="1"/>
    <n v="16"/>
    <n v="5"/>
    <n v="1"/>
    <x v="0"/>
    <n v="3"/>
    <x v="0"/>
    <m/>
    <m/>
    <n v="1"/>
    <x v="0"/>
    <s v="Closed"/>
    <m/>
    <s v="Zone 1 - Chiller Building and Oil Injection"/>
    <x v="5"/>
  </r>
  <r>
    <n v="115"/>
    <s v="PPE"/>
    <s v="Person observed without ppe in ppe zone "/>
    <m/>
    <n v="1"/>
    <n v="17"/>
    <n v="3"/>
    <n v="1"/>
    <x v="0"/>
    <n v="3"/>
    <x v="0"/>
    <m/>
    <m/>
    <n v="1"/>
    <x v="12"/>
    <s v="Closed"/>
    <m/>
    <s v="Zone 1 - Chiller Building and Oil Injection"/>
    <x v="6"/>
  </r>
  <r>
    <n v="116"/>
    <s v="Sharp edges"/>
    <s v="Sharp edgas of the GI sheet needs to be covered"/>
    <m/>
    <n v="1"/>
    <m/>
    <m/>
    <n v="1"/>
    <x v="1"/>
    <n v="4"/>
    <x v="1"/>
    <m/>
    <n v="1"/>
    <m/>
    <x v="0"/>
    <s v="Closed"/>
    <m/>
    <s v="Zone 1 - Chiller Building and Oil Injection"/>
    <x v="6"/>
  </r>
  <r>
    <n v="117"/>
    <s v="Electrical"/>
    <s v="Tape jointed cable "/>
    <m/>
    <n v="1"/>
    <m/>
    <m/>
    <n v="1"/>
    <x v="0"/>
    <n v="3"/>
    <x v="0"/>
    <m/>
    <n v="1"/>
    <m/>
    <x v="1"/>
    <s v="Closed"/>
    <m/>
    <s v="Zone 1 - Chiller Building and Oil Injection"/>
    <x v="6"/>
  </r>
  <r>
    <n v="118"/>
    <s v="Work at Height"/>
    <s v="Use of non standard table for work at height of around 1 meter"/>
    <m/>
    <n v="1"/>
    <n v="15"/>
    <n v="1"/>
    <n v="1"/>
    <x v="0"/>
    <n v="3"/>
    <x v="0"/>
    <m/>
    <m/>
    <n v="1"/>
    <x v="0"/>
    <s v="Closed"/>
    <m/>
    <s v="Zone 3 - Contractor Yard and Periphery"/>
    <x v="6"/>
  </r>
  <r>
    <n v="119"/>
    <s v="Access &amp; Egress"/>
    <s v="Trip hazard due to pipe on pathway. Also the drain to be covered with planks as people are moving over the drain "/>
    <m/>
    <n v="1"/>
    <m/>
    <m/>
    <n v="1"/>
    <x v="4"/>
    <n v="1"/>
    <x v="0"/>
    <m/>
    <n v="1"/>
    <m/>
    <x v="0"/>
    <s v="Closed"/>
    <m/>
    <s v="Zone 3 - Contractor Yard and Periphery"/>
    <x v="6"/>
  </r>
  <r>
    <n v="120"/>
    <s v="Material Management"/>
    <s v="Flammable materials (cartons, plastic coverings) not properly protected while welding was performed nearby "/>
    <m/>
    <n v="1"/>
    <m/>
    <m/>
    <n v="1"/>
    <x v="0"/>
    <n v="3"/>
    <x v="0"/>
    <m/>
    <n v="1"/>
    <m/>
    <x v="7"/>
    <s v="Closed"/>
    <m/>
    <s v="Zone 3 - Contractor Yard and Periphery"/>
    <x v="6"/>
  </r>
  <r>
    <n v="121"/>
    <s v="Material Management"/>
    <s v="Materials kept randomly"/>
    <n v="1"/>
    <m/>
    <m/>
    <m/>
    <n v="1"/>
    <x v="4"/>
    <n v="1"/>
    <x v="0"/>
    <m/>
    <n v="1"/>
    <m/>
    <x v="7"/>
    <s v="Closed"/>
    <m/>
    <s v="Zone 2 - Evaporator Building"/>
    <x v="6"/>
  </r>
  <r>
    <n v="122"/>
    <s v="Material Management"/>
    <s v="Civil materials stored in safe assembly point 2"/>
    <n v="1"/>
    <m/>
    <m/>
    <m/>
    <n v="1"/>
    <x v="2"/>
    <n v="2"/>
    <x v="0"/>
    <m/>
    <n v="1"/>
    <m/>
    <x v="8"/>
    <s v="Closed"/>
    <m/>
    <s v="Zone 4 - Oil Blending, Panel Room, Refrigeration Building &amp; Roof Areas"/>
    <x v="6"/>
  </r>
  <r>
    <n v="123"/>
    <s v="PPE"/>
    <s v="PPE was being followed but overall 5s still needs improvement for hazards elimination "/>
    <m/>
    <n v="1"/>
    <m/>
    <m/>
    <n v="1"/>
    <x v="4"/>
    <n v="1"/>
    <x v="0"/>
    <m/>
    <n v="1"/>
    <m/>
    <x v="1"/>
    <s v="Closed"/>
    <m/>
    <s v="Zone 1 - Chiller Building and Oil Injection"/>
    <x v="6"/>
  </r>
  <r>
    <n v="124"/>
    <s v="Housekeeping"/>
    <s v="Material was improperly stored under the staircase and 5S was not maintained."/>
    <n v="1"/>
    <m/>
    <m/>
    <m/>
    <n v="1"/>
    <x v="0"/>
    <n v="3"/>
    <x v="0"/>
    <m/>
    <n v="1"/>
    <m/>
    <x v="4"/>
    <s v="Closed"/>
    <m/>
    <s v="Zone 4 - Oil Blending, Panel Room, Refrigeration Building &amp; Roof Areas"/>
    <x v="6"/>
  </r>
  <r>
    <n v="125"/>
    <s v="Housekeeping"/>
    <s v="After completion of civil work, bricks and blocks were not removed from the work area. Poor housekeeping and 5S not maintained."/>
    <m/>
    <n v="1"/>
    <m/>
    <m/>
    <n v="1"/>
    <x v="0"/>
    <n v="3"/>
    <x v="0"/>
    <m/>
    <n v="1"/>
    <m/>
    <x v="8"/>
    <s v="Closed"/>
    <m/>
    <s v="Zone 1 - Chiller Building and Oil Injection"/>
    <x v="6"/>
  </r>
  <r>
    <n v="126"/>
    <s v="Electrical"/>
    <s v="Obstructive material found in the MCC panel area"/>
    <m/>
    <n v="1"/>
    <m/>
    <m/>
    <n v="1"/>
    <x v="2"/>
    <n v="2"/>
    <x v="0"/>
    <m/>
    <n v="1"/>
    <m/>
    <x v="5"/>
    <s v="Closed"/>
    <m/>
    <s v="Zone 1 - Chiller Building and Oil Injection"/>
    <x v="6"/>
  </r>
  <r>
    <n v="127"/>
    <s v="Access &amp; Egress"/>
    <s v="Water drain inside the chiller building is unprotected and risk of trip and fall"/>
    <m/>
    <n v="1"/>
    <m/>
    <m/>
    <n v="1"/>
    <x v="0"/>
    <n v="3"/>
    <x v="0"/>
    <m/>
    <n v="1"/>
    <m/>
    <x v="0"/>
    <s v="Closed"/>
    <m/>
    <s v="Zone 1 - Chiller Building and Oil Injection"/>
    <x v="6"/>
  </r>
  <r>
    <n v="128"/>
    <s v="Housekeeping"/>
    <s v="Poor 5S, Shuttering material not stacked properly "/>
    <m/>
    <n v="1"/>
    <m/>
    <m/>
    <n v="1"/>
    <x v="2"/>
    <n v="2"/>
    <x v="0"/>
    <m/>
    <n v="1"/>
    <m/>
    <x v="0"/>
    <s v="Closed"/>
    <m/>
    <s v="Zone 1 - Chiller Building and Oil Injection"/>
    <x v="6"/>
  </r>
  <r>
    <n v="129"/>
    <s v="PPE"/>
    <s v="Hand gloves not used"/>
    <m/>
    <n v="1"/>
    <n v="16"/>
    <n v="1"/>
    <n v="1"/>
    <x v="4"/>
    <n v="1"/>
    <x v="0"/>
    <n v="1"/>
    <m/>
    <n v="1"/>
    <x v="0"/>
    <s v="Closed"/>
    <m/>
    <s v="Zone 1 - Chiller Building and Oil Injection"/>
    <x v="6"/>
  </r>
  <r>
    <n v="130"/>
    <s v="Work at Height"/>
    <s v="Worker found working on ladder"/>
    <m/>
    <n v="1"/>
    <n v="6"/>
    <n v="1"/>
    <n v="1"/>
    <x v="0"/>
    <n v="3"/>
    <x v="0"/>
    <m/>
    <m/>
    <n v="1"/>
    <x v="1"/>
    <s v="Closed"/>
    <m/>
    <s v="Zone 3 - Piperack H,I &amp; K Section, Temp. Chiller"/>
    <x v="6"/>
  </r>
  <r>
    <n v="131"/>
    <s v="Material Management"/>
    <s v="Pipe rack material stored in improper way"/>
    <m/>
    <n v="1"/>
    <m/>
    <m/>
    <n v="1"/>
    <x v="0"/>
    <n v="3"/>
    <x v="0"/>
    <m/>
    <n v="1"/>
    <m/>
    <x v="0"/>
    <s v="Closed"/>
    <m/>
    <s v="Zone 1 - Chiller Building and Oil Injection"/>
    <x v="6"/>
  </r>
  <r>
    <n v="132"/>
    <s v="Work at Height"/>
    <s v="Improper platform at the trench at entry of building"/>
    <m/>
    <n v="1"/>
    <m/>
    <m/>
    <n v="1"/>
    <x v="2"/>
    <n v="2"/>
    <x v="0"/>
    <m/>
    <n v="1"/>
    <m/>
    <x v="9"/>
    <s v="Closed"/>
    <m/>
    <s v="Zone 2 - Evaporator Building"/>
    <x v="6"/>
  </r>
  <r>
    <n v="133"/>
    <s v="Electrical"/>
    <s v="Cables knotted on pole"/>
    <m/>
    <n v="1"/>
    <m/>
    <m/>
    <n v="1"/>
    <x v="0"/>
    <n v="3"/>
    <x v="0"/>
    <m/>
    <n v="1"/>
    <m/>
    <x v="9"/>
    <s v="Closed"/>
    <m/>
    <s v="Zone 2 - Evaporator Building"/>
    <x v="7"/>
  </r>
  <r>
    <n v="134"/>
    <s v="PPE"/>
    <s v="Dust mask not used by all"/>
    <m/>
    <n v="1"/>
    <n v="10"/>
    <n v="2"/>
    <n v="2"/>
    <x v="4"/>
    <n v="2"/>
    <x v="0"/>
    <n v="1"/>
    <m/>
    <n v="1"/>
    <x v="9"/>
    <s v="Closed"/>
    <m/>
    <s v="Zone 2 - Evaporator Building"/>
    <x v="7"/>
  </r>
  <r>
    <n v="135"/>
    <s v="Material Management"/>
    <s v="Rope was kept on the cooling tower roof,2.tractor use for shifting the cold well hot well"/>
    <m/>
    <n v="1"/>
    <m/>
    <m/>
    <n v="1"/>
    <x v="0"/>
    <n v="3"/>
    <x v="0"/>
    <m/>
    <n v="1"/>
    <m/>
    <x v="1"/>
    <s v="Closed"/>
    <m/>
    <s v="Zone 3 - Piperack H,I &amp; K Section, Temp. Chiller"/>
    <x v="7"/>
  </r>
  <r>
    <n v="136"/>
    <s v="Housekeeping"/>
    <s v="Excavation found without Hard barricade, housekeeping was not adequate in the area "/>
    <m/>
    <n v="1"/>
    <n v="7"/>
    <n v="3"/>
    <n v="1"/>
    <x v="0"/>
    <n v="3"/>
    <x v="0"/>
    <m/>
    <n v="1"/>
    <m/>
    <x v="0"/>
    <s v="Closed"/>
    <m/>
    <s v="Zone 1 - Chiller Building and Oil Injection"/>
    <x v="7"/>
  </r>
  <r>
    <n v="137"/>
    <s v="Barricading"/>
    <s v="Welding activity being done on cooling tower for fixing toe guards and area below is not barricaded."/>
    <m/>
    <n v="1"/>
    <m/>
    <m/>
    <n v="1"/>
    <x v="2"/>
    <n v="2"/>
    <x v="0"/>
    <m/>
    <m/>
    <n v="1"/>
    <x v="1"/>
    <s v="Closed"/>
    <m/>
    <s v="Zone 3 - Piperack H,I &amp; K Section, Temp. Chiller"/>
    <x v="7"/>
  </r>
  <r>
    <n v="138"/>
    <s v="Work at Height"/>
    <s v="Access platform / stair to evaporator building is bent or deformed "/>
    <m/>
    <n v="1"/>
    <m/>
    <m/>
    <n v="1"/>
    <x v="0"/>
    <n v="3"/>
    <x v="0"/>
    <m/>
    <n v="1"/>
    <m/>
    <x v="9"/>
    <s v="Closed"/>
    <m/>
    <s v="Zone 2 - Evaporator Building"/>
    <x v="7"/>
  </r>
  <r>
    <n v="139"/>
    <s v="Electrical"/>
    <s v="ELCB of the distribution board was found not working, posing a serious electrical safety hazard."/>
    <m/>
    <n v="1"/>
    <m/>
    <m/>
    <n v="1"/>
    <x v="1"/>
    <n v="4"/>
    <x v="1"/>
    <m/>
    <n v="1"/>
    <m/>
    <x v="9"/>
    <s v="Closed"/>
    <m/>
    <s v="Zone 2 - Evaporator Building"/>
    <x v="7"/>
  </r>
  <r>
    <n v="140"/>
    <s v="Material Management"/>
    <s v="While moving the Hot well/cold well tank, the tank shifted while moving "/>
    <m/>
    <n v="1"/>
    <n v="30"/>
    <n v="4"/>
    <n v="1"/>
    <x v="0"/>
    <n v="3"/>
    <x v="0"/>
    <m/>
    <m/>
    <m/>
    <x v="1"/>
    <s v="Closed"/>
    <m/>
    <s v="Zone 1 - Chiller Building and Oil Injection"/>
    <x v="7"/>
  </r>
  <r>
    <n v="141"/>
    <s v="Work at Height"/>
    <s v="Scaffolding (height &gt;6 m) approved with outriggers on just two sides. "/>
    <m/>
    <n v="1"/>
    <n v="0"/>
    <n v="2"/>
    <n v="1"/>
    <x v="1"/>
    <n v="4"/>
    <x v="1"/>
    <m/>
    <n v="1"/>
    <m/>
    <x v="9"/>
    <s v="Closed"/>
    <m/>
    <s v="Zone 2 - Evaporator Building"/>
    <x v="7"/>
  </r>
  <r>
    <n v="142"/>
    <s v="Tools &amp; Equipment"/>
    <s v="Workmen observed doing rebar cutting with angle grinder work on floor without workbanch &amp; PTW"/>
    <m/>
    <n v="1"/>
    <n v="15"/>
    <n v="1"/>
    <n v="1"/>
    <x v="1"/>
    <n v="4"/>
    <x v="0"/>
    <m/>
    <m/>
    <n v="1"/>
    <x v="0"/>
    <s v="Closed"/>
    <m/>
    <s v="Zone 1 - Chiller Building and Oil Injection"/>
    <x v="7"/>
  </r>
  <r>
    <n v="143"/>
    <s v="PTW &amp; Supervision"/>
    <s v="Work done without supervision "/>
    <m/>
    <n v="1"/>
    <m/>
    <m/>
    <n v="1"/>
    <x v="0"/>
    <n v="3"/>
    <x v="0"/>
    <m/>
    <m/>
    <n v="1"/>
    <x v="1"/>
    <s v="Closed"/>
    <m/>
    <s v="Zone 3 - Piperack H,I &amp; K Section, Temp. Chiller"/>
    <x v="7"/>
  </r>
  <r>
    <n v="144"/>
    <s v="Fire Safety"/>
    <s v="Fire extinguisher kept on ground without stand"/>
    <m/>
    <n v="1"/>
    <m/>
    <m/>
    <n v="1"/>
    <x v="0"/>
    <n v="3"/>
    <x v="0"/>
    <m/>
    <n v="1"/>
    <m/>
    <x v="9"/>
    <s v="Closed"/>
    <m/>
    <s v="Zone 2 - Evaporator Building"/>
    <x v="7"/>
  </r>
  <r>
    <n v="145"/>
    <s v="Electrical"/>
    <s v="Distribution board was found in use without ELCB protection."/>
    <m/>
    <n v="1"/>
    <m/>
    <m/>
    <n v="1"/>
    <x v="1"/>
    <n v="4"/>
    <x v="1"/>
    <m/>
    <n v="1"/>
    <m/>
    <x v="8"/>
    <s v="Closed"/>
    <m/>
    <s v="Zone 2 - Evaporator Building"/>
    <x v="7"/>
  </r>
  <r>
    <n v="146"/>
    <s v="Work at Height"/>
    <s v="Person working on ladder inside chiller room"/>
    <m/>
    <n v="1"/>
    <n v="8"/>
    <n v="1"/>
    <n v="1"/>
    <x v="2"/>
    <n v="2"/>
    <x v="0"/>
    <m/>
    <n v="1"/>
    <m/>
    <x v="7"/>
    <s v="Closed"/>
    <m/>
    <s v="Zone 2 - Evaporator Building"/>
    <x v="7"/>
  </r>
  <r>
    <n v="147"/>
    <s v="PPE"/>
    <s v="Full PPE compliance"/>
    <m/>
    <n v="1"/>
    <n v="8"/>
    <m/>
    <m/>
    <x v="5"/>
    <n v="0"/>
    <x v="0"/>
    <m/>
    <m/>
    <m/>
    <x v="9"/>
    <s v="Closed"/>
    <m/>
    <s v="Zone 2 - Evaporator Building"/>
    <x v="7"/>
  </r>
  <r>
    <n v="148"/>
    <s v="Housekeeping"/>
    <s v="Housekeeping was not properly maintained in the evaporator building"/>
    <m/>
    <n v="1"/>
    <m/>
    <m/>
    <n v="1"/>
    <x v="0"/>
    <n v="3"/>
    <x v="0"/>
    <m/>
    <n v="1"/>
    <m/>
    <x v="9"/>
    <s v="Closed"/>
    <m/>
    <s v="Zone 2 - Evaporator Building"/>
    <x v="7"/>
  </r>
  <r>
    <n v="149"/>
    <s v="Sharp edges"/>
    <s v="Sharp edges of temporary chiller shed not protected "/>
    <m/>
    <n v="1"/>
    <m/>
    <m/>
    <n v="1"/>
    <x v="2"/>
    <n v="2"/>
    <x v="0"/>
    <m/>
    <n v="1"/>
    <m/>
    <x v="1"/>
    <s v="Closed"/>
    <m/>
    <s v="Zone 1 - Chiller Building and Oil Injection"/>
    <x v="7"/>
  </r>
  <r>
    <n v="150"/>
    <s v="Electrical"/>
    <s v="No rubber mat used in front of electrical panel"/>
    <m/>
    <n v="1"/>
    <m/>
    <m/>
    <n v="1"/>
    <x v="1"/>
    <n v="4"/>
    <x v="1"/>
    <m/>
    <n v="1"/>
    <m/>
    <x v="9"/>
    <s v="Closed"/>
    <m/>
    <s v="Zone 2 - Evaporator Building"/>
    <x v="7"/>
  </r>
  <r>
    <n v="151"/>
    <s v="Work at Height"/>
    <s v="Scaffolding observed erecting on wooden planks "/>
    <m/>
    <n v="1"/>
    <n v="3"/>
    <n v="8"/>
    <n v="1"/>
    <x v="0"/>
    <n v="3"/>
    <x v="0"/>
    <m/>
    <m/>
    <n v="1"/>
    <x v="0"/>
    <s v="Closed"/>
    <m/>
    <s v="Zone 3 - Contractor Yard and Periphery"/>
    <x v="7"/>
  </r>
  <r>
    <n v="152"/>
    <s v="PPE"/>
    <s v="Person observed using wornout gloves "/>
    <m/>
    <n v="1"/>
    <n v="8"/>
    <n v="1"/>
    <n v="1"/>
    <x v="0"/>
    <n v="3"/>
    <x v="0"/>
    <m/>
    <m/>
    <n v="1"/>
    <x v="0"/>
    <s v="Closed"/>
    <m/>
    <s v="Zone 3 - Contractor Yard and Periphery"/>
    <x v="7"/>
  </r>
  <r>
    <n v="153"/>
    <s v="Sharp edges"/>
    <s v="Sharp edges of the GI sheet used for pipe rack "/>
    <m/>
    <n v="1"/>
    <m/>
    <m/>
    <n v="1"/>
    <x v="0"/>
    <n v="3"/>
    <x v="0"/>
    <m/>
    <n v="1"/>
    <m/>
    <x v="10"/>
    <s v="Pending"/>
    <m/>
    <s v="Zone 3 - Contractor Yard and Periphery"/>
    <x v="7"/>
  </r>
  <r>
    <n v="154"/>
    <s v="Sharp edges"/>
    <s v="Sharp edges of Pipes stored in pipe rack needs to be covered"/>
    <m/>
    <n v="1"/>
    <m/>
    <m/>
    <n v="1"/>
    <x v="0"/>
    <n v="3"/>
    <x v="0"/>
    <m/>
    <n v="1"/>
    <m/>
    <x v="7"/>
    <s v="Closed"/>
    <m/>
    <s v="Zone 2 - Evaporator Building"/>
    <x v="8"/>
  </r>
  <r>
    <n v="155"/>
    <s v="Sharp edges"/>
    <s v="Sharp edges of the sheet used for Barrication behind container"/>
    <m/>
    <n v="1"/>
    <m/>
    <m/>
    <n v="1"/>
    <x v="0"/>
    <n v="3"/>
    <x v="0"/>
    <m/>
    <n v="1"/>
    <m/>
    <x v="7"/>
    <s v="Closed"/>
    <m/>
    <s v="Zone 1 - Chiller Building and Oil Injection"/>
    <x v="8"/>
  </r>
  <r>
    <n v="156"/>
    <s v="Barricading"/>
    <s v="Sharp material(rebars) kept and people standing beside it, risk of injury "/>
    <m/>
    <n v="1"/>
    <m/>
    <m/>
    <n v="1"/>
    <x v="4"/>
    <n v="1"/>
    <x v="0"/>
    <m/>
    <n v="1"/>
    <m/>
    <x v="9"/>
    <s v="Closed"/>
    <m/>
    <s v="Zone 2 - Evaporator Building"/>
    <x v="8"/>
  </r>
  <r>
    <n v="157"/>
    <s v="Housekeeping"/>
    <s v="Materials stored under the staircase, creating obstruction and poor housekeeping."/>
    <m/>
    <n v="1"/>
    <m/>
    <m/>
    <n v="1"/>
    <x v="2"/>
    <n v="2"/>
    <x v="0"/>
    <m/>
    <n v="1"/>
    <m/>
    <x v="4"/>
    <s v="Closed"/>
    <m/>
    <s v="Zone 3 - Contractor Yard and Periphery"/>
    <x v="8"/>
  </r>
  <r>
    <n v="158"/>
    <s v="Material Management"/>
    <s v="Unwanted rebars kept at work site"/>
    <m/>
    <n v="1"/>
    <m/>
    <m/>
    <n v="1"/>
    <x v="2"/>
    <n v="2"/>
    <x v="0"/>
    <m/>
    <n v="1"/>
    <m/>
    <x v="9"/>
    <s v="Closed"/>
    <m/>
    <s v="Zone 1 - Chiller Building and Oil Injection"/>
    <x v="8"/>
  </r>
  <r>
    <n v="159"/>
    <s v="PPE"/>
    <s v="PPE Jacket highlighted not wearing. Feedback given. Plus welding kit and iron blocks restricitng access near washroom area in pota cabin  "/>
    <m/>
    <n v="1"/>
    <n v="3"/>
    <n v="2"/>
    <n v="1"/>
    <x v="2"/>
    <n v="2"/>
    <x v="0"/>
    <m/>
    <m/>
    <n v="1"/>
    <x v="1"/>
    <s v="Closed"/>
    <m/>
    <s v="Zone 3 - Piperack H,I &amp; K Section, Temp. Chiller"/>
    <x v="8"/>
  </r>
  <r>
    <n v="160"/>
    <s v="Material Management"/>
    <s v="No fire extinguisher kept at site ( lot of combustible material stored in the area)"/>
    <m/>
    <n v="1"/>
    <m/>
    <m/>
    <n v="1"/>
    <x v="0"/>
    <n v="3"/>
    <x v="0"/>
    <m/>
    <n v="1"/>
    <m/>
    <x v="4"/>
    <s v="Closed"/>
    <m/>
    <s v="Zone 3 - Piperack H,I &amp; K Section, Temp. Chiller"/>
    <x v="8"/>
  </r>
  <r>
    <n v="161"/>
    <s v="PPE"/>
    <s v="Improper tool,PPE not used by team,"/>
    <m/>
    <n v="1"/>
    <m/>
    <m/>
    <n v="1"/>
    <x v="0"/>
    <n v="3"/>
    <x v="0"/>
    <m/>
    <m/>
    <n v="1"/>
    <x v="1"/>
    <s v="Closed"/>
    <m/>
    <s v="Zone 3 - Piperack H,I &amp; K Section, Temp. Chiller"/>
    <x v="8"/>
  </r>
  <r>
    <n v="162"/>
    <s v="Barricading"/>
    <s v="Pipe rack material kept near the walkway without barrication near cooling tower"/>
    <m/>
    <n v="1"/>
    <m/>
    <m/>
    <n v="1"/>
    <x v="2"/>
    <n v="2"/>
    <x v="0"/>
    <m/>
    <n v="1"/>
    <m/>
    <x v="0"/>
    <s v="Closed"/>
    <m/>
    <s v="Zone 3 - Piperack H,I &amp; K Section, Temp. Chiller"/>
    <x v="8"/>
  </r>
  <r>
    <n v="163"/>
    <s v="PPE"/>
    <s v="Goggles not getting used during welding and no fall arrestor as the gap in railing is high and all working at the edge of railing"/>
    <m/>
    <n v="1"/>
    <n v="2"/>
    <n v="2"/>
    <n v="1"/>
    <x v="0"/>
    <n v="3"/>
    <x v="0"/>
    <m/>
    <m/>
    <n v="1"/>
    <x v="7"/>
    <s v="Closed"/>
    <m/>
    <s v="Zone 2 - Evaporator Building"/>
    <x v="8"/>
  </r>
  <r>
    <n v="164"/>
    <s v="Housekeeping"/>
    <s v="Cable trays and scrap materials found stored improperly; 5S not maintained."/>
    <m/>
    <n v="1"/>
    <m/>
    <m/>
    <n v="1"/>
    <x v="2"/>
    <n v="2"/>
    <x v="0"/>
    <m/>
    <n v="1"/>
    <m/>
    <x v="2"/>
    <s v="Closed"/>
    <m/>
    <s v="Zone 1 - Chiller Building and Oil Injection"/>
    <x v="8"/>
  </r>
  <r>
    <n v="165"/>
    <s v="Unsafe Behavior"/>
    <s v="Worker using mobile phone inside the work area"/>
    <m/>
    <n v="1"/>
    <n v="1"/>
    <n v="9"/>
    <n v="1"/>
    <x v="4"/>
    <n v="1"/>
    <x v="0"/>
    <m/>
    <m/>
    <n v="1"/>
    <x v="10"/>
    <s v="Closed"/>
    <m/>
    <s v="Zone 2 - Evaporator Building"/>
    <x v="8"/>
  </r>
  <r>
    <n v="166"/>
    <s v="Material Management"/>
    <s v="Workmen observed using Stone instead of hammer"/>
    <m/>
    <n v="1"/>
    <n v="2"/>
    <n v="1"/>
    <n v="1"/>
    <x v="0"/>
    <n v="3"/>
    <x v="0"/>
    <m/>
    <m/>
    <n v="1"/>
    <x v="5"/>
    <s v="Closed"/>
    <m/>
    <s v="Zone 1 - Chiller Building and Oil Injection"/>
    <x v="8"/>
  </r>
  <r>
    <n v="167"/>
    <s v="Electrical"/>
    <s v="Electrical board lying on floor"/>
    <m/>
    <n v="1"/>
    <n v="3"/>
    <n v="1"/>
    <n v="1"/>
    <x v="0"/>
    <n v="3"/>
    <x v="0"/>
    <m/>
    <m/>
    <n v="1"/>
    <x v="7"/>
    <s v="Closed"/>
    <m/>
    <s v="Zone 2 - Evaporator Building"/>
    <x v="8"/>
  </r>
  <r>
    <n v="168"/>
    <s v="Material Management"/>
    <s v="Refrigrent cylinders stored in an improper location."/>
    <m/>
    <n v="1"/>
    <m/>
    <m/>
    <n v="1"/>
    <x v="0"/>
    <n v="3"/>
    <x v="0"/>
    <m/>
    <n v="1"/>
    <m/>
    <x v="1"/>
    <s v="Closed"/>
    <m/>
    <s v="Zone 3 - Piperack H,I &amp; K Section, Temp. Chiller"/>
    <x v="8"/>
  </r>
  <r>
    <n v="169"/>
    <s v="Barricading"/>
    <s v="Hand railing and hard barricades removed at entry of evaporator building for shifting platform material inside building "/>
    <m/>
    <n v="1"/>
    <m/>
    <m/>
    <n v="1"/>
    <x v="1"/>
    <n v="4"/>
    <x v="1"/>
    <m/>
    <n v="1"/>
    <m/>
    <x v="10"/>
    <s v="Closed"/>
    <m/>
    <s v="Zone 2 - Evaporator Building"/>
    <x v="8"/>
  </r>
  <r>
    <n v="170"/>
    <s v="Sharp edges"/>
    <s v="Sharp edges of the Gi sheet behind Colling tower"/>
    <m/>
    <n v="1"/>
    <m/>
    <m/>
    <n v="1"/>
    <x v="0"/>
    <n v="3"/>
    <x v="0"/>
    <m/>
    <n v="1"/>
    <m/>
    <x v="1"/>
    <s v="Closed"/>
    <m/>
    <s v="Zone 3 - Piperack H,I &amp; K Section, Temp. Chiller"/>
    <x v="8"/>
  </r>
  <r>
    <n v="171"/>
    <s v="Access &amp; Egress"/>
    <s v="Drain left unprotected, creating trip and fall hazard "/>
    <m/>
    <n v="1"/>
    <m/>
    <m/>
    <n v="1"/>
    <x v="0"/>
    <n v="3"/>
    <x v="0"/>
    <m/>
    <n v="1"/>
    <m/>
    <x v="9"/>
    <s v="Closed"/>
    <m/>
    <s v="Zone 2 - Evaporator Building"/>
    <x v="8"/>
  </r>
  <r>
    <n v="172"/>
    <s v="Access &amp; Egress"/>
    <s v="Bundwall provided for temporary chiller elctrical pannel behind cooling tower creating Obstruction in pathway "/>
    <m/>
    <n v="1"/>
    <m/>
    <m/>
    <n v="1"/>
    <x v="2"/>
    <n v="2"/>
    <x v="0"/>
    <m/>
    <n v="1"/>
    <m/>
    <x v="1"/>
    <s v="Closed"/>
    <m/>
    <s v="Zone 3 - Piperack H,I &amp; K Section, Temp. Chiller"/>
    <x v="8"/>
  </r>
  <r>
    <n v="173"/>
    <s v="Electrical"/>
    <s v="Materials improperly kept in the electrical panel room"/>
    <m/>
    <n v="1"/>
    <m/>
    <m/>
    <n v="1"/>
    <x v="2"/>
    <n v="2"/>
    <x v="0"/>
    <m/>
    <n v="1"/>
    <m/>
    <x v="5"/>
    <s v="Closed"/>
    <m/>
    <s v="Zone 1 - Chiller Building and Oil Injection"/>
    <x v="8"/>
  </r>
  <r>
    <n v="174"/>
    <s v="Sharp edges"/>
    <s v="Sharp edges in the railing going on the platform"/>
    <m/>
    <n v="1"/>
    <m/>
    <m/>
    <n v="1"/>
    <x v="2"/>
    <n v="2"/>
    <x v="0"/>
    <m/>
    <n v="1"/>
    <m/>
    <x v="2"/>
    <s v="Pending"/>
    <m/>
    <s v="Zone 1 - Chiller Building and Oil Injection"/>
    <x v="8"/>
  </r>
  <r>
    <n v="175"/>
    <s v="Work at Height"/>
    <s v="Railing required for Platform "/>
    <m/>
    <n v="1"/>
    <m/>
    <m/>
    <n v="1"/>
    <x v="2"/>
    <n v="2"/>
    <x v="0"/>
    <m/>
    <n v="1"/>
    <m/>
    <x v="1"/>
    <s v="Closed"/>
    <m/>
    <s v="Zone 3 - Piperack H,I &amp; K Section, Temp. Chiller"/>
    <x v="8"/>
  </r>
  <r>
    <n v="176"/>
    <s v="Housekeeping"/>
    <s v="Untidy area near contractor yard"/>
    <m/>
    <n v="1"/>
    <m/>
    <m/>
    <n v="1"/>
    <x v="4"/>
    <n v="1"/>
    <x v="0"/>
    <m/>
    <n v="1"/>
    <m/>
    <x v="7"/>
    <s v="Closed"/>
    <m/>
    <s v="Zone 3 - Piperack H,I &amp; K Section, Temp. Chiller"/>
    <x v="8"/>
  </r>
  <r>
    <n v="177"/>
    <s v="Electrical"/>
    <s v="Cables splices-Tape used "/>
    <m/>
    <n v="1"/>
    <m/>
    <m/>
    <n v="1"/>
    <x v="0"/>
    <n v="3"/>
    <x v="0"/>
    <m/>
    <n v="1"/>
    <m/>
    <x v="7"/>
    <s v="Closed"/>
    <m/>
    <s v="Zone 3 - Contractor Yard and Periphery"/>
    <x v="9"/>
  </r>
  <r>
    <n v="178"/>
    <s v="Barricading"/>
    <s v="No barricade in Evaporator area"/>
    <m/>
    <n v="1"/>
    <m/>
    <m/>
    <n v="1"/>
    <x v="0"/>
    <n v="3"/>
    <x v="0"/>
    <m/>
    <n v="1"/>
    <m/>
    <x v="9"/>
    <s v="Closed"/>
    <m/>
    <s v="Zone 2 - Evaporator Building"/>
    <x v="9"/>
  </r>
  <r>
    <n v="179"/>
    <s v="PPE"/>
    <s v="People were seating without helmet"/>
    <m/>
    <n v="1"/>
    <n v="15"/>
    <n v="2"/>
    <n v="1"/>
    <x v="4"/>
    <n v="1"/>
    <x v="0"/>
    <n v="1"/>
    <m/>
    <n v="1"/>
    <x v="1"/>
    <s v="Closed"/>
    <m/>
    <s v="Zone 1 - Chiller Building and Oil Injection"/>
    <x v="9"/>
  </r>
  <r>
    <n v="180"/>
    <s v="Fire Safety"/>
    <s v="Suppression bottle have low pressure, Potential to have Fire hazard"/>
    <m/>
    <n v="1"/>
    <m/>
    <m/>
    <n v="1"/>
    <x v="1"/>
    <n v="4"/>
    <x v="1"/>
    <m/>
    <n v="1"/>
    <m/>
    <x v="4"/>
    <s v="Pending"/>
    <s v="Manoj"/>
    <s v="Zone 1 - Chiller Building and Oil Injection"/>
    <x v="9"/>
  </r>
  <r>
    <n v="181"/>
    <s v="Electrical"/>
    <s v="Refrigerator cylinders not removed from the site,cable tray not removed from the site, handrail not installed at oil injection unloading dock."/>
    <m/>
    <n v="1"/>
    <n v="6"/>
    <n v="3"/>
    <n v="1"/>
    <x v="0"/>
    <n v="3"/>
    <x v="0"/>
    <m/>
    <n v="1"/>
    <m/>
    <x v="4"/>
    <s v="Pending"/>
    <s v="Ajay"/>
    <s v="Zone 2 - Evaporator Building"/>
    <x v="9"/>
  </r>
  <r>
    <n v="182"/>
    <s v="Electrical"/>
    <s v="Manual work of unloading heavy bricks without using trolly, slip hazard, electrical wire at low height "/>
    <m/>
    <n v="1"/>
    <m/>
    <m/>
    <n v="1"/>
    <x v="1"/>
    <n v="4"/>
    <x v="1"/>
    <m/>
    <n v="1"/>
    <m/>
    <x v="0"/>
    <s v="Closed"/>
    <m/>
    <s v="Zone 1 - Chiller Building and Oil Injection"/>
    <x v="9"/>
  </r>
  <r>
    <n v="183"/>
    <s v="PPE"/>
    <s v="PPE was worn out glove and reflected jacket not wore properly. Helmet also dangling at side "/>
    <m/>
    <n v="1"/>
    <n v="3"/>
    <n v="2"/>
    <n v="1"/>
    <x v="0"/>
    <n v="3"/>
    <x v="0"/>
    <n v="1"/>
    <m/>
    <n v="1"/>
    <x v="7"/>
    <s v="Closed"/>
    <m/>
    <s v="Zone 3 - Piperack H,I &amp; K Section, Temp. Chiller"/>
    <x v="9"/>
  </r>
  <r>
    <n v="184"/>
    <s v="Electrical"/>
    <s v="Two cables were connected through a single industrial plug top for welding machine operation."/>
    <m/>
    <n v="1"/>
    <m/>
    <m/>
    <n v="1"/>
    <x v="1"/>
    <n v="4"/>
    <x v="1"/>
    <m/>
    <n v="1"/>
    <m/>
    <x v="1"/>
    <s v="Closed"/>
    <m/>
    <s v="Zone 1 - Chiller Building and Oil Injection"/>
    <x v="9"/>
  </r>
  <r>
    <n v="185"/>
    <s v="Unsafe Behavior"/>
    <s v="Mobile phone usage in the area of Critical activities pipe rack work "/>
    <m/>
    <n v="1"/>
    <n v="10"/>
    <n v="2"/>
    <n v="1"/>
    <x v="0"/>
    <n v="3"/>
    <x v="0"/>
    <m/>
    <m/>
    <n v="1"/>
    <x v="0"/>
    <s v="Closed"/>
    <m/>
    <s v="Zone 3 - Contractor Yard and Periphery"/>
    <x v="9"/>
  </r>
  <r>
    <n v="186"/>
    <s v="Workbench"/>
    <s v="Cutting activity without workbench"/>
    <m/>
    <n v="1"/>
    <n v="0"/>
    <n v="2"/>
    <n v="1"/>
    <x v="0"/>
    <n v="3"/>
    <x v="0"/>
    <m/>
    <m/>
    <n v="1"/>
    <x v="8"/>
    <s v="Closed"/>
    <m/>
    <s v="Zone 1 - Chiller Building and Oil Injection"/>
    <x v="9"/>
  </r>
  <r>
    <n v="187"/>
    <s v="Housekeeping"/>
    <s v="Overall 5S requires improvement "/>
    <m/>
    <n v="1"/>
    <m/>
    <m/>
    <n v="1"/>
    <x v="4"/>
    <n v="1"/>
    <x v="0"/>
    <m/>
    <n v="1"/>
    <m/>
    <x v="7"/>
    <s v="Closed"/>
    <m/>
    <s v="Zone 3 - Contractor Yard and Periphery"/>
    <x v="9"/>
  </r>
  <r>
    <n v="188"/>
    <s v="Housekeeping"/>
    <s v="Old glass wool (insulation wool) has been stored for a long time and is now scrap, so it should be removed to maintain proper housekeeping."/>
    <m/>
    <n v="1"/>
    <m/>
    <m/>
    <n v="1"/>
    <x v="0"/>
    <n v="3"/>
    <x v="0"/>
    <m/>
    <n v="1"/>
    <m/>
    <x v="5"/>
    <s v="Closed"/>
    <m/>
    <s v="Zone 4 - Oil Blending, Panel Room, Refrigeration Building &amp; Roof Areas"/>
    <x v="9"/>
  </r>
  <r>
    <n v="189"/>
    <s v="Material Management"/>
    <s v="Material overloaded on racks in container"/>
    <m/>
    <n v="1"/>
    <m/>
    <m/>
    <n v="1"/>
    <x v="2"/>
    <n v="2"/>
    <x v="0"/>
    <m/>
    <n v="1"/>
    <m/>
    <x v="1"/>
    <s v="Pending"/>
    <m/>
    <s v="Zone 3 - Contractor Yard and Periphery"/>
    <x v="9"/>
  </r>
  <r>
    <n v="190"/>
    <s v="Electrical"/>
    <s v="Bottle kept place behind the panel"/>
    <m/>
    <n v="1"/>
    <m/>
    <m/>
    <n v="1"/>
    <x v="2"/>
    <n v="2"/>
    <x v="0"/>
    <m/>
    <n v="1"/>
    <m/>
    <x v="5"/>
    <s v="Closed"/>
    <m/>
    <s v="Zone 1 - Chiller Building and Oil Injection"/>
    <x v="9"/>
  </r>
  <r>
    <n v="191"/>
    <s v="Housekeeping"/>
    <s v="5s is not upto mark near evaporator construction area "/>
    <m/>
    <n v="1"/>
    <m/>
    <m/>
    <n v="1"/>
    <x v="4"/>
    <n v="1"/>
    <x v="0"/>
    <m/>
    <n v="1"/>
    <m/>
    <x v="9"/>
    <s v="Closed"/>
    <m/>
    <s v="Zone 2 - Evaporator Building"/>
    <x v="9"/>
  </r>
  <r>
    <n v="192"/>
    <s v="Housekeeping"/>
    <s v="Housekeeping not maintained at worksite and site office. Materials and equipment found improperly stored"/>
    <m/>
    <n v="1"/>
    <m/>
    <m/>
    <n v="1"/>
    <x v="0"/>
    <n v="3"/>
    <x v="0"/>
    <m/>
    <n v="1"/>
    <m/>
    <x v="0"/>
    <s v="Closed"/>
    <m/>
    <s v="Zone 3 - Contractor Yard and Periphery"/>
    <x v="9"/>
  </r>
  <r>
    <n v="193"/>
    <s v="Barricading"/>
    <s v="People crossing the barricade "/>
    <m/>
    <n v="1"/>
    <n v="7"/>
    <n v="2"/>
    <n v="1"/>
    <x v="0"/>
    <n v="3"/>
    <x v="0"/>
    <m/>
    <m/>
    <n v="1"/>
    <x v="0"/>
    <s v="Closed"/>
    <m/>
    <s v="Zone 3 - Piperack H,I &amp; K Section, Temp. Chiller"/>
    <x v="9"/>
  </r>
  <r>
    <n v="194"/>
    <s v="Housekeeping"/>
    <s v="Waste rockwool found spread nearby SPX container "/>
    <m/>
    <n v="1"/>
    <m/>
    <m/>
    <n v="1"/>
    <x v="2"/>
    <n v="2"/>
    <x v="0"/>
    <m/>
    <m/>
    <m/>
    <x v="5"/>
    <s v="Closed"/>
    <m/>
    <s v="Zone 3 - Contractor Yard and Periphery"/>
    <x v="9"/>
  </r>
  <r>
    <n v="195"/>
    <s v="Material Management"/>
    <s v="There is no lighting in the container where materials are stored, and personnel are using mobile torches to locate and handle items, which poses a serious safety risk; additionally, the lack of fans or ventilation may lead to health issues"/>
    <m/>
    <n v="1"/>
    <m/>
    <m/>
    <n v="1"/>
    <x v="1"/>
    <n v="4"/>
    <x v="1"/>
    <m/>
    <m/>
    <n v="1"/>
    <x v="4"/>
    <s v="Closed"/>
    <s v="Danish"/>
    <s v="Zone 3 - Contractor Yard and Periphery"/>
    <x v="9"/>
  </r>
  <r>
    <n v="196"/>
    <s v="Material Management"/>
    <s v="All material hang on weak rope in container"/>
    <m/>
    <n v="1"/>
    <m/>
    <m/>
    <n v="1"/>
    <x v="0"/>
    <n v="3"/>
    <x v="0"/>
    <m/>
    <n v="1"/>
    <m/>
    <x v="1"/>
    <s v="Closed"/>
    <m/>
    <s v="Zone 3 - Piperack H,I &amp; K Section, Temp. Chiller"/>
    <x v="9"/>
  </r>
  <r>
    <n v="197"/>
    <s v="PPE"/>
    <s v="Harness are inappropriately placed, No trash box there in."/>
    <m/>
    <n v="1"/>
    <n v="1"/>
    <n v="2"/>
    <n v="1"/>
    <x v="4"/>
    <n v="1"/>
    <x v="0"/>
    <m/>
    <n v="1"/>
    <m/>
    <x v="5"/>
    <s v="Closed"/>
    <m/>
    <s v="Zone 3 - Contractor Yard and Periphery"/>
    <x v="9"/>
  </r>
  <r>
    <n v="198"/>
    <s v="Barricading"/>
    <s v="Barricade to be strengthened avoid any gaps "/>
    <m/>
    <n v="1"/>
    <m/>
    <m/>
    <n v="1"/>
    <x v="2"/>
    <n v="2"/>
    <x v="0"/>
    <m/>
    <n v="1"/>
    <m/>
    <x v="0"/>
    <s v="Closed"/>
    <m/>
    <s v="Zone 1 - Chiller Building and Oil Injection"/>
    <x v="9"/>
  </r>
  <r>
    <n v="199"/>
    <s v="Material Management"/>
    <s v="Material storage inside container needs improvement "/>
    <m/>
    <n v="1"/>
    <m/>
    <m/>
    <n v="1"/>
    <x v="0"/>
    <n v="3"/>
    <x v="0"/>
    <m/>
    <n v="1"/>
    <m/>
    <x v="1"/>
    <s v="Closed"/>
    <m/>
    <s v="Zone 3 - Contractor Yard and Periphery"/>
    <x v="9"/>
  </r>
  <r>
    <n v="200"/>
    <s v="Housekeeping"/>
    <s v="Cut pieces of metal, angles, and scrap are scattered across the contractor yard, which can pose a serious safety hazard to pedestrians."/>
    <m/>
    <n v="1"/>
    <m/>
    <m/>
    <n v="1"/>
    <x v="0"/>
    <n v="3"/>
    <x v="0"/>
    <m/>
    <n v="1"/>
    <m/>
    <x v="4"/>
    <s v="Closed"/>
    <m/>
    <s v="Zone 3 - Contractor Yard and Periphery"/>
    <x v="9"/>
  </r>
  <r>
    <n v="201"/>
    <s v="PPE"/>
    <s v="Without helmet "/>
    <m/>
    <n v="1"/>
    <n v="12"/>
    <n v="1"/>
    <n v="1"/>
    <x v="4"/>
    <n v="1"/>
    <x v="0"/>
    <n v="1"/>
    <m/>
    <n v="1"/>
    <x v="7"/>
    <s v="Closed"/>
    <m/>
    <s v="Zone 3 - Contractor Yard and Periphery"/>
    <x v="9"/>
  </r>
  <r>
    <n v="202"/>
    <s v="Work at Height"/>
    <s v="Non-Standard ladder platform used by team"/>
    <m/>
    <n v="1"/>
    <m/>
    <m/>
    <n v="1"/>
    <x v="0"/>
    <n v="3"/>
    <x v="0"/>
    <m/>
    <n v="1"/>
    <m/>
    <x v="4"/>
    <s v="Closed"/>
    <m/>
    <s v="Zone 4 - Oil Blending, Panel Room, Refrigeration Building &amp; Roof Areas"/>
    <x v="9"/>
  </r>
  <r>
    <n v="203"/>
    <s v="Material Management"/>
    <s v="No seating space available at contractor shed area"/>
    <n v="1"/>
    <m/>
    <m/>
    <m/>
    <n v="1"/>
    <x v="2"/>
    <n v="2"/>
    <x v="0"/>
    <m/>
    <n v="1"/>
    <m/>
    <x v="4"/>
    <s v="Pending"/>
    <s v="Amit"/>
    <s v="Zone 3 - Contractor Yard and Periphery"/>
    <x v="9"/>
  </r>
  <r>
    <n v="204"/>
    <s v="Access &amp; Egress"/>
    <s v="Water accumulation in the area is creating a slip and trip hazard near temporary chiller"/>
    <m/>
    <n v="1"/>
    <m/>
    <m/>
    <n v="1"/>
    <x v="0"/>
    <n v="3"/>
    <x v="0"/>
    <m/>
    <n v="1"/>
    <m/>
    <x v="4"/>
    <s v="Closed"/>
    <m/>
    <s v="Zone 4 - Oil Blending, Panel Room, Refrigeration Building &amp; Roof Areas"/>
    <x v="9"/>
  </r>
  <r>
    <n v="205"/>
    <s v="Material Management"/>
    <s v="No change in condition seen last time. Taped wire of tube light, material kept In unsafe stacked manner"/>
    <m/>
    <n v="1"/>
    <m/>
    <m/>
    <n v="1"/>
    <x v="0"/>
    <n v="3"/>
    <x v="0"/>
    <m/>
    <n v="1"/>
    <m/>
    <x v="7"/>
    <s v="Closed"/>
    <m/>
    <s v="Zone 2 - Evaporator Building"/>
    <x v="10"/>
  </r>
  <r>
    <n v="206"/>
    <s v="Material Management"/>
    <s v="Safety intelock are non opertional in oildozing area ( FN1.00.ZE.01)"/>
    <m/>
    <n v="1"/>
    <m/>
    <m/>
    <n v="1"/>
    <x v="0"/>
    <n v="3"/>
    <x v="0"/>
    <m/>
    <n v="1"/>
    <m/>
    <x v="5"/>
    <s v="Closed"/>
    <m/>
    <s v="Zone 1 - Chiller Building and Oil Injection"/>
    <x v="10"/>
  </r>
  <r>
    <n v="207"/>
    <s v="Excavation"/>
    <s v="Non-  standard pathway is being used by the gea team,trench found open where permits is issued."/>
    <m/>
    <n v="1"/>
    <n v="4"/>
    <n v="8"/>
    <n v="1"/>
    <x v="0"/>
    <n v="3"/>
    <x v="0"/>
    <m/>
    <n v="1"/>
    <m/>
    <x v="4"/>
    <s v="Closed"/>
    <m/>
    <s v="Zone 2 - Evaporator Building"/>
    <x v="10"/>
  </r>
  <r>
    <n v="208"/>
    <s v="Lifting Operations"/>
    <s v="1. Boom lift struck and person putting mud near tyre with machine moving and shaking "/>
    <m/>
    <n v="1"/>
    <n v="3"/>
    <n v="2"/>
    <n v="1"/>
    <x v="0"/>
    <n v="3"/>
    <x v="0"/>
    <m/>
    <n v="1"/>
    <m/>
    <x v="1"/>
    <s v="Closed"/>
    <m/>
    <s v="Zone 1 - Chiller Building and Oil Injection"/>
    <x v="10"/>
  </r>
  <r>
    <n v="209"/>
    <s v="PPE"/>
    <s v="Workmen observed without impact resistance gloves while handling pipes at pipe rack "/>
    <m/>
    <n v="1"/>
    <n v="10"/>
    <n v="1"/>
    <n v="1"/>
    <x v="0"/>
    <n v="3"/>
    <x v="0"/>
    <m/>
    <m/>
    <n v="1"/>
    <x v="1"/>
    <s v="Closed"/>
    <m/>
    <s v="Zone 1 - Chiller Building and Oil Injection"/>
    <x v="10"/>
  </r>
  <r>
    <n v="210"/>
    <s v="Work at Height"/>
    <s v="Non- standard scaffold is being used by the team ."/>
    <m/>
    <n v="1"/>
    <n v="8"/>
    <n v="3"/>
    <n v="1"/>
    <x v="0"/>
    <n v="3"/>
    <x v="0"/>
    <m/>
    <n v="1"/>
    <m/>
    <x v="9"/>
    <s v="Closed"/>
    <m/>
    <s v="Zone 2 - Evaporator Building"/>
    <x v="10"/>
  </r>
  <r>
    <n v="211"/>
    <s v="Lifting Operations"/>
    <s v="Boom lift and farana working on non levelled ground."/>
    <m/>
    <n v="1"/>
    <m/>
    <m/>
    <n v="1"/>
    <x v="1"/>
    <n v="4"/>
    <x v="1"/>
    <m/>
    <n v="1"/>
    <m/>
    <x v="1"/>
    <s v="Closed"/>
    <m/>
    <s v="Zone 1 - Chiller Building and Oil Injection"/>
    <x v="10"/>
  </r>
  <r>
    <n v="212"/>
    <s v="Material Management"/>
    <s v="temporary chiller Roof sheet gap observed, which may allow rainwater to enter."/>
    <m/>
    <n v="1"/>
    <m/>
    <m/>
    <n v="1"/>
    <x v="0"/>
    <n v="3"/>
    <x v="0"/>
    <m/>
    <n v="1"/>
    <m/>
    <x v="1"/>
    <s v="Closed"/>
    <m/>
    <s v="Zone 1 - Chiller Building and Oil Injection"/>
    <x v="10"/>
  </r>
  <r>
    <n v="213"/>
    <s v="Barricading"/>
    <s v="Stairs upgradation on top floor(Civil activity goes on), No Barrication or signage to paste their for awareness. "/>
    <m/>
    <n v="1"/>
    <m/>
    <m/>
    <n v="1"/>
    <x v="2"/>
    <n v="2"/>
    <x v="0"/>
    <m/>
    <n v="1"/>
    <m/>
    <x v="8"/>
    <s v="Closed"/>
    <m/>
    <s v="Zone 1 - Chiller Building and Oil Injection"/>
    <x v="10"/>
  </r>
  <r>
    <n v="214"/>
    <s v="Work at Height"/>
    <s v="scaffold stair assembly, some of the steps are securely locked, whereas many others are tied or secured using very thin wire, which is not adequate to ensure proper stability."/>
    <m/>
    <n v="1"/>
    <m/>
    <m/>
    <n v="1"/>
    <x v="0"/>
    <n v="3"/>
    <x v="0"/>
    <m/>
    <n v="1"/>
    <m/>
    <x v="0"/>
    <s v="Closed"/>
    <m/>
    <s v="Zone 1 - Chiller Building and Oil Injection"/>
    <x v="10"/>
  </r>
  <r>
    <n v="215"/>
    <s v="Sharp edges"/>
    <s v="Sharp points of column grouts not covered "/>
    <m/>
    <n v="1"/>
    <m/>
    <m/>
    <n v="1"/>
    <x v="2"/>
    <n v="2"/>
    <x v="0"/>
    <m/>
    <n v="1"/>
    <m/>
    <x v="2"/>
    <s v="Closed"/>
    <m/>
    <s v="Zone 1 - Chiller Building and Oil Injection"/>
    <x v="10"/>
  </r>
  <r>
    <n v="216"/>
    <s v="Access &amp; Egress"/>
    <s v="Drain design to be looked into and slope of floor to be corrected. Flush water all around on floor. Slip hazard in Oil blending "/>
    <m/>
    <n v="1"/>
    <m/>
    <m/>
    <n v="1"/>
    <x v="2"/>
    <n v="2"/>
    <x v="0"/>
    <m/>
    <n v="1"/>
    <m/>
    <x v="4"/>
    <s v="Pending"/>
    <m/>
    <s v="Zone 1 - Chiller Building and Oil Injection"/>
    <x v="10"/>
  </r>
  <r>
    <n v="217"/>
    <s v="Material Management"/>
    <s v="Civil structure on Door edge is about to fall at top floor "/>
    <m/>
    <n v="1"/>
    <m/>
    <m/>
    <n v="1"/>
    <x v="1"/>
    <n v="4"/>
    <x v="1"/>
    <m/>
    <n v="1"/>
    <m/>
    <x v="9"/>
    <s v="Closed"/>
    <m/>
    <s v="Zone 2 - Evaporator Building"/>
    <x v="10"/>
  </r>
  <r>
    <n v="218"/>
    <s v="PPE"/>
    <s v="Water pit full with multiple mosquitos visible on top layer with risk of malaria and dengue 3. Door stopper is not there for entry to construction site and it is waving around due to wind "/>
    <m/>
    <m/>
    <m/>
    <m/>
    <n v="1"/>
    <x v="0"/>
    <n v="3"/>
    <x v="0"/>
    <m/>
    <n v="1"/>
    <m/>
    <x v="0"/>
    <s v="Closed"/>
    <m/>
    <s v="Zone 1 - Chiller Building and Oil Injection"/>
    <x v="10"/>
  </r>
  <r>
    <n v="219"/>
    <s v="PPE"/>
    <s v="100 % PPE Compliance, No man movement in lifting shifting area, Emergency devices of farana and boom lift in working condition, Adequate load maintained on boom lift"/>
    <m/>
    <m/>
    <n v="10"/>
    <n v="0"/>
    <n v="1"/>
    <x v="4"/>
    <n v="1"/>
    <x v="0"/>
    <m/>
    <m/>
    <n v="1"/>
    <x v="0"/>
    <s v="Closed"/>
    <m/>
    <s v="Zone 1 - Chiller Building and Oil Injection"/>
    <x v="10"/>
  </r>
  <r>
    <n v="220"/>
    <s v="PPE"/>
    <s v="Workmen observed without impact resistance gloves while handling pipes at pipe rack"/>
    <m/>
    <m/>
    <n v="10"/>
    <n v="1"/>
    <n v="1"/>
    <x v="0"/>
    <n v="3"/>
    <x v="0"/>
    <n v="1"/>
    <m/>
    <n v="1"/>
    <x v="1"/>
    <s v="Closed"/>
    <m/>
    <s v="Zone 1 - Chiller Building and Oil Injection"/>
    <x v="10"/>
  </r>
  <r>
    <n v="221"/>
    <s v="Lifting Operations"/>
    <s v="Siren &amp; key lock of the boom lift is observed defective"/>
    <m/>
    <m/>
    <n v="0"/>
    <n v="0"/>
    <n v="1"/>
    <x v="0"/>
    <n v="3"/>
    <x v="0"/>
    <m/>
    <n v="1"/>
    <m/>
    <x v="1"/>
    <s v="Closed"/>
    <m/>
    <s v="Zone 1 - Chiller Building and Oil Injection"/>
    <x v="10"/>
  </r>
  <r>
    <n v="222"/>
    <s v="Material Management"/>
    <s v="Cooling tower Material kept at chiller building roof without Tieng."/>
    <m/>
    <m/>
    <n v="0"/>
    <n v="0"/>
    <n v="1"/>
    <x v="1"/>
    <n v="4"/>
    <x v="1"/>
    <m/>
    <n v="1"/>
    <m/>
    <x v="1"/>
    <s v="Closed"/>
    <m/>
    <s v="Zone 1 - Chiller Building and Oil Injection"/>
    <x v="10"/>
  </r>
  <r>
    <n v="223"/>
    <s v="Housekeeping"/>
    <s v="Housekeeping on 2nd floor is not adequate"/>
    <m/>
    <m/>
    <n v="0"/>
    <n v="0"/>
    <n v="1"/>
    <x v="4"/>
    <n v="1"/>
    <x v="0"/>
    <m/>
    <n v="1"/>
    <m/>
    <x v="9"/>
    <s v="Closed"/>
    <m/>
    <s v="Zone 2 - Evaporator Building"/>
    <x v="10"/>
  </r>
  <r>
    <n v="224"/>
    <s v="Lifting Operations"/>
    <s v="Top floor access door is in open condition, Crane work goes on so make a potential hazard"/>
    <m/>
    <m/>
    <n v="0"/>
    <n v="0"/>
    <n v="1"/>
    <x v="0"/>
    <n v="3"/>
    <x v="1"/>
    <m/>
    <n v="1"/>
    <m/>
    <x v="7"/>
    <s v="Closed"/>
    <m/>
    <s v="Zone 2 - Evaporator Building"/>
    <x v="10"/>
  </r>
  <r>
    <n v="225"/>
    <s v="Barricading"/>
    <s v="Stairs upgradation on top floor(Civil activity goes on), No Barrication or signage to paste their for awareness."/>
    <m/>
    <m/>
    <n v="0"/>
    <n v="0"/>
    <n v="1"/>
    <x v="2"/>
    <n v="2"/>
    <x v="0"/>
    <m/>
    <n v="1"/>
    <m/>
    <x v="7"/>
    <s v="Closed"/>
    <m/>
    <s v="Zone 2 - Evaporator Building"/>
    <x v="10"/>
  </r>
  <r>
    <n v="226"/>
    <s v="Excavation"/>
    <s v="Trench is exposed, Falling hazard"/>
    <m/>
    <m/>
    <n v="0"/>
    <n v="0"/>
    <n v="1"/>
    <x v="1"/>
    <n v="4"/>
    <x v="1"/>
    <m/>
    <n v="1"/>
    <m/>
    <x v="9"/>
    <s v="Closed"/>
    <m/>
    <s v="Zone 2 - Evaporator Building"/>
    <x v="10"/>
  </r>
  <r>
    <n v="227"/>
    <s v="Material Management"/>
    <s v="Civil structure on Door edge is about to fall"/>
    <m/>
    <m/>
    <n v="0"/>
    <n v="0"/>
    <n v="1"/>
    <x v="1"/>
    <n v="4"/>
    <x v="1"/>
    <m/>
    <n v="1"/>
    <m/>
    <x v="9"/>
    <s v="Closed"/>
    <m/>
    <s v="Zone 2 - Evaporator Building"/>
    <x v="10"/>
  </r>
  <r>
    <n v="228"/>
    <s v="Material Management"/>
    <s v="Pipe shifting work is being carried out by the Fluidline contractor using a Farana. It has been observed that the pipes placed on the rack are neither tied nor properly secured. Due to this, the pipes are hitting against each other during handling, creating a risk of them falling from the rack. This condition poses a significant safety hazard to personnel and material. Therefore, it is essential that all pipes, once placed on the rack, are properly secured either by tying or by temporary tack welding to prevent movement and ensure stability."/>
    <m/>
    <m/>
    <n v="15"/>
    <n v="5"/>
    <n v="1"/>
    <x v="3"/>
    <n v="5"/>
    <x v="1"/>
    <m/>
    <m/>
    <n v="1"/>
    <x v="1"/>
    <s v="Closed"/>
    <m/>
    <s v="Zone 1 - Chiller Building and Oil Injection"/>
    <x v="10"/>
  </r>
  <r>
    <n v="229"/>
    <s v="PPE"/>
    <s v="It was observed that the Farana driver was operating the equipment without wearing a helmet. Upon being instructed, he subsequently wore the helmet."/>
    <m/>
    <m/>
    <n v="4"/>
    <n v="1"/>
    <n v="1"/>
    <x v="3"/>
    <n v="5"/>
    <x v="1"/>
    <n v="1"/>
    <m/>
    <n v="1"/>
    <x v="1"/>
    <s v="Closed"/>
    <m/>
    <s v="Zone 3 - Piperack H,I &amp; K Section, Temp. Chiller"/>
    <x v="10"/>
  </r>
  <r>
    <n v="230"/>
    <s v="Work at Height"/>
    <s v="scaffold stair assembly, some of the steps are securely locked, whereas many others are tied or secured using very thin wire, which is not adequate to ensure proper stability."/>
    <m/>
    <m/>
    <n v="0"/>
    <n v="0"/>
    <n v="1"/>
    <x v="1"/>
    <n v="4"/>
    <x v="1"/>
    <m/>
    <n v="1"/>
    <m/>
    <x v="0"/>
    <s v="Closed"/>
    <m/>
    <s v="Zone 3 - Piperack H,I &amp; K Section, Temp. Chiller"/>
    <x v="10"/>
  </r>
  <r>
    <n v="231"/>
    <s v="Tools &amp; Equipment"/>
    <s v="Hand blower was found in use at site without a valid inspection tag"/>
    <m/>
    <m/>
    <n v="0"/>
    <n v="0"/>
    <n v="1"/>
    <x v="0"/>
    <n v="3"/>
    <x v="0"/>
    <m/>
    <n v="1"/>
    <m/>
    <x v="0"/>
    <s v="Closed"/>
    <m/>
    <s v="Zone 3 - Piperack H,I &amp; K Section, Temp. Chiller"/>
    <x v="10"/>
  </r>
  <r>
    <n v="232"/>
    <s v="Material Management"/>
    <s v="Roof sheet gap observed, which may allow rainwater to enter."/>
    <m/>
    <m/>
    <n v="0"/>
    <n v="0"/>
    <n v="1"/>
    <x v="0"/>
    <n v="3"/>
    <x v="0"/>
    <m/>
    <n v="1"/>
    <m/>
    <x v="1"/>
    <s v="Closed"/>
    <m/>
    <s v="Zone 3 - Piperack H,I &amp; K Section, Temp. Chiller"/>
    <x v="11"/>
  </r>
  <r>
    <n v="233"/>
    <s v="Barricading"/>
    <s v="Structural material lying on the road without barricading."/>
    <m/>
    <m/>
    <n v="0"/>
    <n v="0"/>
    <n v="1"/>
    <x v="2"/>
    <n v="2"/>
    <x v="0"/>
    <m/>
    <n v="1"/>
    <m/>
    <x v="0"/>
    <s v="Closed"/>
    <m/>
    <s v="Zone 3 - Piperack H,I &amp; K Section, Temp. Chiller"/>
    <x v="11"/>
  </r>
  <r>
    <n v="234"/>
    <s v="Barricading"/>
    <s v="Improper barricade during boom lift operation"/>
    <m/>
    <m/>
    <n v="10"/>
    <n v="3"/>
    <n v="1"/>
    <x v="0"/>
    <n v="3"/>
    <x v="0"/>
    <m/>
    <m/>
    <n v="1"/>
    <x v="7"/>
    <s v="Closed"/>
    <m/>
    <s v="Zone 3 - Contractor Yard and Periphery"/>
    <x v="11"/>
  </r>
  <r>
    <n v="235"/>
    <s v="Barricading"/>
    <s v="Missing Area Barricade in Evaporator entrance"/>
    <m/>
    <m/>
    <n v="0"/>
    <n v="0"/>
    <n v="1"/>
    <x v="0"/>
    <n v="3"/>
    <x v="0"/>
    <m/>
    <n v="1"/>
    <m/>
    <x v="10"/>
    <s v="Closed"/>
    <m/>
    <s v="Zone 3 - Contractor Yard and Periphery"/>
    <x v="11"/>
  </r>
  <r>
    <n v="236"/>
    <s v="PPE"/>
    <s v="PPE gloves missing while picking up heavy iron structure for welding and cutting with bad ergonomics in picking it. Location is near potta cabin washroom in cotractor yard where welding is being done"/>
    <m/>
    <m/>
    <n v="3"/>
    <n v="2"/>
    <n v="1"/>
    <x v="0"/>
    <n v="3"/>
    <x v="0"/>
    <n v="1"/>
    <m/>
    <n v="1"/>
    <x v="1"/>
    <s v="Closed"/>
    <m/>
    <s v="Zone 3 - Contractor Yard and Periphery"/>
    <x v="11"/>
  </r>
  <r>
    <n v="237"/>
    <s v="PPE"/>
    <s v="Plastic wrapper all around in calendria stored area"/>
    <m/>
    <m/>
    <n v="0"/>
    <n v="0"/>
    <n v="1"/>
    <x v="4"/>
    <n v="1"/>
    <x v="0"/>
    <m/>
    <n v="1"/>
    <m/>
    <x v="10"/>
    <s v="Closed"/>
    <m/>
    <s v="Zone 3 - Contractor Yard and Periphery"/>
    <x v="11"/>
  </r>
  <r>
    <n v="238"/>
    <s v="Electrical"/>
    <s v="Spliced cable with tape on ess pee container"/>
    <m/>
    <m/>
    <n v="0"/>
    <n v="0"/>
    <n v="1"/>
    <x v="0"/>
    <n v="3"/>
    <x v="0"/>
    <m/>
    <n v="1"/>
    <m/>
    <x v="7"/>
    <s v="Closed"/>
    <m/>
    <s v="Zone 3 - Contractor Yard and Periphery"/>
    <x v="11"/>
  </r>
  <r>
    <n v="239"/>
    <s v="Housekeeping"/>
    <s v="Debris stored near etp area"/>
    <m/>
    <m/>
    <n v="0"/>
    <n v="0"/>
    <n v="1"/>
    <x v="2"/>
    <n v="2"/>
    <x v="0"/>
    <m/>
    <n v="1"/>
    <m/>
    <x v="8"/>
    <s v="Closed"/>
    <m/>
    <s v="Zone 3 - Contractor Yard and Periphery"/>
    <x v="11"/>
  </r>
  <r>
    <n v="240"/>
    <s v="Tools &amp; Equipment"/>
    <s v="Damaged tool was found in use at site"/>
    <m/>
    <m/>
    <n v="0"/>
    <n v="0"/>
    <n v="1"/>
    <x v="0"/>
    <n v="3"/>
    <x v="0"/>
    <m/>
    <n v="1"/>
    <m/>
    <x v="5"/>
    <s v="Closed"/>
    <m/>
    <s v="Zone 1 - Chiller Building and Oil Injection"/>
    <x v="11"/>
  </r>
  <r>
    <n v="241"/>
    <s v="Housekeeping"/>
    <s v="Housekeeping was not maintained in the panel room."/>
    <m/>
    <m/>
    <n v="0"/>
    <n v="0"/>
    <n v="1"/>
    <x v="2"/>
    <n v="2"/>
    <x v="0"/>
    <m/>
    <n v="1"/>
    <m/>
    <x v="5"/>
    <s v="Closed"/>
    <m/>
    <s v="Zone 1 - Chiller Building and Oil Injection"/>
    <x v="11"/>
  </r>
  <r>
    <n v="242"/>
    <s v="PPE"/>
    <s v="The farana driver is not complying with PPE requirements, which poses a serious safety risk. Even after being instructed, he wore the PPE only for a short time and then removed it."/>
    <m/>
    <m/>
    <n v="4"/>
    <n v="1"/>
    <n v="1"/>
    <x v="0"/>
    <n v="3"/>
    <x v="0"/>
    <n v="1"/>
    <m/>
    <n v="1"/>
    <x v="0"/>
    <s v="Closed"/>
    <m/>
    <s v="Zone 3 - Piperack H,I &amp; K Section, Temp. Chiller"/>
    <x v="12"/>
  </r>
  <r>
    <n v="243"/>
    <s v="Lifting Operations"/>
    <s v="All four individuals were instructing the farana driver during the lifting and placement of the piping rack."/>
    <m/>
    <m/>
    <n v="2"/>
    <n v="4"/>
    <n v="1"/>
    <x v="0"/>
    <n v="3"/>
    <x v="0"/>
    <m/>
    <m/>
    <n v="1"/>
    <x v="0"/>
    <s v="Closed"/>
    <m/>
    <s v="Zone 3 - Contractor Yard and Periphery"/>
    <x v="12"/>
  </r>
  <r>
    <n v="244"/>
    <s v="Barricading"/>
    <s v="Person working at height on scaffolding to break some concrete part and one person on lower scaffolding standing on one narrow beam without any wire connected to him for safety. Gave feedback and ask him to come down. Further entrance to evaporator area is very narrow due to protruding sheets and slip hazard there. Further ther eis a big pole kept as a barricade with one end very linently resting on a railing to act as a gate but it can fall anytime with motion and heavy for cause of an injury"/>
    <m/>
    <m/>
    <n v="2"/>
    <n v="2"/>
    <n v="1"/>
    <x v="0"/>
    <n v="3"/>
    <x v="0"/>
    <m/>
    <m/>
    <n v="1"/>
    <x v="9"/>
    <s v="Closed"/>
    <m/>
    <s v="Zone 2 - Evaporator Building"/>
    <x v="12"/>
  </r>
  <r>
    <n v="245"/>
    <s v="Barricading"/>
    <s v="Excavated area need to barricade adequately,slippery area observed, pipeline kept loose on rack"/>
    <m/>
    <m/>
    <n v="8"/>
    <n v="4"/>
    <n v="1"/>
    <x v="0"/>
    <n v="3"/>
    <x v="0"/>
    <m/>
    <m/>
    <n v="1"/>
    <x v="0"/>
    <s v="Closed"/>
    <m/>
    <s v="Zone 1 - Chiller Building and Oil Injection"/>
    <x v="12"/>
  </r>
  <r>
    <n v="246"/>
    <s v="Access &amp; Egress"/>
    <s v="Work in progress adjacent to an unprotected open drain."/>
    <m/>
    <m/>
    <n v="0"/>
    <n v="0"/>
    <n v="1"/>
    <x v="0"/>
    <n v="3"/>
    <x v="0"/>
    <m/>
    <n v="1"/>
    <m/>
    <x v="4"/>
    <s v="Closed"/>
    <s v="Shahnawaj"/>
    <s v="Zone 3 - Piperack H,I &amp; K Section, Temp. Chiller"/>
    <x v="13"/>
  </r>
  <r>
    <n v="247"/>
    <s v="Access &amp; Egress"/>
    <s v="Worker observed exiting the evaporator without using safe access."/>
    <m/>
    <m/>
    <n v="2"/>
    <n v="2"/>
    <n v="1"/>
    <x v="2"/>
    <n v="2"/>
    <x v="0"/>
    <m/>
    <m/>
    <n v="1"/>
    <x v="10"/>
    <s v="Closed"/>
    <m/>
    <s v="Zone 2 - Evaporator Building"/>
    <x v="13"/>
  </r>
  <r>
    <n v="248"/>
    <s v="Lifting Operations"/>
    <s v="one of the  contract  employee operation was doing  un safe act with no wheel chokes on the crane and operating the crane very casually can lead to serious ingury "/>
    <m/>
    <n v="1"/>
    <n v="5"/>
    <n v="1"/>
    <n v="1"/>
    <x v="0"/>
    <n v="3"/>
    <x v="0"/>
    <m/>
    <m/>
    <n v="1"/>
    <x v="0"/>
    <s v="Closed"/>
    <m/>
    <s v="Zone 3 - Piperack H,I &amp; K Section, Temp. Chiller"/>
    <x v="13"/>
  </r>
  <r>
    <n v="249"/>
    <s v="Barricading"/>
    <s v="Unauthorised Person crossing the critical work area through it was barricaded fully "/>
    <m/>
    <n v="1"/>
    <n v="12"/>
    <n v="1"/>
    <n v="1"/>
    <x v="1"/>
    <n v="4"/>
    <x v="1"/>
    <m/>
    <m/>
    <n v="1"/>
    <x v="13"/>
    <s v="Closed"/>
    <m/>
    <s v="Zone 3 - Piperack H,I &amp; K Section, Temp. Chiller"/>
    <x v="13"/>
  </r>
  <r>
    <n v="250"/>
    <s v="PPE"/>
    <s v="Worker tightening nut bolts without hand gloves"/>
    <m/>
    <n v="1"/>
    <n v="7"/>
    <n v="1"/>
    <n v="1"/>
    <x v="4"/>
    <n v="1"/>
    <x v="0"/>
    <n v="1"/>
    <m/>
    <n v="1"/>
    <x v="5"/>
    <s v="Closed"/>
    <m/>
    <s v="Zone 1 - Chiller Building and Oil Injection"/>
    <x v="13"/>
  </r>
  <r>
    <n v="251"/>
    <s v="Barricading"/>
    <s v="People entering into barricaded area, where work at height was ongoing near pipe rack"/>
    <m/>
    <n v="1"/>
    <n v="14"/>
    <n v="2"/>
    <n v="2"/>
    <x v="0"/>
    <n v="6"/>
    <x v="0"/>
    <m/>
    <m/>
    <n v="1"/>
    <x v="1"/>
    <s v="Closed"/>
    <m/>
    <s v="Zone 3 - Contractor Yard and Periphery"/>
    <x v="13"/>
  </r>
  <r>
    <n v="252"/>
    <s v="Electrical"/>
    <s v="Cable mgt is not adequate, Obstruct the pathway "/>
    <m/>
    <n v="1"/>
    <m/>
    <m/>
    <n v="1"/>
    <x v="0"/>
    <n v="3"/>
    <x v="0"/>
    <m/>
    <n v="1"/>
    <m/>
    <x v="13"/>
    <s v="Closed"/>
    <m/>
    <s v="Zone 1 - Chiller Building and Oil Injection"/>
    <x v="13"/>
  </r>
  <r>
    <n v="253"/>
    <s v="Material Management"/>
    <s v="Outdoor unit of AC connected to container is not grouted"/>
    <m/>
    <n v="1"/>
    <m/>
    <m/>
    <n v="1"/>
    <x v="0"/>
    <n v="3"/>
    <x v="0"/>
    <m/>
    <n v="1"/>
    <m/>
    <x v="9"/>
    <s v="Closed"/>
    <m/>
    <s v="Zone 3 - Contractor Yard and Periphery"/>
    <x v="13"/>
  </r>
  <r>
    <n v="254"/>
    <s v="Barricading"/>
    <s v="Barrication not proper for pile cap area"/>
    <m/>
    <n v="1"/>
    <n v="4"/>
    <n v="12"/>
    <n v="12"/>
    <x v="0"/>
    <n v="36"/>
    <x v="0"/>
    <m/>
    <n v="1"/>
    <m/>
    <x v="0"/>
    <s v="Closed"/>
    <m/>
    <s v="Zone 3 - Piperack H,I &amp; K Section, Temp. Chiller"/>
    <x v="13"/>
  </r>
  <r>
    <n v="255"/>
    <s v="Material Management"/>
    <s v="Workmen observed working without taking a rest &amp; lunch break "/>
    <m/>
    <n v="1"/>
    <n v="6"/>
    <n v="2"/>
    <n v="2"/>
    <x v="0"/>
    <n v="6"/>
    <x v="0"/>
    <m/>
    <m/>
    <n v="1"/>
    <x v="1"/>
    <s v="Closed"/>
    <m/>
    <s v="Zone 4 - Oil Blending, Panel Room, Refrigeration Building &amp; Roof Areas"/>
    <x v="13"/>
  </r>
  <r>
    <n v="256"/>
    <s v="Material Management"/>
    <s v="Employee was not wearing the head gear while above him height work was going on "/>
    <m/>
    <n v="1"/>
    <n v="6"/>
    <n v="1"/>
    <n v="1"/>
    <x v="0"/>
    <n v="3"/>
    <x v="0"/>
    <n v="1"/>
    <m/>
    <n v="1"/>
    <x v="1"/>
    <s v="Closed"/>
    <m/>
    <s v="Zone 3 - Piperack H,I &amp; K Section, Temp. Chiller"/>
    <x v="13"/>
  </r>
  <r>
    <n v="257"/>
    <s v="Electrical"/>
    <s v="AC outlet water drain pipe is in walkway inside panel room and nearby panels "/>
    <m/>
    <n v="1"/>
    <m/>
    <m/>
    <n v="1"/>
    <x v="0"/>
    <n v="3"/>
    <x v="0"/>
    <m/>
    <n v="1"/>
    <m/>
    <x v="12"/>
    <s v="Closed"/>
    <m/>
    <s v="Zone 1 - Chiller Building and Oil Injection"/>
    <x v="13"/>
  </r>
  <r>
    <n v="258"/>
    <s v="Barricading"/>
    <s v="People entering barricaded area when work on pipe rack was ongoing "/>
    <m/>
    <n v="1"/>
    <n v="3"/>
    <n v="1"/>
    <n v="1"/>
    <x v="0"/>
    <n v="3"/>
    <x v="0"/>
    <m/>
    <m/>
    <n v="1"/>
    <x v="0"/>
    <s v="Closed"/>
    <m/>
    <s v="Zone 3 - Contractor Yard and Periphery"/>
    <x v="13"/>
  </r>
  <r>
    <n v="259"/>
    <s v="Work at Height"/>
    <s v="Scaffolding is not stacked properly"/>
    <m/>
    <n v="1"/>
    <m/>
    <m/>
    <n v="1"/>
    <x v="0"/>
    <n v="3"/>
    <x v="0"/>
    <m/>
    <n v="1"/>
    <m/>
    <x v="0"/>
    <s v="Closed"/>
    <m/>
    <s v="Zone 1 - Chiller Building and Oil Injection"/>
    <x v="13"/>
  </r>
  <r>
    <n v="260"/>
    <s v="Electrical"/>
    <s v="1. No rubber mat kept in front of electrical panel next to alana container and panel blocked 2. Single body earthing provided to electriccal panel"/>
    <m/>
    <m/>
    <m/>
    <m/>
    <n v="1"/>
    <x v="0"/>
    <n v="3"/>
    <x v="0"/>
    <m/>
    <n v="1"/>
    <m/>
    <x v="4"/>
    <s v="Closed"/>
    <s v="Danish"/>
    <s v="Zone 1 - Chiller Building and Oil Injection"/>
    <x v="13"/>
  </r>
  <r>
    <n v="261"/>
    <s v="Barricading"/>
    <s v="Barrication sheet hit by faranha movement"/>
    <m/>
    <n v="1"/>
    <n v="3"/>
    <n v="3"/>
    <n v="3"/>
    <x v="0"/>
    <n v="9"/>
    <x v="0"/>
    <m/>
    <m/>
    <n v="1"/>
    <x v="1"/>
    <s v="Closed"/>
    <m/>
    <s v="Zone 4 - Oil Blending, Panel Room, Refrigeration Building &amp; Roof Areas"/>
    <x v="13"/>
  </r>
  <r>
    <n v="262"/>
    <s v="Lifting Operations"/>
    <s v="Compaction of the area needed where the farana is moving "/>
    <m/>
    <n v="1"/>
    <m/>
    <m/>
    <n v="1"/>
    <x v="1"/>
    <n v="4"/>
    <x v="0"/>
    <m/>
    <n v="1"/>
    <m/>
    <x v="1"/>
    <s v="Closed"/>
    <m/>
    <s v="Zone 1 - Chiller Building and Oil Injection"/>
    <x v="13"/>
  </r>
  <r>
    <n v="263"/>
    <s v="Electrical"/>
    <s v="Worker using mobile phone while cutting insulation sheet "/>
    <m/>
    <n v="1"/>
    <n v="5"/>
    <n v="1"/>
    <n v="1"/>
    <x v="4"/>
    <n v="1"/>
    <x v="0"/>
    <m/>
    <m/>
    <n v="1"/>
    <x v="5"/>
    <s v="Closed"/>
    <m/>
    <s v="Zone 3 - Contractor Yard and Periphery"/>
    <x v="13"/>
  </r>
  <r>
    <n v="264"/>
    <s v="Lifting Operations"/>
    <s v="Pipe lifting by crane is wobbling dangerously, "/>
    <m/>
    <n v="1"/>
    <m/>
    <m/>
    <n v="1"/>
    <x v="0"/>
    <n v="3"/>
    <x v="0"/>
    <m/>
    <n v="1"/>
    <m/>
    <x v="1"/>
    <s v="Closed"/>
    <m/>
    <s v="Zone 3 - Contractor Yard and Periphery"/>
    <x v="13"/>
  </r>
  <r>
    <n v="265"/>
    <s v="Access &amp; Egress"/>
    <s v="Access to alana container ( staircase made with bricks ) shall have nightglow tape on the edges "/>
    <m/>
    <n v="1"/>
    <m/>
    <m/>
    <n v="1"/>
    <x v="0"/>
    <n v="3"/>
    <x v="0"/>
    <m/>
    <n v="1"/>
    <m/>
    <x v="9"/>
    <s v="Closed"/>
    <m/>
    <s v="Zone 3 - Contractor Yard and Periphery"/>
    <x v="13"/>
  </r>
  <r>
    <n v="266"/>
    <s v="Electrical"/>
    <s v="Flammable material (paint box) kept inside container having tape joints for electrical connections"/>
    <m/>
    <n v="1"/>
    <m/>
    <m/>
    <n v="1"/>
    <x v="0"/>
    <n v="3"/>
    <x v="0"/>
    <m/>
    <n v="1"/>
    <m/>
    <x v="7"/>
    <s v="Closed"/>
    <m/>
    <s v="Zone 3 - Contractor Yard and Periphery"/>
    <x v="13"/>
  </r>
  <r>
    <n v="267"/>
    <s v="Work at Height"/>
    <s v="Scaffolding material stored in unlocked condition "/>
    <m/>
    <n v="1"/>
    <m/>
    <m/>
    <n v="1"/>
    <x v="2"/>
    <n v="2"/>
    <x v="0"/>
    <m/>
    <n v="1"/>
    <m/>
    <x v="9"/>
    <s v="Closed"/>
    <m/>
    <s v="Zone 3 - Contractor Yard and Periphery"/>
    <x v="14"/>
  </r>
  <r>
    <n v="268"/>
    <s v="Material Management"/>
    <s v="Protruding nails (3 inches) protruding out of the wooden rack at multiple locations and flammable material stored inside the container."/>
    <m/>
    <n v="1"/>
    <m/>
    <m/>
    <n v="1"/>
    <x v="0"/>
    <n v="3"/>
    <x v="0"/>
    <m/>
    <n v="1"/>
    <m/>
    <x v="10"/>
    <s v="Closed"/>
    <m/>
    <s v="Zone 3 - Contractor Yard and Periphery"/>
    <x v="14"/>
  </r>
  <r>
    <n v="269"/>
    <s v="Electrical"/>
    <s v="Cable routing on the fire reel"/>
    <m/>
    <n v="1"/>
    <m/>
    <m/>
    <n v="1"/>
    <x v="0"/>
    <n v="3"/>
    <x v="0"/>
    <m/>
    <n v="1"/>
    <m/>
    <x v="0"/>
    <s v="Closed"/>
    <m/>
    <s v="Zone 1 - Chiller Building and Oil Injection"/>
    <x v="14"/>
  </r>
  <r>
    <n v="270"/>
    <s v="Barricading"/>
    <s v="Welding work being done at height but barricading needs to be done majorly on right side as people can move below it and get injured. Gave feedback as contractor was verbally asking other members not to walk below it. Further, issue of mosquitoes in pit is still unresolved which can cause malaria and dengue badly to workers "/>
    <m/>
    <n v="1"/>
    <n v="4"/>
    <n v="2"/>
    <n v="2"/>
    <x v="2"/>
    <n v="4"/>
    <x v="0"/>
    <m/>
    <m/>
    <n v="1"/>
    <x v="1"/>
    <s v="Closed"/>
    <m/>
    <s v="Zone 1 - Chiller Building and Oil Injection"/>
    <x v="14"/>
  </r>
  <r>
    <n v="271"/>
    <s v="Barricading"/>
    <s v="People standing beneath pipe rack welding / pipes placed, No barricade"/>
    <m/>
    <n v="1"/>
    <n v="7"/>
    <n v="4"/>
    <n v="4"/>
    <x v="1"/>
    <n v="16"/>
    <x v="1"/>
    <m/>
    <m/>
    <n v="1"/>
    <x v="1"/>
    <s v="Closed"/>
    <m/>
    <s v="Zone 4 - Oil Blending, Panel Room, Refrigeration Building &amp; Roof Areas"/>
    <x v="14"/>
  </r>
  <r>
    <n v="272"/>
    <s v="Material Management"/>
    <s v="Material stored abruptly, cement blocks used as a staircase, cement stored around the walkway "/>
    <m/>
    <n v="1"/>
    <m/>
    <m/>
    <n v="1"/>
    <x v="2"/>
    <n v="2"/>
    <x v="0"/>
    <m/>
    <n v="1"/>
    <m/>
    <x v="0"/>
    <s v="Closed"/>
    <m/>
    <s v="Zone 1 - Chiller Building and Oil Injection"/>
    <x v="14"/>
  </r>
  <r>
    <n v="273"/>
    <s v="Electrical"/>
    <s v="Panel door kept open and left unattended.. Ensure to close the panel door when commissioning team visits the field"/>
    <m/>
    <n v="1"/>
    <m/>
    <m/>
    <n v="1"/>
    <x v="0"/>
    <n v="3"/>
    <x v="0"/>
    <m/>
    <n v="1"/>
    <m/>
    <x v="5"/>
    <s v="Closed"/>
    <m/>
    <s v="Zone 3 - Contractor Yard and Periphery"/>
    <x v="14"/>
  </r>
  <r>
    <n v="274"/>
    <s v="Material Management"/>
    <s v="Team working in close proximity of excvator"/>
    <m/>
    <n v="1"/>
    <n v="0"/>
    <n v="5"/>
    <n v="5"/>
    <x v="3"/>
    <n v="25"/>
    <x v="1"/>
    <m/>
    <m/>
    <n v="1"/>
    <x v="0"/>
    <s v="Closed"/>
    <m/>
    <s v="Zone 1 - Chiller Building and Oil Injection"/>
    <x v="14"/>
  </r>
  <r>
    <n v="275"/>
    <s v="Housekeeping"/>
    <s v="Scrap material at contractor yard"/>
    <m/>
    <n v="1"/>
    <m/>
    <m/>
    <n v="1"/>
    <x v="2"/>
    <n v="2"/>
    <x v="0"/>
    <m/>
    <n v="1"/>
    <m/>
    <x v="7"/>
    <s v="Closed"/>
    <m/>
    <s v="Zone 3 - Contractor Yard and Periphery"/>
    <x v="14"/>
  </r>
  <r>
    <n v="276"/>
    <s v="Work at Height"/>
    <s v="Improper platform covering the trench"/>
    <m/>
    <n v="1"/>
    <m/>
    <m/>
    <n v="1"/>
    <x v="0"/>
    <n v="3"/>
    <x v="0"/>
    <m/>
    <n v="1"/>
    <m/>
    <x v="9"/>
    <s v="Closed"/>
    <m/>
    <s v="Zone 2 - Evaporator Building"/>
    <x v="14"/>
  </r>
  <r>
    <n v="277"/>
    <s v="PPE"/>
    <s v="One person was observed without a helmet in the oil injection area, while others were wearing helmets."/>
    <m/>
    <n v="1"/>
    <n v="1"/>
    <n v="1"/>
    <n v="1"/>
    <x v="0"/>
    <n v="3"/>
    <x v="0"/>
    <n v="1"/>
    <m/>
    <n v="1"/>
    <x v="1"/>
    <s v="Closed"/>
    <m/>
    <s v="Zone 1 - Chiller Building and Oil Injection"/>
    <x v="14"/>
  </r>
  <r>
    <n v="278"/>
    <s v="Material Management"/>
    <s v="The top rail is not the proper standard height due to pipeline fall. "/>
    <m/>
    <n v="1"/>
    <m/>
    <m/>
    <n v="1"/>
    <x v="0"/>
    <n v="3"/>
    <x v="0"/>
    <m/>
    <n v="1"/>
    <m/>
    <x v="5"/>
    <s v="Closed"/>
    <m/>
    <s v="Zone 4 - Oil Blending, Panel Room, Refrigeration Building &amp; Roof Areas"/>
    <x v="14"/>
  </r>
  <r>
    <n v="279"/>
    <s v="Barricading"/>
    <s v="Excavation area not barricaded has a risk of fall"/>
    <m/>
    <n v="1"/>
    <m/>
    <m/>
    <n v="1"/>
    <x v="0"/>
    <n v="3"/>
    <x v="0"/>
    <m/>
    <n v="1"/>
    <m/>
    <x v="0"/>
    <s v="Closed"/>
    <m/>
    <s v="Zone 1 - Chiller Building and Oil Injection"/>
    <x v="14"/>
  </r>
  <r>
    <n v="280"/>
    <s v="PPE"/>
    <s v="Cutting activity done without face shield"/>
    <m/>
    <n v="1"/>
    <n v="3"/>
    <n v="1"/>
    <n v="1"/>
    <x v="0"/>
    <n v="3"/>
    <x v="0"/>
    <n v="1"/>
    <m/>
    <n v="1"/>
    <x v="8"/>
    <s v="Closed"/>
    <m/>
    <s v="Zone 3 - Contractor Yard and Periphery"/>
    <x v="14"/>
  </r>
  <r>
    <n v="281"/>
    <s v="Excavation"/>
    <s v="1 m distance of hard barigation from the excavated pit not maintained "/>
    <m/>
    <n v="1"/>
    <m/>
    <m/>
    <n v="1"/>
    <x v="0"/>
    <n v="3"/>
    <x v="0"/>
    <m/>
    <n v="1"/>
    <m/>
    <x v="0"/>
    <s v="Closed"/>
    <m/>
    <s v="Zone 1 - Chiller Building and Oil Injection"/>
    <x v="14"/>
  </r>
  <r>
    <n v="282"/>
    <s v="Work at Height"/>
    <s v="Scaffold material not stacked properly "/>
    <m/>
    <n v="1"/>
    <m/>
    <m/>
    <n v="1"/>
    <x v="0"/>
    <n v="3"/>
    <x v="0"/>
    <m/>
    <n v="1"/>
    <m/>
    <x v="9"/>
    <s v="Closed"/>
    <m/>
    <s v="Zone 3 - Contractor Yard and Periphery"/>
    <x v="14"/>
  </r>
  <r>
    <n v="283"/>
    <s v="PPE"/>
    <s v="During the gemba round, it was observed that multiple individuals had removed their helmets and were seated between the scrap yard and ETP during lunch time. This may be due to the lack of a proper designated rest area for project personnel."/>
    <m/>
    <n v="1"/>
    <n v="6"/>
    <n v="4"/>
    <n v="4"/>
    <x v="2"/>
    <n v="8"/>
    <x v="0"/>
    <n v="1"/>
    <m/>
    <n v="1"/>
    <x v="4"/>
    <s v="Closed"/>
    <m/>
    <s v="Zone 1 - Chiller Building and Oil Injection"/>
    <x v="14"/>
  </r>
  <r>
    <n v="284"/>
    <s v="Electrical"/>
    <s v="Suppression bottle still have low pressure in Panel room"/>
    <m/>
    <n v="1"/>
    <m/>
    <m/>
    <n v="1"/>
    <x v="0"/>
    <n v="3"/>
    <x v="0"/>
    <m/>
    <n v="1"/>
    <m/>
    <x v="5"/>
    <s v="Pending"/>
    <m/>
    <s v="Zone 4 - Oil Blending, Panel Room, Refrigeration Building &amp; Roof Areas"/>
    <x v="14"/>
  </r>
  <r>
    <n v="285"/>
    <s v="Work at Height"/>
    <s v="Rusted pipes used in scaffolding building and no hard barigation for scaffold step ladder "/>
    <m/>
    <n v="1"/>
    <m/>
    <m/>
    <n v="1"/>
    <x v="0"/>
    <n v="3"/>
    <x v="0"/>
    <m/>
    <n v="1"/>
    <m/>
    <x v="0"/>
    <s v="Closed"/>
    <m/>
    <s v="Zone 1 - Chiller Building and Oil Injection"/>
    <x v="14"/>
  </r>
  <r>
    <n v="286"/>
    <s v="Material Management"/>
    <s v="Entrance step of GEA container damaged"/>
    <m/>
    <n v="1"/>
    <m/>
    <m/>
    <n v="1"/>
    <x v="0"/>
    <n v="3"/>
    <x v="0"/>
    <m/>
    <n v="1"/>
    <m/>
    <x v="10"/>
    <s v="Pending"/>
    <m/>
    <s v="Zone 3 - Contractor Yard and Periphery"/>
    <x v="14"/>
  </r>
  <r>
    <n v="287"/>
    <s v="Housekeeping"/>
    <s v="Housekeeping of oil injection area is not upto the mark. "/>
    <m/>
    <m/>
    <m/>
    <m/>
    <n v="1"/>
    <x v="0"/>
    <n v="3"/>
    <x v="0"/>
    <m/>
    <n v="1"/>
    <m/>
    <x v="4"/>
    <s v="Closed"/>
    <m/>
    <s v="Zone 3 - Contractor Yard and Periphery"/>
    <x v="14"/>
  </r>
  <r>
    <n v="288"/>
    <s v="Electrical"/>
    <s v="The power tool unsecured condition and the cable is also laid on water"/>
    <m/>
    <n v="1"/>
    <m/>
    <m/>
    <n v="1"/>
    <x v="0"/>
    <n v="3"/>
    <x v="0"/>
    <m/>
    <n v="1"/>
    <m/>
    <x v="8"/>
    <s v="Closed"/>
    <m/>
    <s v="Zone 3 - Piperack H,I &amp; K Section, Temp. Chiller"/>
    <x v="14"/>
  </r>
  <r>
    <n v="289"/>
    <s v="Electrical"/>
    <s v="Temporary electrical cable routed through metal fencing of FO yard and tied with GI wire"/>
    <m/>
    <n v="1"/>
    <m/>
    <m/>
    <n v="1"/>
    <x v="3"/>
    <n v="5"/>
    <x v="1"/>
    <m/>
    <n v="1"/>
    <m/>
    <x v="1"/>
    <s v="Closed"/>
    <m/>
    <s v="Zone 3 - Piperack H,I &amp; K Section, Temp. Chiller"/>
    <x v="14"/>
  </r>
  <r>
    <n v="290"/>
    <s v="PPE"/>
    <s v="Workmen observed sitting on Refrigeration roof Parapet wall without safety harness."/>
    <m/>
    <n v="1"/>
    <n v="6"/>
    <n v="1"/>
    <n v="1"/>
    <x v="3"/>
    <n v="5"/>
    <x v="1"/>
    <m/>
    <m/>
    <n v="1"/>
    <x v="1"/>
    <s v="Closed"/>
    <m/>
    <s v="Zone 1 - Chiller Building and Oil Injection"/>
    <x v="14"/>
  </r>
  <r>
    <n v="291"/>
    <s v="Electrical"/>
    <s v="Power tool observed used without distribution boards (ELCB)"/>
    <m/>
    <n v="1"/>
    <n v="0"/>
    <n v="0"/>
    <n v="1"/>
    <x v="0"/>
    <n v="5"/>
    <x v="0"/>
    <m/>
    <n v="1"/>
    <m/>
    <x v="8"/>
    <s v="Closed"/>
    <m/>
    <s v="Zone 1 - Chiller Building and Oil Injection"/>
    <x v="14"/>
  </r>
  <r>
    <n v="292"/>
    <s v="Electrical"/>
    <s v="Cable observed tied with wire "/>
    <m/>
    <n v="1"/>
    <m/>
    <m/>
    <n v="1"/>
    <x v="0"/>
    <n v="3"/>
    <x v="0"/>
    <m/>
    <n v="1"/>
    <m/>
    <x v="0"/>
    <s v="Closed"/>
    <m/>
    <s v="Zone 1 - Chiller Building and Oil Injection"/>
    <x v="14"/>
  </r>
  <r>
    <n v="293"/>
    <s v="PPE"/>
    <s v="Workmen observed using cotton gloves instead of using cut resistance gloves"/>
    <m/>
    <n v="1"/>
    <n v="15"/>
    <n v="1"/>
    <n v="1"/>
    <x v="0"/>
    <n v="3"/>
    <x v="0"/>
    <n v="1"/>
    <m/>
    <n v="1"/>
    <x v="0"/>
    <s v="Closed"/>
    <m/>
    <s v="Zone 3 - Piperack H,I &amp; K Section, Temp. Chiller"/>
    <x v="14"/>
  </r>
  <r>
    <n v="294"/>
    <s v="Fire Safety"/>
    <s v="Fire extinguisher observed kept at the edge of the wall "/>
    <m/>
    <n v="1"/>
    <m/>
    <m/>
    <n v="1"/>
    <x v="2"/>
    <n v="2"/>
    <x v="0"/>
    <n v="1"/>
    <m/>
    <n v="1"/>
    <x v="1"/>
    <s v="Closed"/>
    <m/>
    <s v="Zone 3 - Piperack H,I &amp; K Section, Temp. Chiller"/>
    <x v="14"/>
  </r>
  <r>
    <n v="295"/>
    <s v="PPE"/>
    <s v="Round pipes observed kept in the working area without barricating &amp; stopper "/>
    <m/>
    <n v="1"/>
    <m/>
    <m/>
    <n v="1"/>
    <x v="2"/>
    <n v="2"/>
    <x v="0"/>
    <m/>
    <n v="1"/>
    <m/>
    <x v="1"/>
    <s v="Closed"/>
    <m/>
    <s v="Zone 3 - Piperack H,I &amp; K Section, Temp. Chiller"/>
    <x v="14"/>
  </r>
  <r>
    <n v="296"/>
    <s v="PPE"/>
    <s v="Personnel observed standing near the cutting booth without adequate ppes (googles)"/>
    <m/>
    <n v="1"/>
    <n v="10"/>
    <n v="5"/>
    <n v="5"/>
    <x v="0"/>
    <n v="15"/>
    <x v="0"/>
    <n v="1"/>
    <m/>
    <n v="1"/>
    <x v="1"/>
    <s v="Closed"/>
    <m/>
    <s v="Zone 3 - Piperack H,I &amp; K Section, Temp. Chiller"/>
    <x v="14"/>
  </r>
  <r>
    <n v="297"/>
    <s v="PPE"/>
    <s v="Workmen observed sitting on Refrigeration roof Parapet wall without safety harness."/>
    <m/>
    <m/>
    <n v="6"/>
    <n v="1"/>
    <n v="1"/>
    <x v="3"/>
    <n v="5"/>
    <x v="1"/>
    <m/>
    <m/>
    <n v="1"/>
    <x v="1"/>
    <s v="Closed"/>
    <m/>
    <s v="Zone 3 - Piperack H,I &amp; K Section, Temp. Chiller"/>
    <x v="15"/>
  </r>
  <r>
    <n v="298"/>
    <s v="Electrical"/>
    <s v="Power tool observed used without distribution boards (ELCB)"/>
    <m/>
    <m/>
    <n v="0"/>
    <n v="0"/>
    <n v="1"/>
    <x v="0"/>
    <n v="3"/>
    <x v="0"/>
    <m/>
    <n v="1"/>
    <m/>
    <x v="8"/>
    <s v="Closed"/>
    <m/>
    <s v="Zone 3 - Piperack H,I &amp; K Section, Temp. Chiller"/>
    <x v="15"/>
  </r>
  <r>
    <n v="299"/>
    <s v="Electrical"/>
    <s v="Window glass panel broken. Glass pieces to be removed"/>
    <m/>
    <m/>
    <n v="0"/>
    <n v="0"/>
    <n v="1"/>
    <x v="1"/>
    <n v="4"/>
    <x v="1"/>
    <m/>
    <n v="1"/>
    <m/>
    <x v="9"/>
    <s v="Closed"/>
    <m/>
    <s v="Zone 2 - Evaporator Building"/>
    <x v="15"/>
  </r>
  <r>
    <n v="300"/>
    <s v="Access &amp; Egress"/>
    <s v="Restricted access to Evaporator area"/>
    <m/>
    <m/>
    <n v="0"/>
    <n v="0"/>
    <n v="1"/>
    <x v="2"/>
    <n v="2"/>
    <x v="0"/>
    <m/>
    <n v="1"/>
    <m/>
    <x v="10"/>
    <s v="Closed"/>
    <m/>
    <s v="Zone 2 - Evaporator Building"/>
    <x v="15"/>
  </r>
  <r>
    <n v="301"/>
    <s v="Material Management"/>
    <s v="Material stored abruptly in the area,"/>
    <m/>
    <m/>
    <n v="0"/>
    <n v="0"/>
    <n v="1"/>
    <x v="2"/>
    <n v="2"/>
    <x v="0"/>
    <m/>
    <n v="1"/>
    <m/>
    <x v="9"/>
    <s v="Closed"/>
    <m/>
    <s v="Zone 2 - Evaporator Building"/>
    <x v="15"/>
  </r>
  <r>
    <n v="302"/>
    <s v="PPE"/>
    <s v="Person working on shuttering job not wearing gloves, sharp edges on wooden plank along with Nail"/>
    <m/>
    <m/>
    <n v="8"/>
    <n v="1"/>
    <n v="1"/>
    <x v="1"/>
    <n v="4"/>
    <x v="1"/>
    <n v="1"/>
    <m/>
    <n v="1"/>
    <x v="0"/>
    <s v="Closed"/>
    <m/>
    <s v="Zone 3 - Piperack H,I &amp; K Section, Temp. Chiller"/>
    <x v="15"/>
  </r>
  <r>
    <n v="303"/>
    <s v="Electrical"/>
    <s v="Poor cable management - for earthing cables connected to electrical panels , lying cables in the area, no bonding for panel board"/>
    <m/>
    <m/>
    <n v="0"/>
    <n v="0"/>
    <n v="1"/>
    <x v="4"/>
    <n v="1"/>
    <x v="0"/>
    <m/>
    <n v="1"/>
    <m/>
    <x v="1"/>
    <s v="Closed"/>
    <m/>
    <s v="Zone 3 - Piperack H,I &amp; K Section, Temp. Chiller"/>
    <x v="15"/>
  </r>
  <r>
    <n v="304"/>
    <s v="Environment"/>
    <s v="Low illumination in the area"/>
    <m/>
    <m/>
    <n v="0"/>
    <n v="0"/>
    <n v="1"/>
    <x v="0"/>
    <n v="3"/>
    <x v="0"/>
    <m/>
    <n v="1"/>
    <m/>
    <x v="1"/>
    <s v="Closed"/>
    <m/>
    <s v="Zone 3 - Piperack H,I &amp; K Section, Temp. Chiller"/>
    <x v="15"/>
  </r>
  <r>
    <n v="305"/>
    <s v="Access &amp; Egress"/>
    <s v="No handrail present and trip hazard at multiple locations"/>
    <m/>
    <m/>
    <n v="0"/>
    <n v="0"/>
    <n v="1"/>
    <x v="0"/>
    <n v="3"/>
    <x v="0"/>
    <m/>
    <n v="1"/>
    <m/>
    <x v="1"/>
    <s v="Closed"/>
    <m/>
    <s v="Zone 3 - Piperack H,I &amp; K Section, Temp. Chiller"/>
    <x v="15"/>
  </r>
  <r>
    <n v="306"/>
    <s v="Housekeeping"/>
    <s v="Poor housekeeping - Material kept in area from long time( picture attached)"/>
    <m/>
    <m/>
    <n v="0"/>
    <n v="0"/>
    <n v="1"/>
    <x v="2"/>
    <n v="2"/>
    <x v="0"/>
    <m/>
    <n v="1"/>
    <m/>
    <x v="4"/>
    <s v="Closed"/>
    <m/>
    <s v="Zone 1 - Chiller Building and Oil Injection"/>
    <x v="15"/>
  </r>
  <r>
    <n v="307"/>
    <s v="Environment"/>
    <s v="Low illumination in the area"/>
    <m/>
    <m/>
    <n v="0"/>
    <n v="0"/>
    <n v="1"/>
    <x v="0"/>
    <n v="3"/>
    <x v="0"/>
    <m/>
    <n v="1"/>
    <m/>
    <x v="1"/>
    <s v="Closed"/>
    <m/>
    <s v="Zone 3 - Piperack H,I &amp; K Section, Temp. Chiller"/>
    <x v="15"/>
  </r>
  <r>
    <n v="308"/>
    <s v="Access &amp; Egress"/>
    <s v="No handrail present and trip hazard at multiple locations"/>
    <m/>
    <m/>
    <n v="0"/>
    <n v="0"/>
    <n v="1"/>
    <x v="0"/>
    <n v="3"/>
    <x v="0"/>
    <m/>
    <n v="1"/>
    <m/>
    <x v="1"/>
    <s v="Closed"/>
    <m/>
    <s v="Zone 1 - Chiller Building and Oil Injection"/>
    <x v="15"/>
  </r>
  <r>
    <n v="309"/>
    <s v="Housekeeping"/>
    <s v="Poor housekeeping - Material kept in area from long time( picture attached)"/>
    <m/>
    <m/>
    <n v="0"/>
    <n v="0"/>
    <n v="1"/>
    <x v="2"/>
    <n v="2"/>
    <x v="0"/>
    <m/>
    <n v="1"/>
    <m/>
    <x v="4"/>
    <s v="Closed"/>
    <m/>
    <s v="Zone 3 - Piperack H,I &amp; K Section, Temp. Chiller"/>
    <x v="15"/>
  </r>
  <r>
    <n v="310"/>
    <s v="Work at Height"/>
    <s v="Saw near work at height people standing near the drain and crosssing the paty by moving on very narrow area of drain which is risky if slip is ther eperson will fall into drain side . Avoid this kind of narrow movement among all contractors"/>
    <m/>
    <m/>
    <n v="3"/>
    <n v="2"/>
    <n v="2"/>
    <x v="0"/>
    <n v="6"/>
    <x v="0"/>
    <m/>
    <m/>
    <n v="1"/>
    <x v="4"/>
    <s v="Closed"/>
    <m/>
    <s v="Zone 2 - Evaporator Building"/>
    <x v="16"/>
  </r>
  <r>
    <n v="311"/>
    <s v="Barricading"/>
    <s v="Area is barricaded from all sides and fire extinguisher is not easily accessible"/>
    <m/>
    <m/>
    <m/>
    <m/>
    <n v="1"/>
    <x v="2"/>
    <n v="2"/>
    <x v="0"/>
    <m/>
    <n v="1"/>
    <m/>
    <x v="1"/>
    <s v="Closed"/>
    <m/>
    <s v="Zone 1 - Chiller Building and Oil Injection"/>
    <x v="16"/>
  </r>
  <r>
    <n v="312"/>
    <s v="Electrical"/>
    <s v="Damaged cable insulation"/>
    <m/>
    <m/>
    <m/>
    <m/>
    <n v="1"/>
    <x v="3"/>
    <n v="5"/>
    <x v="1"/>
    <m/>
    <n v="1"/>
    <m/>
    <x v="4"/>
    <s v="Closed"/>
    <m/>
    <s v="Zone 2 - Evaporator Building"/>
    <x v="16"/>
  </r>
  <r>
    <n v="313"/>
    <s v="Lifting Operations"/>
    <s v="Boom lifter is kept near farhana not have adequate space for man movement.floor is uneven for farhana movement , people are working in line of farhana movement "/>
    <m/>
    <m/>
    <n v="8"/>
    <n v="4"/>
    <n v="4"/>
    <x v="1"/>
    <n v="16"/>
    <x v="1"/>
    <m/>
    <m/>
    <n v="1"/>
    <x v="1"/>
    <s v="Closed"/>
    <m/>
    <s v="Zone 3 - Piperack H,I &amp; K Section, Temp. Chiller"/>
    <x v="16"/>
  </r>
  <r>
    <n v="314"/>
    <s v="Material Management"/>
    <s v="Loose materials and pump kept unorganized"/>
    <m/>
    <m/>
    <m/>
    <m/>
    <n v="1"/>
    <x v="4"/>
    <n v="1"/>
    <x v="0"/>
    <m/>
    <n v="1"/>
    <m/>
    <x v="1"/>
    <s v="Closed"/>
    <m/>
    <s v="Zone 3 - Contractor Yard and Periphery"/>
    <x v="16"/>
  </r>
  <r>
    <n v="315"/>
    <s v="Electrical"/>
    <s v="Poor cable management and cable routing to be improved "/>
    <m/>
    <m/>
    <m/>
    <m/>
    <n v="1"/>
    <x v="0"/>
    <n v="3"/>
    <x v="0"/>
    <m/>
    <n v="1"/>
    <m/>
    <x v="1"/>
    <s v="Closed"/>
    <m/>
    <s v="Zone 1 - Chiller Building and Oil Injection"/>
    <x v="16"/>
  </r>
  <r>
    <n v="316"/>
    <s v="Work at Height"/>
    <s v="Toe guard of platform used at pipe rack was missing"/>
    <m/>
    <m/>
    <m/>
    <m/>
    <n v="1"/>
    <x v="1"/>
    <n v="4"/>
    <x v="1"/>
    <m/>
    <n v="1"/>
    <m/>
    <x v="1"/>
    <s v="Closed"/>
    <m/>
    <s v="Zone 3 - Piperack H,I &amp; K Section, Temp. Chiller"/>
    <x v="16"/>
  </r>
  <r>
    <n v="317"/>
    <s v="Electrical"/>
    <s v="Lighting cable has an improper joint and is tied to the handrail."/>
    <m/>
    <m/>
    <m/>
    <m/>
    <n v="1"/>
    <x v="1"/>
    <n v="4"/>
    <x v="1"/>
    <m/>
    <n v="1"/>
    <m/>
    <x v="7"/>
    <s v="Closed"/>
    <m/>
    <s v="Zone 2 - Evaporator Building"/>
    <x v="16"/>
  </r>
  <r>
    <n v="318"/>
    <s v="Work at Height"/>
    <s v="The fall arrestor is put on the same platform on which person is working"/>
    <m/>
    <m/>
    <s v="2"/>
    <s v="1"/>
    <n v="1"/>
    <x v="0"/>
    <n v="3"/>
    <x v="0"/>
    <m/>
    <m/>
    <n v="1"/>
    <x v="0"/>
    <s v="Closed"/>
    <m/>
    <s v="Zone 1 - Chiller Building and Oil Injection"/>
    <x v="16"/>
  </r>
  <r>
    <n v="319"/>
    <s v="PPE"/>
    <s v="Debris collection work done by workers w/o mask"/>
    <m/>
    <m/>
    <s v="3"/>
    <s v="2"/>
    <n v="2"/>
    <x v="0"/>
    <n v="6"/>
    <x v="0"/>
    <m/>
    <m/>
    <n v="1"/>
    <x v="9"/>
    <s v="Closed"/>
    <m/>
    <s v="Zone 2 - Evaporator Building"/>
    <x v="16"/>
  </r>
  <r>
    <n v="320"/>
    <s v="Barricading"/>
    <s v="Improper barricades for excavated area"/>
    <m/>
    <m/>
    <m/>
    <m/>
    <n v="1"/>
    <x v="0"/>
    <n v="3"/>
    <x v="0"/>
    <m/>
    <n v="1"/>
    <m/>
    <x v="0"/>
    <s v="Closed"/>
    <m/>
    <s v="Zone 1 - Chiller Building and Oil Injection"/>
    <x v="16"/>
  </r>
  <r>
    <n v="321"/>
    <s v="Tools &amp; Equipment"/>
    <s v="Tool lanyard not used by the workmen while working at height"/>
    <m/>
    <m/>
    <m/>
    <m/>
    <n v="1"/>
    <x v="0"/>
    <n v="3"/>
    <x v="0"/>
    <m/>
    <m/>
    <n v="1"/>
    <x v="1"/>
    <s v="Closed"/>
    <m/>
    <s v="Zone 3 - Piperack H,I &amp; K Section, Temp. Chiller"/>
    <x v="16"/>
  </r>
  <r>
    <n v="322"/>
    <s v="Electrical"/>
    <s v="Loose electrical cables on the walkway creating a trip hazard."/>
    <m/>
    <m/>
    <s v="8"/>
    <s v="3"/>
    <n v="3"/>
    <x v="0"/>
    <n v="9"/>
    <x v="0"/>
    <m/>
    <n v="1"/>
    <m/>
    <x v="1"/>
    <s v="Closed"/>
    <m/>
    <s v="Zone 3 - Piperack H,I &amp; K Section, Temp. Chiller"/>
    <x v="16"/>
  </r>
  <r>
    <n v="323"/>
    <s v="PPE"/>
    <s v="In case of any emergency there is no clear pathway for person to come out from the working area. Multiple works are happening and blocked from all sides. Clear path to be ensured for each working zone for emergency "/>
    <m/>
    <m/>
    <m/>
    <m/>
    <n v="1"/>
    <x v="0"/>
    <n v="3"/>
    <x v="0"/>
    <m/>
    <n v="1"/>
    <m/>
    <x v="7"/>
    <s v="Closed"/>
    <m/>
    <s v="Zone 3 - Piperack H,I &amp; K Section, Temp. Chiller"/>
    <x v="16"/>
  </r>
  <r>
    <n v="324"/>
    <s v="Housekeeping"/>
    <s v="Area untidy"/>
    <m/>
    <m/>
    <n v="12"/>
    <n v="1"/>
    <n v="1"/>
    <x v="4"/>
    <n v="1"/>
    <x v="0"/>
    <m/>
    <n v="1"/>
    <m/>
    <x v="9"/>
    <s v="Closed"/>
    <m/>
    <s v="Zone 2 - Evaporator Building"/>
    <x v="16"/>
  </r>
  <r>
    <n v="325"/>
    <s v="PPE"/>
    <s v="One workmen without helmet at worksite, was having helmet in his hand"/>
    <m/>
    <m/>
    <m/>
    <m/>
    <n v="1"/>
    <x v="0"/>
    <n v="3"/>
    <x v="0"/>
    <n v="1"/>
    <m/>
    <n v="1"/>
    <x v="0"/>
    <s v="Closed"/>
    <m/>
    <s v="Zone 1 - Chiller Building and Oil Injection"/>
    <x v="16"/>
  </r>
  <r>
    <n v="326"/>
    <s v="Work at Height"/>
    <s v="Civil work in progress on Red Tag scaffolding at cooling tower area."/>
    <m/>
    <m/>
    <n v="2"/>
    <n v="2"/>
    <n v="2"/>
    <x v="0"/>
    <n v="6"/>
    <x v="0"/>
    <m/>
    <m/>
    <n v="1"/>
    <x v="8"/>
    <s v="Closed"/>
    <m/>
    <s v="Zone 2 - Evaporator Building"/>
    <x v="16"/>
  </r>
  <r>
    <n v="327"/>
    <s v="Barricading"/>
    <s v="The heavy pipes are hanging on structure but the pipes are free and not hold with any support. Risk of falling of pipe. Need to give support and ensure below area is barricaded to ensure no movement below the pipes"/>
    <m/>
    <m/>
    <m/>
    <m/>
    <n v="1"/>
    <x v="0"/>
    <n v="3"/>
    <x v="0"/>
    <m/>
    <n v="1"/>
    <m/>
    <x v="1"/>
    <s v="Closed"/>
    <m/>
    <s v="Zone 1 - Chiller Building and Oil Injection"/>
    <x v="16"/>
  </r>
  <r>
    <n v="328"/>
    <s v="Electrical"/>
    <s v="Loose cable on ground"/>
    <m/>
    <m/>
    <m/>
    <m/>
    <n v="1"/>
    <x v="0"/>
    <n v="3"/>
    <x v="0"/>
    <m/>
    <n v="1"/>
    <m/>
    <x v="10"/>
    <s v="Closed"/>
    <m/>
    <s v="Zone 2 - Evaporator Building"/>
    <x v="16"/>
  </r>
  <r>
    <n v="329"/>
    <s v="Barricading"/>
    <s v="The heavy pipes which are not having any clamping are moved ahead manually and the area is not barricaded completely. The work permit and MS &amp; RA could not be shown by person at site to check the approved Methodology for this activity. This activity to be relooked for safe execution of work."/>
    <m/>
    <m/>
    <n v="6"/>
    <n v="2"/>
    <n v="2"/>
    <x v="0"/>
    <n v="6"/>
    <x v="0"/>
    <m/>
    <m/>
    <n v="1"/>
    <x v="1"/>
    <s v="Closed"/>
    <m/>
    <s v="Zone 1 - Chiller Building and Oil Injection"/>
    <x v="16"/>
  </r>
  <r>
    <n v="330"/>
    <s v="Material Management"/>
    <s v="Carrying 6m+ length pipeline alone from one area to other. Risk of falling of pipe and injury to the personnel"/>
    <m/>
    <m/>
    <n v="6"/>
    <n v="1"/>
    <n v="1"/>
    <x v="0"/>
    <n v="3"/>
    <x v="0"/>
    <m/>
    <m/>
    <n v="1"/>
    <x v="0"/>
    <s v="Closed"/>
    <m/>
    <s v="Zone 1 - Chiller Building and Oil Injection"/>
    <x v="16"/>
  </r>
  <r>
    <n v="331"/>
    <s v="Good Practice"/>
    <s v="No Violation reported"/>
    <m/>
    <m/>
    <n v="3"/>
    <n v="0"/>
    <n v="1"/>
    <x v="6"/>
    <n v="1"/>
    <x v="0"/>
    <m/>
    <m/>
    <n v="1"/>
    <x v="0"/>
    <s v="Closed"/>
    <m/>
    <s v="Zone 3 - Piperack H,I &amp; K Section, Temp. Chiller"/>
    <x v="17"/>
  </r>
  <r>
    <n v="332"/>
    <s v="Material Management"/>
    <s v="Roof sheet broken due to wind"/>
    <m/>
    <m/>
    <n v="0"/>
    <n v="0"/>
    <n v="1"/>
    <x v="1"/>
    <n v="4"/>
    <x v="1"/>
    <m/>
    <n v="1"/>
    <m/>
    <x v="2"/>
    <s v="Closed"/>
    <m/>
    <s v="Zone 1 - Chiller Building and Oil Injection"/>
    <x v="17"/>
  </r>
  <r>
    <n v="333"/>
    <s v="Material Management"/>
    <s v="loose materials and tools stored in open condition"/>
    <m/>
    <m/>
    <n v="0"/>
    <n v="0"/>
    <n v="1"/>
    <x v="4"/>
    <n v="1"/>
    <x v="0"/>
    <m/>
    <n v="1"/>
    <m/>
    <x v="2"/>
    <s v="Closed"/>
    <m/>
    <s v="Zone 1 - Chiller Building and Oil Injection"/>
    <x v="17"/>
  </r>
  <r>
    <n v="334"/>
    <s v="PPE"/>
    <s v="Person working on scaffolding erection work watthour gloves"/>
    <m/>
    <m/>
    <n v="10"/>
    <n v="1"/>
    <n v="1"/>
    <x v="0"/>
    <n v="3"/>
    <x v="0"/>
    <n v="1"/>
    <m/>
    <n v="1"/>
    <x v="0"/>
    <s v="Closed"/>
    <m/>
    <s v="Zone 1 - Chiller Building and Oil Injection"/>
    <x v="17"/>
  </r>
  <r>
    <n v="335"/>
    <s v="Electrical"/>
    <s v="Loose cable &amp; tied on stand"/>
    <m/>
    <m/>
    <n v="0"/>
    <n v="0"/>
    <n v="1"/>
    <x v="0"/>
    <n v="3"/>
    <x v="0"/>
    <m/>
    <n v="1"/>
    <m/>
    <x v="1"/>
    <s v="Closed"/>
    <m/>
    <s v="Zone 1 - Chiller Building and Oil Injection"/>
    <x v="17"/>
  </r>
  <r>
    <n v="336"/>
    <s v="Electrical"/>
    <s v="People were observed sitting on the floor in the panel room, which may pose a safety risk in case of an emergency"/>
    <m/>
    <m/>
    <n v="3"/>
    <n v="3"/>
    <n v="1"/>
    <x v="0"/>
    <n v="3"/>
    <x v="0"/>
    <m/>
    <m/>
    <n v="1"/>
    <x v="5"/>
    <s v="Closed"/>
    <m/>
    <s v="Zone 4 - Oil Blending, Panel Room, Refrigeration Building &amp; Roof Areas"/>
    <x v="17"/>
  </r>
  <r>
    <n v="337"/>
    <s v="Fire Safety"/>
    <s v="One person was observed sitting near a welding machine under the pipe racks while welding work was in progress, posing a significant safety risk"/>
    <m/>
    <m/>
    <n v="5"/>
    <n v="1"/>
    <n v="1"/>
    <x v="1"/>
    <n v="4"/>
    <x v="1"/>
    <m/>
    <m/>
    <n v="1"/>
    <x v="1"/>
    <s v="Closed"/>
    <m/>
    <s v="Zone 3 - Piperack H,I &amp; K Section, Temp. Chiller"/>
    <x v="17"/>
  </r>
  <r>
    <n v="338"/>
    <s v="Material Management"/>
    <s v="Loose roof sheet hanging in air due to heavy wind"/>
    <m/>
    <m/>
    <m/>
    <m/>
    <n v="1"/>
    <x v="1"/>
    <n v="4"/>
    <x v="1"/>
    <m/>
    <n v="1"/>
    <m/>
    <x v="2"/>
    <s v="Closed"/>
    <m/>
    <s v="Zone 3 - Piperack H,I &amp; K Section, Temp. Chiller"/>
    <x v="17"/>
  </r>
  <r>
    <n v="339"/>
    <s v="Unsafe Behavior"/>
    <s v="Traffic marshal not maintaining the traffic adequately, people and vehicle are crossing each other while both are in motion, MMI is not managed adequately."/>
    <m/>
    <m/>
    <n v="13"/>
    <n v="4"/>
    <n v="1"/>
    <x v="0"/>
    <n v="3"/>
    <x v="0"/>
    <m/>
    <m/>
    <n v="1"/>
    <x v="0"/>
    <s v="Closed"/>
    <m/>
    <s v="Zone 1 - Chiller Building and Oil Injection"/>
    <x v="18"/>
  </r>
  <r>
    <n v="340"/>
    <s v="Access &amp; Egress"/>
    <s v="Water not going into drains and creating slip hazard. Drainage system needs to be redesigned in Oil blending area"/>
    <m/>
    <m/>
    <n v="0"/>
    <n v="0"/>
    <n v="1"/>
    <x v="0"/>
    <n v="3"/>
    <x v="0"/>
    <m/>
    <n v="1"/>
    <m/>
    <x v="4"/>
    <s v="Pending"/>
    <s v="Tajinder"/>
    <s v="Zone 4 - Oil Blending, Panel Room, Refrigeration Building &amp; Roof Areas"/>
    <x v="18"/>
  </r>
  <r>
    <n v="341"/>
    <s v="Material Management"/>
    <s v="Huge vibration observed in lines"/>
    <m/>
    <m/>
    <n v="0"/>
    <n v="0"/>
    <n v="1"/>
    <x v="0"/>
    <n v="3"/>
    <x v="0"/>
    <m/>
    <n v="1"/>
    <m/>
    <x v="4"/>
    <s v="Closed"/>
    <s v="Ajay"/>
    <s v="Zone 4 - Oil Blending, Panel Room, Refrigeration Building &amp; Roof Areas"/>
    <x v="18"/>
  </r>
  <r>
    <n v="342"/>
    <s v="Material Management"/>
    <s v="No place to go from one end to other. No aisle available."/>
    <m/>
    <m/>
    <n v="0"/>
    <n v="0"/>
    <n v="1"/>
    <x v="0"/>
    <n v="3"/>
    <x v="0"/>
    <m/>
    <n v="1"/>
    <m/>
    <x v="4"/>
    <s v="Closed"/>
    <m/>
    <s v="Zone 4 - Oil Blending, Panel Room, Refrigeration Building &amp; Roof Areas"/>
    <x v="18"/>
  </r>
  <r>
    <n v="343"/>
    <s v="Electrical"/>
    <s v="Panels kept open and cables hanging from panels"/>
    <m/>
    <m/>
    <n v="0"/>
    <n v="0"/>
    <n v="1"/>
    <x v="1"/>
    <n v="4"/>
    <x v="1"/>
    <m/>
    <n v="1"/>
    <m/>
    <x v="4"/>
    <s v="Closed"/>
    <m/>
    <s v="Zone 4 - Oil Blending, Panel Room, Refrigeration Building &amp; Roof Areas"/>
    <x v="18"/>
  </r>
  <r>
    <n v="344"/>
    <s v="Material Management"/>
    <s v="Water leakage from temporary cooling tower"/>
    <m/>
    <m/>
    <n v="0"/>
    <n v="0"/>
    <n v="1"/>
    <x v="0"/>
    <n v="3"/>
    <x v="0"/>
    <m/>
    <n v="1"/>
    <m/>
    <x v="1"/>
    <s v="Closed"/>
    <m/>
    <s v="Zone 3 - Piperack H,I &amp; K Section, Temp. Chiller"/>
    <x v="18"/>
  </r>
  <r>
    <n v="345"/>
    <s v="PPE"/>
    <s v="The handglove used by the helper was torn"/>
    <m/>
    <m/>
    <n v="25"/>
    <n v="1"/>
    <n v="1"/>
    <x v="0"/>
    <n v="3"/>
    <x v="0"/>
    <n v="1"/>
    <m/>
    <n v="1"/>
    <x v="1"/>
    <s v="Closed"/>
    <m/>
    <s v="Zone 3 - Piperack H,I &amp; K Section, Temp. Chiller"/>
    <x v="18"/>
  </r>
  <r>
    <n v="346"/>
    <s v="Barricading"/>
    <s v="Entry to construction area where welding cutting part is done is barricaded leading to people taking detour from side with narrow area and width which can lead to fall injury"/>
    <m/>
    <m/>
    <n v="0"/>
    <n v="0"/>
    <n v="1"/>
    <x v="2"/>
    <n v="2"/>
    <x v="0"/>
    <m/>
    <n v="1"/>
    <m/>
    <x v="4"/>
    <s v="Pending"/>
    <s v="Danish"/>
    <s v="Zone 3 - Piperack H,I &amp; K Section, Temp. Chiller"/>
    <x v="18"/>
  </r>
  <r>
    <n v="347"/>
    <s v="Material Management"/>
    <s v="Loose materials kept on roof. Risk of materials falling off during windy condition"/>
    <m/>
    <m/>
    <n v="0"/>
    <n v="0"/>
    <n v="1"/>
    <x v="1"/>
    <n v="4"/>
    <x v="1"/>
    <m/>
    <n v="1"/>
    <m/>
    <x v="1"/>
    <s v="Closed"/>
    <m/>
    <s v="Zone 1 - Chiller Building and Oil Injection"/>
    <x v="18"/>
  </r>
  <r>
    <n v="348"/>
    <s v="Material Management"/>
    <s v="Multiple parallel work and cleaning activity in close proximity"/>
    <m/>
    <m/>
    <n v="0"/>
    <n v="0"/>
    <n v="1"/>
    <x v="0"/>
    <n v="3"/>
    <x v="0"/>
    <m/>
    <n v="1"/>
    <m/>
    <x v="4"/>
    <s v="Closed"/>
    <m/>
    <s v="Zone 1 - Chiller Building and Oil Injection"/>
    <x v="18"/>
  </r>
  <r>
    <n v="349"/>
    <s v="Tools &amp; Equipment"/>
    <s v="Worker doing grinding work, using work bench with bench wise, power tools in good condition. Appreciated workers"/>
    <m/>
    <m/>
    <n v="4"/>
    <n v="0"/>
    <n v="1"/>
    <x v="6"/>
    <n v="0"/>
    <x v="0"/>
    <m/>
    <m/>
    <n v="1"/>
    <x v="5"/>
    <s v="Closed"/>
    <m/>
    <s v="Zone 4 - Oil Blending, Panel Room, Refrigeration Building &amp; Roof Areas"/>
    <x v="18"/>
  </r>
  <r>
    <n v="350"/>
    <s v="Material Management"/>
    <s v="Water spilled over floor inside oil blending area"/>
    <m/>
    <m/>
    <n v="0"/>
    <n v="0"/>
    <n v="1"/>
    <x v="2"/>
    <n v="2"/>
    <x v="0"/>
    <m/>
    <n v="1"/>
    <m/>
    <x v="4"/>
    <s v="Closed"/>
    <m/>
    <s v="Zone 4 - Oil Blending, Panel Room, Refrigeration Building &amp; Roof Areas"/>
    <x v="18"/>
  </r>
  <r>
    <n v="351"/>
    <s v="Access &amp; Egress"/>
    <s v="Worker observed using staircase without handrails."/>
    <m/>
    <m/>
    <n v="0"/>
    <n v="0"/>
    <n v="1"/>
    <x v="0"/>
    <n v="3"/>
    <x v="0"/>
    <m/>
    <n v="1"/>
    <m/>
    <x v="9"/>
    <s v="Closed"/>
    <m/>
    <s v="Zone 2 - Evaporator Building"/>
    <x v="19"/>
  </r>
  <r>
    <n v="352"/>
    <s v="PPE"/>
    <s v="Worker was doing welding work without leather hand gloves."/>
    <m/>
    <m/>
    <n v="1"/>
    <n v="1"/>
    <n v="1"/>
    <x v="0"/>
    <n v="3"/>
    <x v="0"/>
    <n v="1"/>
    <m/>
    <n v="1"/>
    <x v="7"/>
    <s v="Closed"/>
    <m/>
    <s v="Zone 2 - Evaporator Building"/>
    <x v="19"/>
  </r>
  <r>
    <n v="353"/>
    <s v="Housekeeping"/>
    <s v="Poor housekeeping in the area , water cooler pathway is obstructed near canteen area."/>
    <m/>
    <m/>
    <n v="17"/>
    <n v="6"/>
    <n v="1"/>
    <x v="0"/>
    <n v="3"/>
    <x v="0"/>
    <m/>
    <m/>
    <n v="1"/>
    <x v="1"/>
    <s v="Closed"/>
    <m/>
    <s v="Zone 3 - Piperack H,I &amp; K Section, Temp. Chiller"/>
    <x v="19"/>
  </r>
  <r>
    <n v="354"/>
    <s v="PPE"/>
    <s v="Good PPE adherence, road kept blocked &amp; person moving over it. It is a trip hazard at site while walking."/>
    <m/>
    <m/>
    <n v="5"/>
    <n v="1"/>
    <n v="1"/>
    <x v="0"/>
    <n v="3"/>
    <x v="0"/>
    <m/>
    <m/>
    <n v="1"/>
    <x v="7"/>
    <s v="Closed"/>
    <m/>
    <s v="Zone 2 - Evaporator Building"/>
    <x v="19"/>
  </r>
  <r>
    <n v="355"/>
    <s v="Work at Height"/>
    <s v="Gap between ladder and platform"/>
    <m/>
    <m/>
    <n v="0"/>
    <n v="0"/>
    <n v="1"/>
    <x v="0"/>
    <n v="3"/>
    <x v="0"/>
    <m/>
    <n v="1"/>
    <m/>
    <x v="10"/>
    <s v="Closed"/>
    <m/>
    <s v="Zone 2 - Evaporator Building"/>
    <x v="19"/>
  </r>
  <r>
    <n v="356"/>
    <s v="Work at Height"/>
    <s v="Person moving on ladder which is not having rails. Risk of fall."/>
    <m/>
    <m/>
    <n v="10"/>
    <n v="1"/>
    <n v="1"/>
    <x v="0"/>
    <n v="3"/>
    <x v="0"/>
    <n v="1"/>
    <m/>
    <n v="1"/>
    <x v="10"/>
    <s v="Closed"/>
    <m/>
    <s v="Zone 2 - Evaporator Building"/>
    <x v="19"/>
  </r>
  <r>
    <n v="357"/>
    <s v="Material Management"/>
    <s v="Old walls have got cracks now. Needs to be inspected for strength"/>
    <m/>
    <m/>
    <n v="0"/>
    <n v="0"/>
    <n v="1"/>
    <x v="2"/>
    <n v="2"/>
    <x v="0"/>
    <m/>
    <n v="1"/>
    <m/>
    <x v="4"/>
    <s v="Pending"/>
    <s v="Surender"/>
    <s v="Zone 2 - Evaporator Building"/>
    <x v="19"/>
  </r>
  <r>
    <n v="358"/>
    <s v="Fire Safety"/>
    <s v="Inadequate fire blanketing"/>
    <m/>
    <m/>
    <n v="0"/>
    <n v="0"/>
    <n v="1"/>
    <x v="0"/>
    <n v="3"/>
    <x v="0"/>
    <m/>
    <n v="1"/>
    <m/>
    <x v="1"/>
    <s v="Closed"/>
    <m/>
    <s v="Zone 1 - Chiller Building and Oil Injection"/>
    <x v="19"/>
  </r>
  <r>
    <n v="359"/>
    <s v="Material Management"/>
    <s v="Missing rebar Caps"/>
    <m/>
    <m/>
    <n v="0"/>
    <n v="0"/>
    <n v="1"/>
    <x v="0"/>
    <n v="3"/>
    <x v="0"/>
    <m/>
    <n v="1"/>
    <m/>
    <x v="0"/>
    <s v="Closed"/>
    <m/>
    <s v="Zone 1 - Chiller Building and Oil Injection"/>
    <x v="19"/>
  </r>
  <r>
    <n v="360"/>
    <s v="Fire Safety"/>
    <s v="Manually shifting welding Machine over shoulder"/>
    <m/>
    <m/>
    <n v="4"/>
    <n v="2"/>
    <n v="1"/>
    <x v="0"/>
    <n v="3"/>
    <x v="0"/>
    <m/>
    <m/>
    <n v="1"/>
    <x v="10"/>
    <s v="Closed"/>
    <m/>
    <s v="Zone 1 - Chiller Building and Oil Injection"/>
    <x v="19"/>
  </r>
  <r>
    <n v="361"/>
    <s v="Barricading"/>
    <s v="barricade is broken near cement work where high height work near evaporator building is being done with iron protrusions out on plane level which can cause pinch to person if remains unnoticed"/>
    <m/>
    <m/>
    <n v="3"/>
    <n v="2"/>
    <n v="1"/>
    <x v="2"/>
    <n v="2"/>
    <x v="0"/>
    <n v="1"/>
    <m/>
    <n v="1"/>
    <x v="4"/>
    <s v="Closed"/>
    <m/>
    <s v="Zone 2 - Evaporator Building"/>
    <x v="20"/>
  </r>
  <r>
    <n v="362"/>
    <s v="Barricading"/>
    <s v="Platform material being shifted inside the evaporator building, area barricaded, flag mag available, proper communication maintained and taglines used"/>
    <m/>
    <m/>
    <n v="14"/>
    <n v="0"/>
    <n v="1"/>
    <x v="4"/>
    <n v="1"/>
    <x v="0"/>
    <m/>
    <m/>
    <m/>
    <x v="10"/>
    <s v="Closed"/>
    <m/>
    <s v="Zone 2 - Evaporator Building"/>
    <x v="20"/>
  </r>
  <r>
    <n v="363"/>
    <s v="Housekeeping"/>
    <s v="Housekeeping needs improvement"/>
    <m/>
    <m/>
    <n v="0"/>
    <n v="0"/>
    <n v="1"/>
    <x v="4"/>
    <n v="1"/>
    <x v="0"/>
    <m/>
    <n v="1"/>
    <m/>
    <x v="10"/>
    <s v="Closed"/>
    <m/>
    <s v="Zone 2 - Evaporator Building"/>
    <x v="20"/>
  </r>
  <r>
    <n v="364"/>
    <s v="PPE"/>
    <s v="One worker handling platform structure without hand gloves"/>
    <m/>
    <m/>
    <n v="15"/>
    <n v="1"/>
    <n v="1"/>
    <x v="4"/>
    <n v="1"/>
    <x v="0"/>
    <n v="1"/>
    <m/>
    <n v="1"/>
    <x v="10"/>
    <s v="Closed"/>
    <m/>
    <s v="Zone 2 - Evaporator Building"/>
    <x v="20"/>
  </r>
  <r>
    <n v="365"/>
    <s v="Material Management"/>
    <s v="Slab Rebar caps exposed while Fluidline team working on pipe shifting"/>
    <m/>
    <m/>
    <n v="5"/>
    <n v="1"/>
    <n v="1"/>
    <x v="1"/>
    <n v="4"/>
    <x v="1"/>
    <m/>
    <m/>
    <n v="1"/>
    <x v="0"/>
    <s v="Closed"/>
    <m/>
    <s v="Zone 1 - Chiller Building and Oil Injection"/>
    <x v="20"/>
  </r>
  <r>
    <n v="366"/>
    <s v="Material Management"/>
    <s v="Work bench height to be reduced to work ergonomically safe"/>
    <m/>
    <m/>
    <n v="5"/>
    <n v="1"/>
    <n v="1"/>
    <x v="0"/>
    <n v="3"/>
    <x v="0"/>
    <m/>
    <m/>
    <n v="1"/>
    <x v="1"/>
    <s v="Pending"/>
    <m/>
    <s v="Zone 1 - Chiller Building and Oil Injection"/>
    <x v="20"/>
  </r>
  <r>
    <n v="367"/>
    <s v="Material Management"/>
    <s v="Using mobile phone while shifting of material"/>
    <m/>
    <m/>
    <n v="5"/>
    <n v="1"/>
    <n v="1"/>
    <x v="0"/>
    <n v="3"/>
    <x v="0"/>
    <m/>
    <m/>
    <n v="1"/>
    <x v="8"/>
    <s v="Closed"/>
    <m/>
    <s v="Zone 1 - Chiller Building and Oil Injection"/>
    <x v="20"/>
  </r>
  <r>
    <n v="368"/>
    <s v="Material Management"/>
    <s v="In contractor yards, several containers are currently being used for storing materials and spare parts. However, these containers lack a proper power supply, and personnel working inside them are exposed to uncomfortable and unsuitable environmental conditions. Additionally, workers are relying on mobile torches for lighting, which poses a safety risk and is not an appropriate or reliable solution. Although this observation is being reported for the second time within a month, no corrective actions have been implemented so far."/>
    <m/>
    <m/>
    <n v="20"/>
    <n v="1"/>
    <n v="1"/>
    <x v="0"/>
    <n v="3"/>
    <x v="0"/>
    <m/>
    <n v="1"/>
    <m/>
    <x v="4"/>
    <s v="Closed"/>
    <s v="Danish"/>
    <s v="Zone 3 - Contractor Yard and Periphery"/>
    <x v="21"/>
  </r>
  <r>
    <n v="369"/>
    <s v="Housekeeping"/>
    <s v="Materials are being stored adjoining the periphery; however, the housekeeping in this area requires improvement. The storage arrangement should be better organized to ensure safe access, proper identification, and efficiency."/>
    <m/>
    <m/>
    <n v="0"/>
    <n v="0"/>
    <n v="1"/>
    <x v="0"/>
    <n v="3"/>
    <x v="0"/>
    <m/>
    <n v="1"/>
    <m/>
    <x v="4"/>
    <s v="Pending"/>
    <s v="Ajay, Akshay, Surender"/>
    <s v="Zone 3 - Contractor Yard and Periphery"/>
    <x v="21"/>
  </r>
  <r>
    <n v="370"/>
    <s v="Housekeeping"/>
    <s v="1. Crescorn working without supervision at top.2 Espee people not using handrail while coming  or going downstairs.3. housekeeping need to be improved at GEA platform."/>
    <m/>
    <m/>
    <n v="8"/>
    <n v="17"/>
    <n v="1"/>
    <x v="0"/>
    <n v="3"/>
    <x v="0"/>
    <m/>
    <m/>
    <n v="1"/>
    <x v="10"/>
    <s v="Closed"/>
    <m/>
    <s v="Zone 3 - Contractor Yard and Periphery"/>
    <x v="21"/>
  </r>
  <r>
    <n v="371"/>
    <s v="Housekeeping"/>
    <s v="Rockwool scrap at site"/>
    <m/>
    <m/>
    <n v="12"/>
    <n v="0"/>
    <n v="1"/>
    <x v="2"/>
    <n v="2"/>
    <x v="0"/>
    <m/>
    <n v="1"/>
    <m/>
    <x v="5"/>
    <s v="Closed"/>
    <m/>
    <s v="Zone 3 - Contractor Yard and Periphery"/>
    <x v="21"/>
  </r>
  <r>
    <n v="372"/>
    <s v="PPE"/>
    <s v="Fabrication work being done in safe way, using work bench along with bench wise, proper Ppe and good condition tools"/>
    <m/>
    <m/>
    <n v="6"/>
    <n v="0"/>
    <n v="1"/>
    <x v="4"/>
    <n v="1"/>
    <x v="0"/>
    <m/>
    <m/>
    <n v="1"/>
    <x v="14"/>
    <s v="Closed"/>
    <m/>
    <s v="Zone 3 - Contractor Yard and Periphery"/>
    <x v="21"/>
  </r>
  <r>
    <n v="373"/>
    <s v="PTW &amp; Supervision"/>
    <s v="Supervisors and workers stood in close proximity of JCB during while levelling activity"/>
    <m/>
    <m/>
    <n v="0"/>
    <n v="3"/>
    <n v="1"/>
    <x v="1"/>
    <n v="4"/>
    <x v="1"/>
    <m/>
    <m/>
    <n v="1"/>
    <x v="0"/>
    <s v="Closed"/>
    <m/>
    <s v="Zone 1 - Chiller Building and Oil Injection"/>
    <x v="21"/>
  </r>
  <r>
    <n v="374"/>
    <s v="Lifting Operations"/>
    <s v="Workers standing in close proximity of boom lift inside the barigation"/>
    <m/>
    <m/>
    <n v="0"/>
    <n v="2"/>
    <n v="1"/>
    <x v="1"/>
    <n v="4"/>
    <x v="1"/>
    <m/>
    <m/>
    <n v="1"/>
    <x v="1"/>
    <s v="Closed"/>
    <m/>
    <s v="Zone 1 - Chiller Building and Oil Injection"/>
    <x v="21"/>
  </r>
  <r>
    <n v="375"/>
    <s v="Housekeeping"/>
    <s v="Ongoing housekeeping activity"/>
    <m/>
    <m/>
    <n v="2"/>
    <n v="0"/>
    <n v="1"/>
    <x v="4"/>
    <n v="1"/>
    <x v="0"/>
    <m/>
    <m/>
    <m/>
    <x v="9"/>
    <s v="Closed"/>
    <m/>
    <s v="Zone 3 - Contractor Yard and Periphery"/>
    <x v="21"/>
  </r>
  <r>
    <n v="376"/>
    <s v="Access &amp; Egress"/>
    <s v="Condensate line crossing pathway to Evaporator site near boiler creating trip hazard"/>
    <m/>
    <m/>
    <n v="0"/>
    <n v="0"/>
    <n v="1"/>
    <x v="0"/>
    <n v="3"/>
    <x v="0"/>
    <m/>
    <n v="1"/>
    <m/>
    <x v="4"/>
    <s v="Closed"/>
    <s v="Surender"/>
    <s v="Zone 1 - Chiller Building and Oil Injection"/>
    <x v="21"/>
  </r>
  <r>
    <n v="377"/>
    <s v="Material Management"/>
    <s v="Unwanted thrash near contractor yard"/>
    <m/>
    <m/>
    <n v="0"/>
    <n v="0"/>
    <n v="1"/>
    <x v="2"/>
    <n v="2"/>
    <x v="0"/>
    <m/>
    <n v="1"/>
    <m/>
    <x v="7"/>
    <s v="Pending"/>
    <m/>
    <s v="Zone 1 - Chiller Building and Oil Injection"/>
    <x v="21"/>
  </r>
  <r>
    <n v="378"/>
    <s v="Environment"/>
    <s v="Dust in the Evaporator area"/>
    <m/>
    <m/>
    <n v="0"/>
    <n v="0"/>
    <n v="1"/>
    <x v="2"/>
    <n v="2"/>
    <x v="0"/>
    <m/>
    <n v="1"/>
    <m/>
    <x v="9"/>
    <s v="Pending"/>
    <m/>
    <s v="Zone 1 - Chiller Building and Oil Injection"/>
    <x v="21"/>
  </r>
  <r>
    <n v="379"/>
    <s v="PPE"/>
    <s v="Use of safety harness without inspection."/>
    <m/>
    <m/>
    <n v="7"/>
    <n v="1"/>
    <n v="1"/>
    <x v="0"/>
    <n v="3"/>
    <x v="0"/>
    <n v="1"/>
    <m/>
    <n v="1"/>
    <x v="1"/>
    <s v="Closed"/>
    <m/>
    <s v="Zone 4 - Oil Blending, Panel Room, Refrigeration Building &amp; Roof Areas"/>
    <x v="21"/>
  </r>
  <r>
    <n v="380"/>
    <s v="Barricading"/>
    <s v="Barrication of the area is not adequate"/>
    <m/>
    <m/>
    <n v="0"/>
    <n v="0"/>
    <n v="1"/>
    <x v="0"/>
    <n v="3"/>
    <x v="0"/>
    <m/>
    <n v="1"/>
    <m/>
    <x v="1"/>
    <s v="Closed"/>
    <m/>
    <s v="Zone 4 - Oil Blending, Panel Room, Refrigeration Building &amp; Roof Areas"/>
    <x v="21"/>
  </r>
  <r>
    <n v="381"/>
    <s v="Unsafe Behavior"/>
    <s v="Persons observed crossing over round pipes by stepping on them"/>
    <m/>
    <m/>
    <n v="9"/>
    <n v="2"/>
    <n v="1"/>
    <x v="0"/>
    <n v="3"/>
    <x v="0"/>
    <m/>
    <m/>
    <n v="1"/>
    <x v="1"/>
    <s v="Closed"/>
    <m/>
    <s v="Zone 1 - Chiller Building and Oil Injection"/>
    <x v="21"/>
  </r>
  <r>
    <n v="382"/>
    <s v="Environment"/>
    <s v="Inadequate illumination in the work area (chiller building)"/>
    <m/>
    <m/>
    <n v="0"/>
    <n v="0"/>
    <n v="1"/>
    <x v="0"/>
    <n v="3"/>
    <x v="0"/>
    <m/>
    <n v="1"/>
    <m/>
    <x v="1"/>
    <s v="Closed"/>
    <m/>
    <s v="Zone 1 - Chiller Building and Oil Injection"/>
    <x v="21"/>
  </r>
  <r>
    <n v="383"/>
    <s v="Tools &amp; Equipment"/>
    <s v="Worker found using a damaged tool at the site."/>
    <m/>
    <m/>
    <n v="3"/>
    <n v="1"/>
    <n v="1"/>
    <x v="0"/>
    <n v="3"/>
    <x v="0"/>
    <m/>
    <m/>
    <n v="1"/>
    <x v="1"/>
    <s v="Closed"/>
    <m/>
    <s v="Zone 1 - Chiller Building and Oil Injection"/>
    <x v="21"/>
  </r>
  <r>
    <n v="384"/>
    <s v="Housekeeping"/>
    <s v="Scrap and loose material kept on top of refrigeration building"/>
    <m/>
    <m/>
    <n v="0"/>
    <n v="1"/>
    <n v="1"/>
    <x v="0"/>
    <n v="3"/>
    <x v="0"/>
    <m/>
    <n v="1"/>
    <m/>
    <x v="1"/>
    <s v="Pending"/>
    <m/>
    <s v="Zone 4 - Oil Blending, Panel Room, Refrigeration Building &amp; Roof Areas"/>
    <x v="22"/>
  </r>
  <r>
    <n v="385"/>
    <s v="Material Management"/>
    <s v="Worker idle, no work being done"/>
    <m/>
    <m/>
    <n v="7"/>
    <n v="0"/>
    <n v="1"/>
    <x v="4"/>
    <n v="1"/>
    <x v="0"/>
    <m/>
    <m/>
    <n v="1"/>
    <x v="5"/>
    <s v="Closed"/>
    <m/>
    <s v="Zone 4 - Oil Blending, Panel Room, Refrigeration Building &amp; Roof Areas"/>
    <x v="22"/>
  </r>
  <r>
    <n v="386"/>
    <s v="Lifting Operations"/>
    <s v="People standing below crane and casually talking without noting down the movement of crane which can be risky"/>
    <m/>
    <m/>
    <n v="8"/>
    <n v="2"/>
    <n v="1"/>
    <x v="2"/>
    <n v="2"/>
    <x v="0"/>
    <m/>
    <m/>
    <n v="1"/>
    <x v="1"/>
    <s v="Pending"/>
    <m/>
    <s v="Zone 1 - Chiller Building and Oil Injection"/>
    <x v="22"/>
  </r>
  <r>
    <n v="387"/>
    <s v="PPE"/>
    <s v="Pipe kept at pipe structire support without tying &amp; use of grinder wheel instead of stopper to stop it from rolling"/>
    <m/>
    <m/>
    <n v="10"/>
    <n v="0"/>
    <n v="1"/>
    <x v="1"/>
    <n v="4"/>
    <x v="1"/>
    <m/>
    <n v="1"/>
    <m/>
    <x v="1"/>
    <s v="Closed"/>
    <m/>
    <s v="Zone 1 - Chiller Building and Oil Injection"/>
    <x v="22"/>
  </r>
  <r>
    <n v="388"/>
    <s v="Work at Height"/>
    <s v="Workers climbed down the from outside of the scaffold platform (1.5m) by stepping on the round bars. This creates a slip and fall hazard"/>
    <m/>
    <m/>
    <n v="6"/>
    <n v="1"/>
    <n v="1"/>
    <x v="0"/>
    <n v="3"/>
    <x v="0"/>
    <m/>
    <m/>
    <n v="1"/>
    <x v="1"/>
    <s v="Closed"/>
    <m/>
    <s v="Zone 1 - Chiller Building and Oil Injection"/>
    <x v="22"/>
  </r>
  <r>
    <n v="389"/>
    <s v="Access &amp; Egress"/>
    <s v="Access step provided using blocks having gaps &amp; uneven creating slip &amp; trip hazard"/>
    <m/>
    <m/>
    <n v="0"/>
    <n v="0"/>
    <n v="1"/>
    <x v="2"/>
    <n v="2"/>
    <x v="0"/>
    <m/>
    <n v="1"/>
    <m/>
    <x v="1"/>
    <s v="Closed"/>
    <m/>
    <s v="Zone 1 - Chiller Building and Oil Injection"/>
    <x v="22"/>
  </r>
  <r>
    <n v="390"/>
    <s v="Access &amp; Egress"/>
    <s v="Pathway is uneven &amp; slipry due to gravel &amp; pipe kept in the way"/>
    <m/>
    <m/>
    <n v="0"/>
    <n v="0"/>
    <n v="1"/>
    <x v="2"/>
    <n v="2"/>
    <x v="0"/>
    <m/>
    <n v="1"/>
    <m/>
    <x v="1"/>
    <s v="Pending"/>
    <m/>
    <s v="Zone 1 - Chiller Building and Oil Injection"/>
    <x v="22"/>
  </r>
  <r>
    <n v="391"/>
    <s v="Work at Height"/>
    <s v="Loose material kept on scaffolding without toe guard &amp; recomended to use tool lanyard"/>
    <m/>
    <m/>
    <n v="0"/>
    <n v="0"/>
    <n v="1"/>
    <x v="0"/>
    <n v="3"/>
    <x v="0"/>
    <m/>
    <n v="1"/>
    <m/>
    <x v="0"/>
    <s v="Pending"/>
    <m/>
    <s v="Zone 1 - Chiller Building and Oil Injection"/>
    <x v="22"/>
  </r>
  <r>
    <n v="392"/>
    <s v="Barricading"/>
    <s v="Railing of then stairs &amp; platform needs to be provided recomended to provide barrication till the railing is provided"/>
    <m/>
    <m/>
    <n v="0"/>
    <n v="0"/>
    <n v="1"/>
    <x v="1"/>
    <n v="4"/>
    <x v="1"/>
    <m/>
    <n v="1"/>
    <m/>
    <x v="0"/>
    <s v="Pending"/>
    <m/>
    <s v="Zone 1 - Chiller Building and Oil Injection"/>
    <x v="22"/>
  </r>
  <r>
    <n v="393"/>
    <s v="Barricading"/>
    <s v="Barrication of the excavated pit missing"/>
    <m/>
    <m/>
    <n v="0"/>
    <n v="0"/>
    <n v="1"/>
    <x v="1"/>
    <n v="4"/>
    <x v="1"/>
    <m/>
    <n v="1"/>
    <m/>
    <x v="0"/>
    <s v="Closed"/>
    <m/>
    <s v="Zone 1 - Chiller Building and Oil Injection"/>
    <x v="22"/>
  </r>
  <r>
    <n v="394"/>
    <s v="Excavation"/>
    <s v="Supervisor observed crossing excavated pit without having proper access"/>
    <m/>
    <m/>
    <n v="6"/>
    <n v="2"/>
    <n v="1"/>
    <x v="0"/>
    <n v="3"/>
    <x v="0"/>
    <m/>
    <m/>
    <n v="1"/>
    <x v="0"/>
    <s v="Closed"/>
    <m/>
    <s v="Zone 1 - Chiller Building and Oil Injection"/>
    <x v="22"/>
  </r>
  <r>
    <n v="395"/>
    <s v="Excavation"/>
    <s v="Supervisor observed using phone while crossing excavated pit without baving proper access"/>
    <m/>
    <m/>
    <n v="5"/>
    <n v="1"/>
    <n v="1"/>
    <x v="0"/>
    <n v="3"/>
    <x v="0"/>
    <m/>
    <m/>
    <n v="1"/>
    <x v="8"/>
    <s v="Closed"/>
    <m/>
    <s v="Zone 1 - Chiller Building and Oil Injection"/>
    <x v="22"/>
  </r>
  <r>
    <n v="396"/>
    <s v="Material Management"/>
    <s v="Nails on the shuttering material observed while manual handling the material "/>
    <m/>
    <m/>
    <m/>
    <m/>
    <n v="1"/>
    <x v="0"/>
    <n v="3"/>
    <x v="0"/>
    <m/>
    <n v="1"/>
    <m/>
    <x v="0"/>
    <s v="Pending"/>
    <m/>
    <s v="Zone 1 - Chiller Building and Oil Injection"/>
    <x v="22"/>
  </r>
  <r>
    <n v="397"/>
    <s v="Material Management"/>
    <s v="In adequate lights"/>
    <m/>
    <m/>
    <n v="4"/>
    <n v="2"/>
    <n v="1"/>
    <x v="0"/>
    <n v="3"/>
    <x v="0"/>
    <m/>
    <n v="1"/>
    <m/>
    <x v="1"/>
    <s v="Closed"/>
    <m/>
    <s v="Zone 1 - Chiller Building and Oil Injection"/>
    <x v="22"/>
  </r>
  <r>
    <n v="398"/>
    <s v="PPE"/>
    <s v="Worker was doing material shifting work without hand gloves "/>
    <m/>
    <m/>
    <n v="4"/>
    <n v="1"/>
    <n v="1"/>
    <x v="2"/>
    <n v="2"/>
    <x v="0"/>
    <n v="1"/>
    <m/>
    <n v="1"/>
    <x v="0"/>
    <s v="Closed"/>
    <m/>
    <s v="Zone 1 - Chiller Building and Oil Injection"/>
    <x v="23"/>
  </r>
  <r>
    <n v="399"/>
    <s v="Access &amp; Egress"/>
    <s v="Access restricted "/>
    <m/>
    <m/>
    <n v="4"/>
    <n v="3"/>
    <n v="3"/>
    <x v="2"/>
    <n v="6"/>
    <x v="0"/>
    <m/>
    <n v="1"/>
    <m/>
    <x v="7"/>
    <s v="Pending"/>
    <m/>
    <s v="Zone 2 - Evaporator Building"/>
    <x v="23"/>
  </r>
  <r>
    <n v="400"/>
    <s v="Material Management"/>
    <s v="employees were counselled to practice the right behaviour while walking  "/>
    <m/>
    <m/>
    <n v="5"/>
    <m/>
    <n v="1"/>
    <x v="4"/>
    <n v="1"/>
    <x v="0"/>
    <m/>
    <m/>
    <m/>
    <x v="0"/>
    <s v="Closed"/>
    <m/>
    <s v="Zone 3 - Contractor Yard and Periphery"/>
    <x v="23"/>
  </r>
  <r>
    <n v="401"/>
    <s v="Barricading"/>
    <s v="Excavated pits barricaded close to the edge to pit"/>
    <m/>
    <m/>
    <n v="14"/>
    <m/>
    <n v="1"/>
    <x v="0"/>
    <n v="3"/>
    <x v="0"/>
    <m/>
    <n v="1"/>
    <m/>
    <x v="0"/>
    <s v="Pending"/>
    <m/>
    <s v="Zone 1 - Chiller Building and Oil Injection"/>
    <x v="23"/>
  </r>
  <r>
    <n v="402"/>
    <s v="Material Management"/>
    <s v="Cutting work in progress near flammable material. Use a fire blanket to cover the material"/>
    <m/>
    <m/>
    <m/>
    <m/>
    <n v="1"/>
    <x v="0"/>
    <n v="3"/>
    <x v="0"/>
    <m/>
    <n v="1"/>
    <m/>
    <x v="1"/>
    <s v="Closed"/>
    <m/>
    <s v="Zone 1 - Chiller Building and Oil Injection"/>
    <x v="23"/>
  </r>
  <r>
    <n v="403"/>
    <s v="Work at Height"/>
    <s v="Handling platform with one hand and using mobile with other hand at same time"/>
    <m/>
    <m/>
    <n v="2"/>
    <n v="1"/>
    <n v="1"/>
    <x v="0"/>
    <n v="3"/>
    <x v="0"/>
    <m/>
    <m/>
    <n v="1"/>
    <x v="7"/>
    <s v="Closed"/>
    <m/>
    <s v="Zone 1 - Chiller Building and Oil Injection"/>
    <x v="23"/>
  </r>
  <r>
    <n v="404"/>
    <s v="PPE"/>
    <s v="Worker doing block work without hand gloves"/>
    <m/>
    <m/>
    <n v="12"/>
    <n v="1"/>
    <n v="1"/>
    <x v="4"/>
    <n v="1"/>
    <x v="0"/>
    <n v="1"/>
    <m/>
    <n v="1"/>
    <x v="0"/>
    <s v="Closed"/>
    <m/>
    <s v="Zone 4 - Oil Blending, Panel Room, Refrigeration Building &amp; Roof Areas"/>
    <x v="23"/>
  </r>
  <r>
    <n v="405"/>
    <s v="Work at Height"/>
    <s v="Worker observed sitting on a scaffolding pipe while performing drilling work at height."/>
    <m/>
    <m/>
    <m/>
    <m/>
    <n v="1"/>
    <x v="0"/>
    <n v="3"/>
    <x v="0"/>
    <m/>
    <n v="1"/>
    <m/>
    <x v="10"/>
    <s v="Closed"/>
    <m/>
    <s v="Zone 2 - Evaporator Building"/>
    <x v="23"/>
  </r>
  <r>
    <n v="406"/>
    <s v="Access &amp; Egress"/>
    <s v="Access restricted"/>
    <m/>
    <m/>
    <m/>
    <m/>
    <n v="1"/>
    <x v="2"/>
    <n v="2"/>
    <x v="0"/>
    <m/>
    <n v="1"/>
    <m/>
    <x v="9"/>
    <s v="Pending"/>
    <m/>
    <s v="Zone 2 - Evaporator Building"/>
    <x v="23"/>
  </r>
  <r>
    <n v="407"/>
    <s v="PPE"/>
    <s v="Person doing pipe fabrication work on scaffold and harness anchored at leg level"/>
    <m/>
    <m/>
    <n v="8"/>
    <n v="1"/>
    <n v="1"/>
    <x v="0"/>
    <n v="3"/>
    <x v="0"/>
    <m/>
    <m/>
    <n v="1"/>
    <x v="1"/>
    <s v="Closed"/>
    <m/>
    <s v="Zone 2 - Evaporator Building"/>
    <x v="23"/>
  </r>
  <r>
    <n v="408"/>
    <s v="PTW &amp; Supervision"/>
    <s v="Work permit not available for the ongoing work with the supervisor in contractor yard."/>
    <m/>
    <m/>
    <n v="3"/>
    <n v="1"/>
    <n v="1"/>
    <x v="0"/>
    <n v="3"/>
    <x v="0"/>
    <m/>
    <m/>
    <n v="1"/>
    <x v="7"/>
    <s v="Closed"/>
    <m/>
    <s v="Zone 3 - Contractor Yard and Periphery"/>
    <x v="24"/>
  </r>
  <r>
    <n v="409"/>
    <s v="Barricading"/>
    <s v="Pit near new scaffolding in front of canteen gate is not having any barricading . pls check and barricade "/>
    <m/>
    <m/>
    <s v="4"/>
    <s v="2"/>
    <s v="2"/>
    <x v="2"/>
    <n v="4"/>
    <x v="0"/>
    <m/>
    <n v="1"/>
    <m/>
    <x v="1"/>
    <s v="Closed"/>
    <m/>
    <s v="Zone 1 - Chiller Building and Oil Injection"/>
    <x v="24"/>
  </r>
  <r>
    <n v="410"/>
    <s v="Electrical"/>
    <s v="Power cable on floor, taken through door bottom to container"/>
    <m/>
    <m/>
    <s v="1"/>
    <s v="1"/>
    <s v="1"/>
    <x v="1"/>
    <n v="4"/>
    <x v="1"/>
    <m/>
    <n v="1"/>
    <m/>
    <x v="5"/>
    <s v="Closed"/>
    <m/>
    <s v="Zone 3 - Contractor Yard and Periphery"/>
    <x v="24"/>
  </r>
  <r>
    <n v="411"/>
    <s v="Fire Safety"/>
    <s v="Use of improper bench for welding"/>
    <m/>
    <m/>
    <s v="4"/>
    <s v="2"/>
    <s v="2"/>
    <x v="1"/>
    <n v="4"/>
    <x v="1"/>
    <m/>
    <m/>
    <n v="1"/>
    <x v="1"/>
    <s v="Closed"/>
    <m/>
    <s v="Zone 1 - Chiller Building and Oil Injection"/>
    <x v="24"/>
  </r>
  <r>
    <n v="412"/>
    <s v="Barricading"/>
    <s v="A portion of barrication missing at the entrance of evaporator building"/>
    <m/>
    <m/>
    <s v="12"/>
    <s v="0"/>
    <n v="1"/>
    <x v="0"/>
    <n v="8"/>
    <x v="0"/>
    <m/>
    <n v="1"/>
    <m/>
    <x v="7"/>
    <s v="Pending"/>
    <m/>
    <s v="Zone 2 - Evaporator Building"/>
    <x v="24"/>
  </r>
  <r>
    <n v="413"/>
    <s v="Material Management"/>
    <s v="Overloaded table"/>
    <m/>
    <m/>
    <m/>
    <m/>
    <n v="1"/>
    <x v="2"/>
    <n v="3"/>
    <x v="0"/>
    <m/>
    <n v="1"/>
    <m/>
    <x v="1"/>
    <s v="Pending"/>
    <m/>
    <s v="Zone 3 - Contractor Yard and Periphery"/>
    <x v="24"/>
  </r>
  <r>
    <n v="414"/>
    <s v="Housekeeping"/>
    <s v="Unorganized scrap in scrap yard and contractor area"/>
    <m/>
    <m/>
    <m/>
    <m/>
    <n v="1"/>
    <x v="2"/>
    <n v="2"/>
    <x v="0"/>
    <m/>
    <n v="1"/>
    <m/>
    <x v="15"/>
    <s v="Pending"/>
    <m/>
    <s v="Zone 3 - Contractor Yard and Periphery"/>
    <x v="24"/>
  </r>
  <r>
    <n v="415"/>
    <s v="PPE"/>
    <s v="Support fabrication work being done at height in a safe way, scaffold inspected, fullbody harness used and anchored properly, barrication done to prevent parallel activities"/>
    <m/>
    <m/>
    <n v="8"/>
    <n v="0"/>
    <n v="1"/>
    <x v="6"/>
    <n v="0"/>
    <x v="0"/>
    <m/>
    <m/>
    <m/>
    <x v="7"/>
    <s v="Closed"/>
    <m/>
    <s v="Zone 2 - Evaporator Building"/>
    <x v="24"/>
  </r>
  <r>
    <n v="416"/>
    <s v="PPE"/>
    <s v="Access blocked &amp; helmet not used by personnel"/>
    <m/>
    <m/>
    <m/>
    <m/>
    <n v="1"/>
    <x v="2"/>
    <n v="2"/>
    <x v="0"/>
    <m/>
    <n v="1"/>
    <m/>
    <x v="1"/>
    <s v="Closed"/>
    <m/>
    <s v="Zone 3 - Contractor Yard and Periphery"/>
    <x v="24"/>
  </r>
  <r>
    <n v="417"/>
    <s v="Housekeeping"/>
    <s v="Poor house keeping in Evaporator building"/>
    <m/>
    <m/>
    <m/>
    <m/>
    <n v="1"/>
    <x v="0"/>
    <n v="3"/>
    <x v="0"/>
    <m/>
    <n v="1"/>
    <m/>
    <x v="9"/>
    <s v="Pending"/>
    <m/>
    <s v="Zone 3 - Contractor Yard and Periphery"/>
    <x v="24"/>
  </r>
  <r>
    <n v="418"/>
    <s v="Work at Height"/>
    <s v="Railings missing from the stair installed at platform"/>
    <m/>
    <m/>
    <m/>
    <m/>
    <n v="1"/>
    <x v="0"/>
    <n v="3"/>
    <x v="0"/>
    <m/>
    <n v="1"/>
    <m/>
    <x v="10"/>
    <s v="Pending"/>
    <m/>
    <s v="Zone 2 - Evaporator Building"/>
    <x v="24"/>
  </r>
  <r>
    <n v="419"/>
    <s v="Material Management"/>
    <s v="Lights still on, repeat observation "/>
    <m/>
    <m/>
    <m/>
    <m/>
    <n v="1"/>
    <x v="4"/>
    <n v="1"/>
    <x v="0"/>
    <m/>
    <n v="1"/>
    <m/>
    <x v="9"/>
    <s v="Closed"/>
    <m/>
    <s v="Zone 3 - Contractor Yard and Periphery"/>
    <x v="24"/>
  </r>
  <r>
    <n v="420"/>
    <s v="Electrical"/>
    <s v="Power cables found to be taken on ground"/>
    <m/>
    <m/>
    <m/>
    <m/>
    <n v="1"/>
    <x v="2"/>
    <n v="2"/>
    <x v="0"/>
    <m/>
    <n v="1"/>
    <m/>
    <x v="10"/>
    <s v="Pending"/>
    <m/>
    <s v="Zone 2 - Evaporator Building"/>
    <x v="24"/>
  </r>
  <r>
    <n v="421"/>
    <s v="Electrical"/>
    <s v="Existing live power cables above 2 meter platform level and has the potential to get damaged during lifting of platform"/>
    <m/>
    <m/>
    <m/>
    <m/>
    <n v="1"/>
    <x v="0"/>
    <n v="3"/>
    <x v="0"/>
    <m/>
    <n v="1"/>
    <m/>
    <x v="4"/>
    <s v="Closed"/>
    <s v="Surender"/>
    <s v="Zone 2 - Evaporator Building"/>
    <x v="24"/>
  </r>
  <r>
    <n v="422"/>
    <s v="Barricading"/>
    <s v="Barrication damaged"/>
    <m/>
    <m/>
    <n v="14"/>
    <n v="0"/>
    <n v="1"/>
    <x v="0"/>
    <n v="3"/>
    <x v="0"/>
    <m/>
    <n v="1"/>
    <m/>
    <x v="15"/>
    <s v="Pending"/>
    <m/>
    <s v="Zone 3 - Contractor Yard and Periphery"/>
    <x v="25"/>
  </r>
  <r>
    <n v="423"/>
    <s v="Electrical"/>
    <s v="Material stored near distribution panel"/>
    <m/>
    <m/>
    <n v="0"/>
    <n v="0"/>
    <n v="1"/>
    <x v="0"/>
    <n v="3"/>
    <x v="0"/>
    <m/>
    <n v="1"/>
    <m/>
    <x v="9"/>
    <s v="Pending"/>
    <m/>
    <s v="Zone 3 - Contractor Yard and Periphery"/>
    <x v="25"/>
  </r>
  <r>
    <n v="424"/>
    <s v="Housekeeping"/>
    <s v="Scrap at worksite"/>
    <m/>
    <m/>
    <n v="0"/>
    <n v="0"/>
    <n v="1"/>
    <x v="2"/>
    <n v="2"/>
    <x v="0"/>
    <m/>
    <n v="1"/>
    <m/>
    <x v="15"/>
    <s v="Pending"/>
    <m/>
    <s v="Zone 3 - Contractor Yard and Periphery"/>
    <x v="25"/>
  </r>
  <r>
    <n v="425"/>
    <s v="Lifting Operations"/>
    <s v="Person operating boom lift without any guide. Risk of dashing somewhere without any guide."/>
    <m/>
    <m/>
    <n v="4"/>
    <n v="1"/>
    <n v="1"/>
    <x v="0"/>
    <n v="3"/>
    <x v="0"/>
    <m/>
    <m/>
    <n v="1"/>
    <x v="0"/>
    <s v="Pending"/>
    <m/>
    <s v="Zone 4 - Oil Blending, Panel Room, Refrigeration Building &amp; Roof Areas"/>
    <x v="25"/>
  </r>
  <r>
    <n v="426"/>
    <s v="Work at Height"/>
    <s v="While working at height using boom lift, the tyre stoppers were missing"/>
    <m/>
    <m/>
    <n v="3"/>
    <n v="5"/>
    <n v="1"/>
    <x v="0"/>
    <n v="3"/>
    <x v="0"/>
    <m/>
    <m/>
    <n v="1"/>
    <x v="0"/>
    <s v="Closed"/>
    <m/>
    <s v="Zone 4 - Oil Blending, Panel Room, Refrigeration Building &amp; Roof Areas"/>
    <x v="25"/>
  </r>
  <r>
    <n v="427"/>
    <s v="Electrical"/>
    <s v="The rain water pipe is laid over cable tray. Repeat point"/>
    <m/>
    <m/>
    <n v="0"/>
    <n v="0"/>
    <n v="1"/>
    <x v="2"/>
    <n v="2"/>
    <x v="0"/>
    <m/>
    <n v="1"/>
    <m/>
    <x v="4"/>
    <s v="Pending"/>
    <s v="Akshay"/>
    <s v="Zone 4 - Oil Blending, Panel Room, Refrigeration Building &amp; Roof Areas"/>
    <x v="25"/>
  </r>
  <r>
    <n v="428"/>
    <s v="Work at Height"/>
    <s v="Roof access Ladder is on temp support and risk of falling modified at time of Pipe rack."/>
    <m/>
    <m/>
    <n v="0"/>
    <n v="0"/>
    <n v="1"/>
    <x v="2"/>
    <n v="2"/>
    <x v="0"/>
    <m/>
    <n v="1"/>
    <m/>
    <x v="4"/>
    <s v="Pending"/>
    <s v="Akshay"/>
    <s v="Zone 4 - Oil Blending, Panel Room, Refrigeration Building &amp; Roof Areas"/>
    <x v="25"/>
  </r>
  <r>
    <n v="429"/>
    <s v="Material Management"/>
    <s v="Exposed nail in from wooden shuttering material "/>
    <m/>
    <m/>
    <n v="10"/>
    <n v="1"/>
    <n v="1"/>
    <x v="0"/>
    <n v="3"/>
    <x v="0"/>
    <m/>
    <n v="1"/>
    <m/>
    <x v="0"/>
    <s v="Pending"/>
    <m/>
    <s v="Zone 1 - Chiller Building and Oil Injection"/>
    <x v="25"/>
  </r>
  <r>
    <n v="430"/>
    <s v="Material Management"/>
    <s v="Water tapping taken from eye wash station"/>
    <m/>
    <m/>
    <n v="1"/>
    <n v="1"/>
    <n v="1"/>
    <x v="0"/>
    <n v="3"/>
    <x v="0"/>
    <m/>
    <m/>
    <n v="1"/>
    <x v="0"/>
    <s v="Pending"/>
    <m/>
    <s v="Zone 1 - Chiller Building and Oil Injection"/>
    <x v="25"/>
  </r>
  <r>
    <n v="431"/>
    <s v="Electrical"/>
    <s v="Electrical panel blocked"/>
    <m/>
    <m/>
    <n v="1"/>
    <n v="1"/>
    <n v="1"/>
    <x v="0"/>
    <n v="3"/>
    <x v="0"/>
    <m/>
    <m/>
    <m/>
    <x v="15"/>
    <s v="Closed"/>
    <m/>
    <s v="Zone 3 - Contractor Yard and Periphery"/>
    <x v="25"/>
  </r>
  <r>
    <n v="432"/>
    <s v="Housekeeping"/>
    <s v="Unwanted Materials, Poor house keeping"/>
    <m/>
    <m/>
    <m/>
    <m/>
    <n v="1"/>
    <x v="2"/>
    <n v="2"/>
    <x v="0"/>
    <m/>
    <n v="1"/>
    <m/>
    <x v="15"/>
    <s v="Pending"/>
    <m/>
    <s v="Zone 2 - Evaporator Building"/>
    <x v="25"/>
  </r>
  <r>
    <n v="433"/>
    <s v="PPE"/>
    <s v="Person observed working without hand gloves"/>
    <m/>
    <m/>
    <n v="7"/>
    <n v="2"/>
    <n v="1"/>
    <x v="0"/>
    <n v="3"/>
    <x v="0"/>
    <n v="1"/>
    <m/>
    <n v="1"/>
    <x v="1"/>
    <s v="Closed"/>
    <m/>
    <s v="Zone 4 - Oil Blending, Panel Room, Refrigeration Building &amp; Roof Areas"/>
    <x v="26"/>
  </r>
  <r>
    <n v="434"/>
    <s v="Fire Safety"/>
    <s v="Fire extinguisher not available at site of hot work"/>
    <m/>
    <m/>
    <n v="0"/>
    <n v="0"/>
    <n v="1"/>
    <x v="0"/>
    <n v="3"/>
    <x v="0"/>
    <m/>
    <n v="1"/>
    <m/>
    <x v="8"/>
    <s v="Pending"/>
    <m/>
    <s v="Zone 4 - Oil Blending, Panel Room, Refrigeration Building &amp; Roof Areas"/>
    <x v="26"/>
  </r>
  <r>
    <n v="435"/>
    <s v="PPE"/>
    <s v="Glove was worn out for person doing welding near evaporator area. fire sparkles nearby while 2 other people casually talking nearby it"/>
    <m/>
    <m/>
    <n v="2"/>
    <n v="1"/>
    <n v="1"/>
    <x v="2"/>
    <n v="2"/>
    <x v="0"/>
    <n v="1"/>
    <n v="1"/>
    <n v="1"/>
    <x v="9"/>
    <s v="Closed"/>
    <m/>
    <s v="Zone 2 - Evaporator Building"/>
    <x v="27"/>
  </r>
  <r>
    <n v="436"/>
    <s v="Material Management"/>
    <s v="Material not stored properly"/>
    <m/>
    <m/>
    <n v="7"/>
    <n v="0"/>
    <n v="1"/>
    <x v="2"/>
    <n v="2"/>
    <x v="0"/>
    <m/>
    <n v="1"/>
    <m/>
    <x v="16"/>
    <s v="Pending"/>
    <m/>
    <s v="Zone 1 - Chiller Building and Oil Injection"/>
    <x v="27"/>
  </r>
  <r>
    <n v="437"/>
    <s v="Electrical"/>
    <s v="Cable tray kept in walkway creating slip, trip and fall hazard"/>
    <m/>
    <m/>
    <n v="0"/>
    <n v="0"/>
    <n v="1"/>
    <x v="0"/>
    <n v="3"/>
    <x v="0"/>
    <m/>
    <n v="1"/>
    <m/>
    <x v="4"/>
    <s v="Pending"/>
    <s v="Danish"/>
    <s v="Zone 1 - Chiller Building and Oil Injection"/>
    <x v="27"/>
  </r>
  <r>
    <n v="438"/>
    <s v="Barricading"/>
    <s v="Small excavated pit is not barricaded properly near Pipe rack foundations"/>
    <m/>
    <m/>
    <n v="0"/>
    <n v="0"/>
    <n v="1"/>
    <x v="0"/>
    <n v="3"/>
    <x v="0"/>
    <m/>
    <n v="1"/>
    <m/>
    <x v="4"/>
    <s v="Pending"/>
    <s v="Shahnawaj"/>
    <s v="Zone 1 - Chiller Building and Oil Injection"/>
    <x v="27"/>
  </r>
  <r>
    <n v="439"/>
    <s v="Housekeeping"/>
    <s v="Scrap/unwanted material at site"/>
    <m/>
    <m/>
    <n v="0"/>
    <n v="0"/>
    <n v="1"/>
    <x v="2"/>
    <n v="2"/>
    <x v="0"/>
    <m/>
    <n v="1"/>
    <m/>
    <x v="0"/>
    <s v="Pending"/>
    <m/>
    <s v="Zone 1 - Chiller Building and Oil Injection"/>
    <x v="27"/>
  </r>
  <r>
    <n v="440"/>
    <s v="Electrical"/>
    <s v="Cable tray stacking not done properly"/>
    <m/>
    <m/>
    <n v="0"/>
    <n v="0"/>
    <n v="1"/>
    <x v="0"/>
    <n v="3"/>
    <x v="0"/>
    <m/>
    <n v="1"/>
    <m/>
    <x v="3"/>
    <s v="Pending"/>
    <m/>
    <s v="Zone 1 - Chiller Building and Oil Injection"/>
    <x v="27"/>
  </r>
  <r>
    <n v="441"/>
    <s v="Barricading"/>
    <s v="Area not barricaded from one side"/>
    <m/>
    <m/>
    <n v="0"/>
    <n v="0"/>
    <n v="1"/>
    <x v="0"/>
    <n v="3"/>
    <x v="0"/>
    <m/>
    <n v="1"/>
    <m/>
    <x v="0"/>
    <s v="Pending"/>
    <m/>
    <s v="Zone 1 - Chiller Building and Oil Injection"/>
    <x v="27"/>
  </r>
  <r>
    <n v="442"/>
    <s v="PPE"/>
    <s v="Super height work being done for cable tray fixing, boom lift used in good condition, stable surface, worker medically fit and PPEs used"/>
    <m/>
    <m/>
    <n v="8"/>
    <n v="0"/>
    <n v="1"/>
    <x v="6"/>
    <n v="0"/>
    <x v="0"/>
    <m/>
    <m/>
    <n v="1"/>
    <x v="16"/>
    <s v="Closed"/>
    <m/>
    <s v="Zone 1 - Chiller Building and Oil Injection"/>
    <x v="27"/>
  </r>
  <r>
    <n v="443"/>
    <s v="Material Management"/>
    <s v="Shuttering material with long sharp nails projected outward found at worksite"/>
    <m/>
    <m/>
    <n v="0"/>
    <n v="0"/>
    <n v="1"/>
    <x v="1"/>
    <n v="4"/>
    <x v="1"/>
    <m/>
    <n v="1"/>
    <m/>
    <x v="0"/>
    <s v="Closed"/>
    <m/>
    <s v="Zone 1 - Chiller Building and Oil Injection"/>
    <x v="27"/>
  </r>
  <r>
    <n v="444"/>
    <s v="Barricading"/>
    <s v="Excavated area not barricaded fully"/>
    <m/>
    <m/>
    <n v="0"/>
    <n v="0"/>
    <n v="1"/>
    <x v="0"/>
    <n v="3"/>
    <x v="0"/>
    <m/>
    <n v="1"/>
    <m/>
    <x v="0"/>
    <s v="Pending"/>
    <m/>
    <s v="Zone 1 - Chiller Building and Oil Injection"/>
    <x v="27"/>
  </r>
  <r>
    <n v="445"/>
    <s v="Work at Height"/>
    <s v="Workers doing scaffolding modification and metal plank for platform not secured"/>
    <m/>
    <m/>
    <n v="0"/>
    <n v="0"/>
    <n v="1"/>
    <x v="0"/>
    <n v="3"/>
    <x v="0"/>
    <m/>
    <n v="1"/>
    <m/>
    <x v="0"/>
    <s v="Closed"/>
    <m/>
    <s v="Zone 1 - Chiller Building and Oil Injection"/>
    <x v="27"/>
  </r>
  <r>
    <n v="446"/>
    <s v="Material Management"/>
    <s v="Workers shifting motor of approx 300kg weight manually"/>
    <m/>
    <m/>
    <n v="12"/>
    <n v="4"/>
    <n v="1"/>
    <x v="1"/>
    <n v="4"/>
    <x v="1"/>
    <m/>
    <m/>
    <n v="1"/>
    <x v="1"/>
    <s v="Closed"/>
    <m/>
    <s v="Zone 1 - Chiller Building and Oil Injection"/>
    <x v="27"/>
  </r>
  <r>
    <n v="447"/>
    <s v="Material Management"/>
    <s v="Work bench used for cutting wooden material is on uneven surface"/>
    <m/>
    <m/>
    <n v="0"/>
    <n v="0"/>
    <n v="1"/>
    <x v="0"/>
    <n v="3"/>
    <x v="0"/>
    <m/>
    <n v="1"/>
    <m/>
    <x v="0"/>
    <s v="Pending"/>
    <m/>
    <s v="Zone 1 - Chiller Building and Oil Injection"/>
    <x v="27"/>
  </r>
  <r>
    <n v="448"/>
    <s v="Access &amp; Egress"/>
    <s v="Slurry Tank staircase needs lock &amp; key"/>
    <m/>
    <m/>
    <n v="1"/>
    <n v="1"/>
    <n v="1"/>
    <x v="0"/>
    <n v="3"/>
    <x v="0"/>
    <m/>
    <n v="1"/>
    <m/>
    <x v="7"/>
    <s v="Pending"/>
    <m/>
    <s v="Zone 2 - Evaporator Building"/>
    <x v="27"/>
  </r>
  <r>
    <n v="449"/>
    <s v="Material Management"/>
    <s v="Thrash near Avneesh container"/>
    <m/>
    <m/>
    <n v="1"/>
    <n v="1"/>
    <n v="1"/>
    <x v="2"/>
    <n v="2"/>
    <x v="0"/>
    <m/>
    <n v="1"/>
    <m/>
    <x v="4"/>
    <s v="Pending"/>
    <m/>
    <s v="Zone 3 - Contractor Yard and Periphery"/>
    <x v="27"/>
  </r>
  <r>
    <n v="450"/>
    <s v="Barricading"/>
    <s v="No Barricade in Evap Project Entrance"/>
    <m/>
    <m/>
    <n v="1"/>
    <n v="1"/>
    <n v="1"/>
    <x v="0"/>
    <n v="3"/>
    <x v="0"/>
    <m/>
    <n v="1"/>
    <m/>
    <x v="4"/>
    <s v="Pending"/>
    <s v="Surender"/>
    <s v="Zone 2 - Evaporator Building"/>
    <x v="27"/>
  </r>
  <r>
    <n v="451"/>
    <s v="Work at Height"/>
    <s v="No clear exit path available, people climbing on platforms to move out of the area. In case of emergency no clear way to exit."/>
    <m/>
    <m/>
    <n v="3"/>
    <n v="5"/>
    <n v="1"/>
    <x v="0"/>
    <n v="3"/>
    <x v="0"/>
    <m/>
    <m/>
    <n v="1"/>
    <x v="10"/>
    <s v="Closed"/>
    <m/>
    <s v="Zone 2 - Evaporator Building"/>
    <x v="27"/>
  </r>
  <r>
    <n v="452"/>
    <s v="Work at Height"/>
    <s v="Risk of fall due to inadequate railing. Repeat point."/>
    <m/>
    <m/>
    <n v="0"/>
    <n v="0"/>
    <n v="1"/>
    <x v="0"/>
    <n v="3"/>
    <x v="0"/>
    <m/>
    <n v="1"/>
    <m/>
    <x v="10"/>
    <s v="Pending"/>
    <m/>
    <s v="Zone 2 - Evaporator Building"/>
    <x v="27"/>
  </r>
  <r>
    <n v="453"/>
    <s v="Electrical"/>
    <s v="The earthing pits are damaged. Risk to operations and also person walking over it might fall."/>
    <m/>
    <m/>
    <n v="0"/>
    <n v="0"/>
    <n v="1"/>
    <x v="0"/>
    <n v="3"/>
    <x v="0"/>
    <m/>
    <n v="1"/>
    <m/>
    <x v="4"/>
    <s v="Pending"/>
    <s v="Surender"/>
    <s v="Zone 2 - Evaporator Building"/>
    <x v="27"/>
  </r>
  <r>
    <n v="454"/>
    <s v="Work at Height"/>
    <s v="Person observed crossing throught elevated platform having gaps &amp; opening .  Need access to the area "/>
    <m/>
    <m/>
    <n v="0"/>
    <n v="2"/>
    <n v="2"/>
    <x v="1"/>
    <n v="8"/>
    <x v="1"/>
    <m/>
    <n v="1"/>
    <m/>
    <x v="10"/>
    <s v="Closed"/>
    <m/>
    <s v="Zone 2 - Evaporator Building"/>
    <x v="27"/>
  </r>
  <r>
    <n v="455"/>
    <s v="Work at Height"/>
    <s v="Person observed standing near the edge of elevated walkway without having railing "/>
    <m/>
    <m/>
    <n v="0"/>
    <n v="2"/>
    <n v="2"/>
    <x v="1"/>
    <n v="8"/>
    <x v="1"/>
    <m/>
    <m/>
    <n v="1"/>
    <x v="8"/>
    <s v="Closed"/>
    <m/>
    <s v="Zone 2 - Evaporator Building"/>
    <x v="27"/>
  </r>
  <r>
    <n v="456"/>
    <s v="Fire Safety"/>
    <s v="Wire &amp; electrode holder of welding machine observed damaged"/>
    <m/>
    <m/>
    <m/>
    <m/>
    <n v="1"/>
    <x v="0"/>
    <n v="3"/>
    <x v="0"/>
    <m/>
    <n v="1"/>
    <m/>
    <x v="10"/>
    <s v="Closed"/>
    <m/>
    <s v="Zone 2 - Evaporator Building"/>
    <x v="27"/>
  </r>
  <r>
    <n v="457"/>
    <s v="Work at Height"/>
    <s v="Person observed crossing through elevated platform by jumping without having access "/>
    <m/>
    <m/>
    <n v="3"/>
    <n v="1"/>
    <n v="1"/>
    <x v="0"/>
    <n v="3"/>
    <x v="0"/>
    <m/>
    <m/>
    <n v="1"/>
    <x v="1"/>
    <s v="Pending"/>
    <m/>
    <s v="Zone 2 - Evaporator Building"/>
    <x v="27"/>
  </r>
  <r>
    <n v="458"/>
    <s v="Work at Height"/>
    <s v="Person observed crossing through elevated platform by jumping with material without having access "/>
    <m/>
    <m/>
    <n v="0"/>
    <n v="3"/>
    <n v="3"/>
    <x v="0"/>
    <n v="9"/>
    <x v="0"/>
    <m/>
    <m/>
    <n v="1"/>
    <x v="0"/>
    <s v="Pending"/>
    <m/>
    <s v="Zone 2 - Evaporator Building"/>
    <x v="27"/>
  </r>
  <r>
    <n v="459"/>
    <s v="Barricading"/>
    <s v="Pls check again the work done in front of canteen where dug out operations is being done. Barricading gap plus contractor working very near to depth area with one wrong step and slip into it will happen."/>
    <m/>
    <m/>
    <n v="1"/>
    <n v="2"/>
    <n v="1"/>
    <x v="2"/>
    <n v="2"/>
    <x v="0"/>
    <m/>
    <n v="1"/>
    <m/>
    <x v="9"/>
    <s v="Closed"/>
    <m/>
    <s v="Zone 4 - Oil Blending, Panel Room, Refrigeration Building &amp; Roof Areas"/>
    <x v="28"/>
  </r>
  <r>
    <n v="460"/>
    <s v="Housekeeping"/>
    <s v=". Safety passage not available to go on the site.unapproved scrap fold used by the team . 3 people are standing on the low duty scrapfold, scrapfold not erected not as per standard"/>
    <m/>
    <m/>
    <n v="16"/>
    <n v="6"/>
    <n v="1"/>
    <x v="0"/>
    <n v="3"/>
    <x v="0"/>
    <m/>
    <n v="1"/>
    <m/>
    <x v="1"/>
    <s v="Pending"/>
    <m/>
    <s v="Zone 1 - Chiller Building and Oil Injection"/>
    <x v="28"/>
  </r>
  <r>
    <n v="461"/>
    <s v="Work at Height"/>
    <s v="Worker standing on the edge of platform"/>
    <m/>
    <m/>
    <n v="14"/>
    <n v="1"/>
    <n v="1"/>
    <x v="0"/>
    <n v="3"/>
    <x v="0"/>
    <m/>
    <m/>
    <n v="1"/>
    <x v="10"/>
    <s v="Closed"/>
    <m/>
    <s v="Zone 2 - Evaporator Building"/>
    <x v="28"/>
  </r>
  <r>
    <n v="462"/>
    <s v="Work at Height"/>
    <s v="While shifting platform structure, worker was found to be working from the edge"/>
    <m/>
    <m/>
    <n v="14"/>
    <n v="2"/>
    <n v="1"/>
    <x v="1"/>
    <n v="4"/>
    <x v="1"/>
    <m/>
    <m/>
    <n v="1"/>
    <x v="10"/>
    <s v="Closed"/>
    <m/>
    <s v="Zone 2 - Evaporator Building"/>
    <x v="28"/>
  </r>
  <r>
    <n v="463"/>
    <s v="Housekeeping"/>
    <s v="Debris stored inside worksite"/>
    <m/>
    <m/>
    <n v="0"/>
    <n v="0"/>
    <n v="1"/>
    <x v="4"/>
    <n v="1"/>
    <x v="0"/>
    <m/>
    <n v="1"/>
    <m/>
    <x v="9"/>
    <s v="Pending"/>
    <m/>
    <s v="Zone 2 - Evaporator Building"/>
    <x v="28"/>
  </r>
  <r>
    <n v="464"/>
    <s v="Excavation"/>
    <s v="Cover of small pits getting damaged with possibility of slip, trip and fall hazard"/>
    <m/>
    <m/>
    <n v="0"/>
    <n v="0"/>
    <n v="1"/>
    <x v="0"/>
    <n v="3"/>
    <x v="0"/>
    <m/>
    <n v="1"/>
    <m/>
    <x v="4"/>
    <s v="Pending"/>
    <s v="Surender"/>
    <s v="Zone 2 - Evaporator Building"/>
    <x v="28"/>
  </r>
  <r>
    <n v="465"/>
    <s v="Material Management"/>
    <s v="Loose material found on the Chiller Building terrace."/>
    <m/>
    <m/>
    <n v="3"/>
    <n v="5"/>
    <n v="1"/>
    <x v="0"/>
    <n v="3"/>
    <x v="0"/>
    <m/>
    <n v="1"/>
    <m/>
    <x v="1"/>
    <s v="Pending"/>
    <m/>
    <s v="Zone 1 - Chiller Building and Oil Injection"/>
    <x v="28"/>
  </r>
  <r>
    <n v="466"/>
    <s v="Work at Height"/>
    <s v="Worker standing on scaffolding pipe during dismantling work."/>
    <m/>
    <m/>
    <n v="0"/>
    <n v="0"/>
    <n v="1"/>
    <x v="0"/>
    <n v="3"/>
    <x v="0"/>
    <m/>
    <n v="1"/>
    <m/>
    <x v="1"/>
    <s v="Pending"/>
    <m/>
    <s v="Zone 1 - Chiller Building and Oil Injection"/>
    <x v="28"/>
  </r>
  <r>
    <n v="467"/>
    <s v="Access &amp; Egress"/>
    <s v="Digging work using JCB going on at walkway - No barigation, No supervisor available at site, only driver doing the job"/>
    <m/>
    <m/>
    <n v="0"/>
    <n v="1"/>
    <n v="1"/>
    <x v="3"/>
    <n v="5"/>
    <x v="1"/>
    <m/>
    <m/>
    <n v="1"/>
    <x v="0"/>
    <s v="Closed"/>
    <m/>
    <s v="Zone 1 - Chiller Building and Oil Injection"/>
    <x v="28"/>
  </r>
  <r>
    <n v="468"/>
    <s v="Work at Height"/>
    <s v="Gap between two working platforms (Picture attached)"/>
    <m/>
    <m/>
    <n v="0"/>
    <n v="0"/>
    <n v="1"/>
    <x v="1"/>
    <n v="4"/>
    <x v="1"/>
    <m/>
    <n v="1"/>
    <m/>
    <x v="10"/>
    <s v="Pending"/>
    <m/>
    <s v="Zone 2 - Evaporator Building"/>
    <x v="28"/>
  </r>
  <r>
    <n v="469"/>
    <s v="Housekeeping"/>
    <s v="Poor housekeeping on platform 1st floor (Welding machines &amp; other tools) kept on landing platform of stairs"/>
    <m/>
    <m/>
    <n v="0"/>
    <n v="0"/>
    <n v="1"/>
    <x v="0"/>
    <n v="3"/>
    <x v="0"/>
    <m/>
    <n v="1"/>
    <m/>
    <x v="10"/>
    <s v="Pending"/>
    <m/>
    <s v="Zone 2 - Evaporator Building"/>
    <x v="28"/>
  </r>
  <r>
    <n v="470"/>
    <s v="PTW &amp; Supervision"/>
    <s v="Few hazards (Bump hazard) not covered in JSA"/>
    <m/>
    <m/>
    <n v="0"/>
    <n v="0"/>
    <n v="1"/>
    <x v="0"/>
    <n v="3"/>
    <x v="0"/>
    <m/>
    <m/>
    <n v="1"/>
    <x v="10"/>
    <s v="Closed"/>
    <m/>
    <s v="Zone 2 - Evaporator Building"/>
    <x v="28"/>
  </r>
  <r>
    <n v="471"/>
    <s v="Work at Height"/>
    <s v="Life line missing at one end of platform (Workers need to unhook from end cross over the platform &amp; again attach hook at other end)"/>
    <m/>
    <m/>
    <n v="0"/>
    <n v="0"/>
    <n v="1"/>
    <x v="0"/>
    <n v="3"/>
    <x v="0"/>
    <m/>
    <n v="1"/>
    <m/>
    <x v="10"/>
    <s v="Pending"/>
    <m/>
    <s v="Zone 2 - Evaporator Building"/>
    <x v="28"/>
  </r>
  <r>
    <n v="472"/>
    <s v="PPE"/>
    <s v="Damaged cut resistant hand gloves worn by workers"/>
    <m/>
    <m/>
    <n v="18"/>
    <n v="1"/>
    <n v="1"/>
    <x v="0"/>
    <n v="3"/>
    <x v="0"/>
    <n v="1"/>
    <m/>
    <n v="1"/>
    <x v="10"/>
    <s v="Closed"/>
    <m/>
    <s v="Zone 2 - Evaporator Building"/>
    <x v="28"/>
  </r>
  <r>
    <n v="473"/>
    <s v="Material Management"/>
    <s v="Loose material (bottle &amp; grinding wheel) kept at staircase"/>
    <m/>
    <m/>
    <n v="0"/>
    <n v="0"/>
    <n v="1"/>
    <x v="2"/>
    <n v="2"/>
    <x v="0"/>
    <m/>
    <m/>
    <n v="1"/>
    <x v="10"/>
    <s v="Pending"/>
    <m/>
    <s v="Zone 2 - Evaporator Building"/>
    <x v="28"/>
  </r>
  <r>
    <n v="474"/>
    <s v="Work at Height"/>
    <s v="Person observed working on non-authorised authodised scaffolding having red tag on it"/>
    <m/>
    <m/>
    <n v="3"/>
    <n v="1"/>
    <n v="1"/>
    <x v="3"/>
    <n v="5"/>
    <x v="1"/>
    <m/>
    <m/>
    <n v="1"/>
    <x v="0"/>
    <s v="Closed"/>
    <m/>
    <s v="Zone 1 - Chiller Building and Oil Injection"/>
    <x v="28"/>
  </r>
  <r>
    <n v="475"/>
    <s v="Tools &amp; Equipment"/>
    <s v="Persons observed using drill m/c without inspection &amp; checklist"/>
    <m/>
    <m/>
    <n v="2"/>
    <n v="2"/>
    <n v="1"/>
    <x v="0"/>
    <n v="3"/>
    <x v="0"/>
    <m/>
    <m/>
    <n v="1"/>
    <x v="1"/>
    <s v="Closed"/>
    <m/>
    <s v="Zone 1 - Chiller Building and Oil Injection"/>
    <x v="28"/>
  </r>
  <r>
    <n v="476"/>
    <s v="Material Management"/>
    <s v="Low Lux Level"/>
    <m/>
    <m/>
    <n v="3"/>
    <n v="2"/>
    <n v="1"/>
    <x v="0"/>
    <n v="3"/>
    <x v="0"/>
    <m/>
    <n v="1"/>
    <m/>
    <x v="0"/>
    <s v="Closed"/>
    <m/>
    <s v="Zone 1 - Chiller Building and Oil Injection"/>
    <x v="28"/>
  </r>
  <r>
    <n v="477"/>
    <s v="Barricading"/>
    <s v="Platform Without railing / Barricade"/>
    <m/>
    <m/>
    <n v="1"/>
    <n v="1"/>
    <n v="1"/>
    <x v="0"/>
    <n v="3"/>
    <x v="0"/>
    <m/>
    <n v="1"/>
    <m/>
    <x v="10"/>
    <s v="Pending"/>
    <m/>
    <s v="Zone 2 - Evaporator Building"/>
    <x v="28"/>
  </r>
  <r>
    <n v="478"/>
    <s v="Housekeeping"/>
    <s v="Debris stored inside"/>
    <m/>
    <m/>
    <n v="0"/>
    <n v="0"/>
    <n v="1"/>
    <x v="2"/>
    <n v="2"/>
    <x v="0"/>
    <m/>
    <n v="1"/>
    <m/>
    <x v="9"/>
    <s v="Pending"/>
    <m/>
    <s v="Zone 2 - Evaporator Building"/>
    <x v="28"/>
  </r>
  <r>
    <n v="479"/>
    <s v="Lifting Operations"/>
    <s v="Standing on Boomlift tyre and correcting boomlift hooter"/>
    <m/>
    <m/>
    <n v="0"/>
    <n v="1"/>
    <n v="1"/>
    <x v="0"/>
    <n v="3"/>
    <x v="0"/>
    <m/>
    <m/>
    <n v="1"/>
    <x v="1"/>
    <s v="Closed"/>
    <m/>
    <s v="Zone 4 - Oil Blending, Panel Room, Refrigeration Building &amp; Roof Areas"/>
    <x v="28"/>
  </r>
  <r>
    <n v="480"/>
    <s v="Material Management"/>
    <s v="One sariya rod pointy towards up direction is present before the cooling tower area and in night it will not be visible and can be dangerous"/>
    <m/>
    <m/>
    <n v="3"/>
    <n v="1"/>
    <n v="1"/>
    <x v="2"/>
    <n v="2"/>
    <x v="0"/>
    <m/>
    <n v="1"/>
    <m/>
    <x v="7"/>
    <s v="Closed"/>
    <m/>
    <s v="Zone 2 - Evaporator Building"/>
    <x v="29"/>
  </r>
  <r>
    <n v="481"/>
    <s v="Work at Height"/>
    <s v="No safe access to platform in evaporator area"/>
    <m/>
    <m/>
    <n v="8"/>
    <n v="0"/>
    <n v="1"/>
    <x v="1"/>
    <n v="4"/>
    <x v="1"/>
    <m/>
    <n v="1"/>
    <m/>
    <x v="10"/>
    <s v="Closed"/>
    <m/>
    <s v="Zone 2 - Evaporator Building"/>
    <x v="29"/>
  </r>
  <r>
    <n v="482"/>
    <s v="Environment"/>
    <s v="Lighting to be improved in the outer pherifery "/>
    <m/>
    <m/>
    <n v="0"/>
    <n v="0"/>
    <n v="1"/>
    <x v="0"/>
    <n v="3"/>
    <x v="0"/>
    <m/>
    <n v="1"/>
    <m/>
    <x v="4"/>
    <s v="Pending"/>
    <s v="Danish"/>
    <s v="Zone 3 - Contractor Yard and Periphery"/>
    <x v="29"/>
  </r>
  <r>
    <n v="483"/>
    <s v="Material Management"/>
    <s v="Loose sheet kept near ETP area"/>
    <m/>
    <m/>
    <n v="0"/>
    <n v="0"/>
    <n v="1"/>
    <x v="0"/>
    <n v="3"/>
    <x v="0"/>
    <m/>
    <n v="1"/>
    <m/>
    <x v="4"/>
    <s v="Pending"/>
    <s v="Ajay"/>
    <s v="Zone 3 - Contractor Yard and Periphery"/>
    <x v="29"/>
  </r>
  <r>
    <n v="484"/>
    <s v="Sharp edges"/>
    <s v="Sharp edge of temporary barricade made using GI sheet"/>
    <m/>
    <m/>
    <n v="0"/>
    <n v="0"/>
    <n v="1"/>
    <x v="0"/>
    <n v="3"/>
    <x v="0"/>
    <m/>
    <n v="1"/>
    <m/>
    <x v="7"/>
    <s v="Pending"/>
    <m/>
    <s v="Zone 3 - Contractor Yard and Periphery"/>
    <x v="29"/>
  </r>
  <r>
    <n v="485"/>
    <s v="Electrical"/>
    <s v="Electrical DB kept unattended"/>
    <m/>
    <m/>
    <n v="0"/>
    <n v="0"/>
    <n v="1"/>
    <x v="0"/>
    <n v="3"/>
    <x v="0"/>
    <m/>
    <n v="1"/>
    <m/>
    <x v="14"/>
    <s v="Pending"/>
    <m/>
    <s v="Zone 3 - Contractor Yard and Periphery"/>
    <x v="29"/>
  </r>
  <r>
    <n v="486"/>
    <s v="Electrical"/>
    <s v="Electrical cable routed through boundary wall"/>
    <m/>
    <m/>
    <n v="0"/>
    <n v="0"/>
    <n v="1"/>
    <x v="1"/>
    <n v="4"/>
    <x v="1"/>
    <m/>
    <n v="1"/>
    <m/>
    <x v="14"/>
    <s v="Pending"/>
    <m/>
    <s v="Zone 3 - Contractor Yard and Periphery"/>
    <x v="29"/>
  </r>
  <r>
    <n v="487"/>
    <s v="PPE"/>
    <s v="Need right helmet for overhead manual carry work- pics attached"/>
    <m/>
    <m/>
    <n v="5"/>
    <n v="2"/>
    <n v="1"/>
    <x v="2"/>
    <n v="2"/>
    <x v="0"/>
    <m/>
    <m/>
    <n v="1"/>
    <x v="0"/>
    <s v="Pending"/>
    <m/>
    <s v="Zone 1 - Chiller Building and Oil Injection"/>
    <x v="29"/>
  </r>
  <r>
    <n v="488"/>
    <s v="Fire Safety"/>
    <s v="Inadequate fire blanket"/>
    <m/>
    <m/>
    <n v="0"/>
    <n v="0"/>
    <n v="1"/>
    <x v="0"/>
    <n v="3"/>
    <x v="0"/>
    <m/>
    <n v="1"/>
    <m/>
    <x v="1"/>
    <s v="Pending"/>
    <m/>
    <s v="Zone 1 - Chiller Building and Oil Injection"/>
    <x v="29"/>
  </r>
  <r>
    <n v="489"/>
    <s v="PPE"/>
    <s v="Not wearing safety goggle while air blowing to remove dust in compressor building"/>
    <m/>
    <m/>
    <n v="4"/>
    <n v="1"/>
    <n v="1"/>
    <x v="0"/>
    <n v="3"/>
    <x v="0"/>
    <n v="1"/>
    <m/>
    <n v="1"/>
    <x v="0"/>
    <s v="Closed"/>
    <m/>
    <s v="Zone 1 - Chiller Building and Oil Injection"/>
    <x v="29"/>
  </r>
  <r>
    <n v="490"/>
    <s v="Access &amp; Egress"/>
    <s v="Channels blocking the pathway below new rack structure, Creating head bump hazard while crossing "/>
    <m/>
    <m/>
    <n v="13"/>
    <n v="0"/>
    <n v="1"/>
    <x v="2"/>
    <n v="2"/>
    <x v="0"/>
    <m/>
    <n v="1"/>
    <m/>
    <x v="4"/>
    <s v="Pending"/>
    <s v="Akshay"/>
    <s v="Zone 4 - Oil Blending, Panel Room, Refrigeration Building &amp; Roof Areas"/>
    <x v="29"/>
  </r>
  <r>
    <n v="491"/>
    <s v="PPE"/>
    <s v="Usage of safety goggles missing"/>
    <m/>
    <m/>
    <n v="9"/>
    <n v="3"/>
    <n v="1"/>
    <x v="0"/>
    <n v="3"/>
    <x v="0"/>
    <n v="1"/>
    <m/>
    <n v="1"/>
    <x v="1"/>
    <s v="Closed"/>
    <m/>
    <s v="Zone 4 - Oil Blending, Panel Room, Refrigeration Building &amp; Roof Areas"/>
    <x v="29"/>
  </r>
  <r>
    <n v="492"/>
    <s v="PPE"/>
    <s v="PPE Gloves not put while lifting and moving material. Feedback given for same."/>
    <m/>
    <m/>
    <n v="1"/>
    <n v="2"/>
    <n v="1"/>
    <x v="0"/>
    <n v="3"/>
    <x v="0"/>
    <m/>
    <n v="1"/>
    <m/>
    <x v="17"/>
    <s v="Closed"/>
    <m/>
    <s v="Zone 3 - Contractor Yard and Periphery"/>
    <x v="30"/>
  </r>
  <r>
    <n v="493"/>
    <s v="Barricading"/>
    <s v="Missing Barricade on platform of Nitrogen area"/>
    <m/>
    <m/>
    <n v="1"/>
    <n v="1"/>
    <n v="1"/>
    <x v="0"/>
    <n v="3"/>
    <x v="0"/>
    <m/>
    <n v="1"/>
    <m/>
    <x v="1"/>
    <s v="Pending"/>
    <m/>
    <s v="Zone 2 - Evaporator Building"/>
    <x v="30"/>
  </r>
  <r>
    <n v="494"/>
    <s v="Access &amp; Egress"/>
    <s v="Access allowed to unrelated people at site by having no control at entry."/>
    <m/>
    <m/>
    <n v="12"/>
    <n v="0"/>
    <n v="1"/>
    <x v="0"/>
    <n v="3"/>
    <x v="0"/>
    <m/>
    <n v="1"/>
    <m/>
    <x v="1"/>
    <s v="Pending"/>
    <m/>
    <s v="Zone 1 - Chiller Building and Oil Injection"/>
    <x v="30"/>
  </r>
  <r>
    <n v="495"/>
    <s v="Electrical"/>
    <s v="Lot many flexible cables passing around with no proper support."/>
    <m/>
    <m/>
    <n v="0"/>
    <n v="0"/>
    <n v="1"/>
    <x v="0"/>
    <n v="3"/>
    <x v="0"/>
    <m/>
    <n v="1"/>
    <m/>
    <x v="1"/>
    <s v="Pending"/>
    <m/>
    <s v="Zone 1 - Chiller Building and Oil Injection"/>
    <x v="30"/>
  </r>
  <r>
    <n v="496"/>
    <s v="PTW &amp; Supervision"/>
    <s v="Usage of HOPT for heavy material with no proper pathway. Work stopped and allowed with farana"/>
    <m/>
    <m/>
    <n v="6"/>
    <n v="4"/>
    <n v="1"/>
    <x v="0"/>
    <n v="3"/>
    <x v="0"/>
    <m/>
    <m/>
    <n v="1"/>
    <x v="10"/>
    <s v="Closed"/>
    <m/>
    <s v="Zone 1 - Chiller Building and Oil Injection"/>
    <x v="30"/>
  </r>
  <r>
    <n v="497"/>
    <s v="Lifting Operations"/>
    <s v="Crane was going out while tractor was just behind it as exit area near project side. Pls share with security at gate to keep enough distance between two vehicles while exiting out of plant"/>
    <m/>
    <m/>
    <n v="0"/>
    <n v="2"/>
    <n v="1"/>
    <x v="0"/>
    <n v="3"/>
    <x v="0"/>
    <m/>
    <m/>
    <n v="1"/>
    <x v="4"/>
    <s v="Pending"/>
    <s v="Amit"/>
    <s v="Zone 3 - Contractor Yard and Periphery"/>
    <x v="31"/>
  </r>
  <r>
    <n v="498"/>
    <s v="Material Management"/>
    <s v="Exposed nail in planks"/>
    <m/>
    <m/>
    <n v="1"/>
    <n v="1"/>
    <n v="1"/>
    <x v="1"/>
    <n v="4"/>
    <x v="1"/>
    <m/>
    <n v="1"/>
    <m/>
    <x v="0"/>
    <s v="Pending"/>
    <m/>
    <s v="Zone 1 - Chiller Building and Oil Injection"/>
    <x v="31"/>
  </r>
  <r>
    <n v="499"/>
    <s v="Barricading"/>
    <s v="MS angle kept outside the barricaded area may lead to an unsafe act."/>
    <m/>
    <m/>
    <n v="10"/>
    <n v="1"/>
    <n v="1"/>
    <x v="0"/>
    <n v="3"/>
    <x v="0"/>
    <m/>
    <n v="1"/>
    <m/>
    <x v="1"/>
    <s v="Pending"/>
    <m/>
    <s v="Zone 1 - Chiller Building and Oil Injection"/>
    <x v="31"/>
  </r>
  <r>
    <n v="500"/>
    <s v="Material Management"/>
    <s v="There is no separate rest area for workers, and they are resting in the active work zone, which may create safety hazards. A designated rest area should be provided away from operational activities"/>
    <m/>
    <m/>
    <n v="0"/>
    <n v="0"/>
    <n v="1"/>
    <x v="0"/>
    <n v="3"/>
    <x v="0"/>
    <m/>
    <n v="1"/>
    <m/>
    <x v="4"/>
    <s v="Pending"/>
    <m/>
    <s v="Zone 1 - Chiller Building and Oil Injection"/>
    <x v="31"/>
  </r>
  <r>
    <n v="501"/>
    <s v="Electrical"/>
    <s v="Too many temporary cables getting routed with no proper support."/>
    <m/>
    <m/>
    <n v="5"/>
    <n v="3"/>
    <n v="1"/>
    <x v="0"/>
    <n v="3"/>
    <x v="0"/>
    <m/>
    <n v="1"/>
    <m/>
    <x v="10"/>
    <s v="Pending"/>
    <m/>
    <s v="Zone 2 - Evaporator Building"/>
    <x v="31"/>
  </r>
  <r>
    <n v="502"/>
    <s v="Access &amp; Egress"/>
    <s v="Access to service corridor and new evaporator is not available"/>
    <m/>
    <m/>
    <n v="0"/>
    <n v="0"/>
    <n v="1"/>
    <x v="2"/>
    <n v="2"/>
    <x v="0"/>
    <m/>
    <n v="1"/>
    <m/>
    <x v="10"/>
    <s v="Pending"/>
    <m/>
    <s v="Zone 2 - Evaporator Building"/>
    <x v="31"/>
  </r>
  <r>
    <n v="503"/>
    <s v="Housekeeping"/>
    <s v="5s near canteen area adjacent to cylinder kept area needs attnetion. Overall no outage amongst contracotors today"/>
    <m/>
    <m/>
    <n v="2"/>
    <n v="0"/>
    <n v="1"/>
    <x v="4"/>
    <n v="1"/>
    <x v="0"/>
    <m/>
    <n v="1"/>
    <m/>
    <x v="17"/>
    <s v="Closed"/>
    <m/>
    <s v="Zone 4 - Oil Blending, Panel Room, Refrigeration Building &amp; Roof Areas"/>
    <x v="32"/>
  </r>
  <r>
    <n v="504"/>
    <s v="PPE"/>
    <s v="People not wearing safety goggles while working with nails and wires"/>
    <m/>
    <m/>
    <n v="5"/>
    <n v="7"/>
    <n v="1"/>
    <x v="0"/>
    <n v="3"/>
    <x v="0"/>
    <n v="1"/>
    <m/>
    <n v="1"/>
    <x v="0"/>
    <s v="Closed"/>
    <m/>
    <s v="Zone 1 - Chiller Building and Oil Injection"/>
    <x v="32"/>
  </r>
  <r>
    <n v="505"/>
    <s v="Material Management"/>
    <s v="Exposed Nail in wooden pieces"/>
    <m/>
    <m/>
    <n v="1"/>
    <n v="1"/>
    <n v="1"/>
    <x v="0"/>
    <n v="3"/>
    <x v="0"/>
    <m/>
    <n v="1"/>
    <m/>
    <x v="1"/>
    <s v="Pending"/>
    <m/>
    <s v="Zone 1 - Chiller Building and Oil Injection"/>
    <x v="32"/>
  </r>
  <r>
    <n v="506"/>
    <s v="Work at Height"/>
    <s v="Use of wooden box as platform to stand"/>
    <m/>
    <m/>
    <n v="10"/>
    <n v="1"/>
    <n v="1"/>
    <x v="2"/>
    <n v="2"/>
    <x v="0"/>
    <m/>
    <m/>
    <n v="1"/>
    <x v="1"/>
    <s v="Pending"/>
    <m/>
    <s v="Zone 1 - Chiller Building and Oil Injection"/>
    <x v="32"/>
  </r>
  <r>
    <n v="507"/>
    <s v="Barricading"/>
    <s v="Barrication sheet pole observed damaged"/>
    <m/>
    <m/>
    <n v="0"/>
    <n v="0"/>
    <n v="1"/>
    <x v="1"/>
    <n v="4"/>
    <x v="1"/>
    <m/>
    <n v="1"/>
    <m/>
    <x v="17"/>
    <s v="Closed"/>
    <m/>
    <s v="Zone 1 - Chiller Building and Oil Injection"/>
    <x v="32"/>
  </r>
  <r>
    <n v="508"/>
    <s v="Work at Height"/>
    <s v="Staircase dismantled and reinstalled in other section. SS railing is yet to be sealed off. Risk of direct fall"/>
    <m/>
    <m/>
    <n v="6"/>
    <n v="1"/>
    <n v="1"/>
    <x v="1"/>
    <n v="4"/>
    <x v="1"/>
    <m/>
    <n v="1"/>
    <m/>
    <x v="8"/>
    <s v="Closed"/>
    <m/>
    <s v="Zone 2 - Evaporator Building"/>
    <x v="33"/>
  </r>
  <r>
    <n v="509"/>
    <s v="Housekeeping"/>
    <s v="Debris kept unorganized"/>
    <m/>
    <m/>
    <n v="0"/>
    <n v="0"/>
    <n v="1"/>
    <x v="4"/>
    <n v="1"/>
    <x v="0"/>
    <m/>
    <n v="1"/>
    <m/>
    <x v="9"/>
    <s v="Pending"/>
    <m/>
    <s v="Zone 2 - Evaporator Building"/>
    <x v="33"/>
  </r>
  <r>
    <n v="510"/>
    <s v="Housekeeping"/>
    <s v="Person working on roof welding part sparks are dropping due to that work which can cause injury further due to sunlight sparks not visible clearly and persons nearby that area below it can be exposed. atleast barricade a circular area where it is dropping to prevent movement below it. Further 5s of oil injection area entry is bad again with trollyes and too many unwanted items lying"/>
    <m/>
    <m/>
    <n v="0"/>
    <n v="2"/>
    <n v="1"/>
    <x v="0"/>
    <n v="3"/>
    <x v="0"/>
    <m/>
    <m/>
    <n v="1"/>
    <x v="1"/>
    <s v="Pending"/>
    <m/>
    <s v="Zone 4 - Oil Blending, Panel Room, Refrigeration Building &amp; Roof Areas"/>
    <x v="33"/>
  </r>
  <r>
    <n v="511"/>
    <s v="Work at Height"/>
    <s v="Walking over temp ladder arrangement without safety belt and fall arrestor. Explained and corrected the behaviour"/>
    <m/>
    <m/>
    <n v="10"/>
    <n v="1"/>
    <n v="1"/>
    <x v="0"/>
    <n v="3"/>
    <x v="0"/>
    <n v="1"/>
    <m/>
    <n v="1"/>
    <x v="1"/>
    <s v="Pending"/>
    <m/>
    <s v="Zone 1 - Chiller Building and Oil Injection"/>
    <x v="33"/>
  </r>
  <r>
    <n v="512"/>
    <s v="Work at Height"/>
    <s v="Toe guard not provided in scaffold ladder arrangement"/>
    <m/>
    <m/>
    <n v="0"/>
    <n v="0"/>
    <n v="1"/>
    <x v="0"/>
    <n v="3"/>
    <x v="0"/>
    <m/>
    <n v="1"/>
    <m/>
    <x v="1"/>
    <s v="Pending"/>
    <m/>
    <s v="Zone 1 - Chiller Building and Oil Injection"/>
    <x v="33"/>
  </r>
  <r>
    <n v="513"/>
    <s v="Sharp edges"/>
    <s v="Risk of injury. Sharp pointed mash cage of valve in the work site at chiller building"/>
    <m/>
    <m/>
    <n v="0"/>
    <n v="0"/>
    <n v="1"/>
    <x v="0"/>
    <n v="3"/>
    <x v="0"/>
    <m/>
    <n v="1"/>
    <m/>
    <x v="1"/>
    <s v="Pending"/>
    <m/>
    <s v="Zone 1 - Chiller Building and Oil Injection"/>
    <x v="33"/>
  </r>
  <r>
    <n v="514"/>
    <s v="Material Management"/>
    <s v="Seating on weak wooden box cover. Risk of breaking and getting injured. Explained people to not seat on it."/>
    <m/>
    <m/>
    <n v="21"/>
    <n v="1"/>
    <n v="1"/>
    <x v="0"/>
    <n v="3"/>
    <x v="0"/>
    <m/>
    <m/>
    <n v="1"/>
    <x v="1"/>
    <s v="Closed"/>
    <m/>
    <s v="Zone 1 - Chiller Building and Oil Injection"/>
    <x v="33"/>
  </r>
  <r>
    <n v="515"/>
    <s v="Work at Height"/>
    <s v="Weak scaffold legs support of rusted standard "/>
    <m/>
    <m/>
    <n v="0"/>
    <n v="0"/>
    <n v="1"/>
    <x v="1"/>
    <n v="4"/>
    <x v="1"/>
    <m/>
    <n v="1"/>
    <m/>
    <x v="1"/>
    <s v="Closed"/>
    <m/>
    <s v="Zone 1 - Chiller Building and Oil Injection"/>
    <x v="33"/>
  </r>
  <r>
    <n v="516"/>
    <s v="Fire Safety"/>
    <s v="Fire exitinguisher not kept near the welding work site."/>
    <m/>
    <m/>
    <n v="0"/>
    <n v="0"/>
    <n v="1"/>
    <x v="0"/>
    <n v="3"/>
    <x v="0"/>
    <m/>
    <n v="1"/>
    <m/>
    <x v="1"/>
    <s v="Closed"/>
    <m/>
    <s v="Zone 1 - Chiller Building and Oil Injection"/>
    <x v="33"/>
  </r>
  <r>
    <n v="517"/>
    <s v="Material Management"/>
    <s v="There is no clear emergency path for people working in chiller area. Welder is working and people are walking in same Path. On one side people are working and other side material is on floor blocking the path."/>
    <m/>
    <m/>
    <n v="12"/>
    <n v="10"/>
    <n v="1"/>
    <x v="1"/>
    <n v="4"/>
    <x v="1"/>
    <m/>
    <m/>
    <n v="1"/>
    <x v="1"/>
    <s v="Pending"/>
    <m/>
    <s v="Zone 1 - Chiller Building and Oil Injection"/>
    <x v="33"/>
  </r>
  <r>
    <n v="518"/>
    <s v="Material Management"/>
    <s v="The material stacking near the containers is not in proper manner"/>
    <m/>
    <m/>
    <n v="0"/>
    <n v="0"/>
    <n v="1"/>
    <x v="0"/>
    <n v="3"/>
    <x v="0"/>
    <m/>
    <n v="1"/>
    <m/>
    <x v="18"/>
    <s v="Pending"/>
    <s v="Ajay"/>
    <s v="Zone 3 - Contractor Yard and Periphery"/>
    <x v="33"/>
  </r>
  <r>
    <n v="519"/>
    <s v="Access &amp; Egress"/>
    <s v="The Fluidline container is blocking access of The Borewell"/>
    <m/>
    <m/>
    <n v="0"/>
    <n v="0"/>
    <n v="1"/>
    <x v="2"/>
    <n v="2"/>
    <x v="0"/>
    <m/>
    <n v="1"/>
    <m/>
    <x v="1"/>
    <s v="Pending"/>
    <m/>
    <s v="Zone 3 - Contractor Yard and Periphery"/>
    <x v="33"/>
  </r>
  <r>
    <n v="520"/>
    <s v="Work at Height"/>
    <s v="Person not. Ensuring 3 point contact while climbing the ladder of chiller building. Scaffold is not as per standard"/>
    <m/>
    <m/>
    <n v="12"/>
    <n v="4"/>
    <n v="1"/>
    <x v="0"/>
    <n v="3"/>
    <x v="0"/>
    <m/>
    <n v="1"/>
    <m/>
    <x v="1"/>
    <s v="Pending"/>
    <m/>
    <s v="Zone 1 - Chiller Building and Oil Injection"/>
    <x v="33"/>
  </r>
  <r>
    <n v="521"/>
    <s v="Material Management"/>
    <s v="Person observed sitting &amp; using phone in work site"/>
    <m/>
    <m/>
    <n v="2"/>
    <n v="5"/>
    <n v="1"/>
    <x v="4"/>
    <n v="1"/>
    <x v="0"/>
    <m/>
    <m/>
    <n v="1"/>
    <x v="5"/>
    <s v="Closed"/>
    <m/>
    <s v="Zone 1 - Chiller Building and Oil Injection"/>
    <x v="33"/>
  </r>
  <r>
    <n v="522"/>
    <s v="Access &amp; Egress"/>
    <s v="Constraint space at the tanks stair access of oil injection tanks"/>
    <m/>
    <m/>
    <n v="0"/>
    <n v="0"/>
    <n v="1"/>
    <x v="2"/>
    <n v="2"/>
    <x v="0"/>
    <m/>
    <n v="1"/>
    <m/>
    <x v="4"/>
    <s v="Pending"/>
    <s v="Tajinder"/>
    <s v="Zone 1 - Chiller Building and Oil Injection"/>
    <x v="33"/>
  </r>
  <r>
    <n v="523"/>
    <s v="Material Management"/>
    <s v="Compaction of the area near pillors of pipe rack."/>
    <m/>
    <m/>
    <n v="0"/>
    <n v="0"/>
    <n v="1"/>
    <x v="2"/>
    <n v="2"/>
    <x v="0"/>
    <m/>
    <n v="1"/>
    <m/>
    <x v="0"/>
    <s v="Pending"/>
    <m/>
    <s v="Zone 1 - Chiller Building and Oil Injection"/>
    <x v="33"/>
  </r>
  <r>
    <n v="524"/>
    <s v="PPE"/>
    <s v="Person observed working without hand gloves"/>
    <m/>
    <m/>
    <n v="1"/>
    <n v="1"/>
    <n v="1"/>
    <x v="0"/>
    <n v="3"/>
    <x v="0"/>
    <n v="1"/>
    <m/>
    <n v="1"/>
    <x v="1"/>
    <s v="Closed"/>
    <m/>
    <s v="Zone 1 - Chiller Building and Oil Injection"/>
    <x v="33"/>
  </r>
  <r>
    <n v="525"/>
    <s v="Electrical"/>
    <s v="Cable observed tied with metal pipe"/>
    <m/>
    <m/>
    <n v="0"/>
    <n v="0"/>
    <n v="1"/>
    <x v="0"/>
    <n v="3"/>
    <x v="1"/>
    <m/>
    <n v="1"/>
    <m/>
    <x v="1"/>
    <s v="Closed"/>
    <m/>
    <s v="Zone 1 - Chiller Building and Oil Injection"/>
    <x v="33"/>
  </r>
  <r>
    <n v="526"/>
    <s v="Tools &amp; Equipment"/>
    <s v="Grinder Power tool observed with overdue inspection"/>
    <m/>
    <m/>
    <n v="0"/>
    <n v="0"/>
    <n v="1"/>
    <x v="0"/>
    <n v="3"/>
    <x v="0"/>
    <m/>
    <n v="1"/>
    <m/>
    <x v="1"/>
    <s v="Pending"/>
    <m/>
    <s v="Zone 1 - Chiller Building and Oil Injection"/>
    <x v="33"/>
  </r>
  <r>
    <n v="527"/>
    <s v="PPE"/>
    <s v="Person observed wothout anchoring safety harness while working at height"/>
    <m/>
    <m/>
    <n v="2"/>
    <n v="1"/>
    <n v="1"/>
    <x v="3"/>
    <n v="5"/>
    <x v="1"/>
    <m/>
    <m/>
    <n v="1"/>
    <x v="0"/>
    <s v="Closed"/>
    <m/>
    <s v="Zone 1 - Chiller Building and Oil Injection"/>
    <x v="33"/>
  </r>
  <r>
    <n v="528"/>
    <s v="Work at Height"/>
    <s v="Unsecured material kept on the scaffolding"/>
    <m/>
    <m/>
    <n v="0"/>
    <n v="0"/>
    <n v="1"/>
    <x v="2"/>
    <n v="2"/>
    <x v="0"/>
    <m/>
    <n v="1"/>
    <m/>
    <x v="0"/>
    <s v="Pending"/>
    <m/>
    <s v="Zone 1 - Chiller Building and Oil Injection"/>
    <x v="33"/>
  </r>
  <r>
    <n v="529"/>
    <s v="Barricading"/>
    <s v="Barrication of the area missing &amp; Person observed in the line of fire of Excavator doing soil leveling."/>
    <m/>
    <m/>
    <n v="0"/>
    <n v="4"/>
    <n v="1"/>
    <x v="3"/>
    <n v="5"/>
    <x v="1"/>
    <m/>
    <m/>
    <n v="1"/>
    <x v="0"/>
    <s v="Closed"/>
    <m/>
    <s v="Zone 1 - Chiller Building and Oil Injection"/>
    <x v="33"/>
  </r>
  <r>
    <n v="530"/>
    <s v="Housekeeping"/>
    <s v="Evaporator Roof Exit blocked with debris, workers stepping on it to move to lower level floors"/>
    <m/>
    <m/>
    <n v="0"/>
    <n v="0"/>
    <n v="1"/>
    <x v="1"/>
    <n v="4"/>
    <x v="1"/>
    <m/>
    <n v="1"/>
    <m/>
    <x v="9"/>
    <s v="Closed"/>
    <m/>
    <s v="Zone 4 - Oil Blending, Panel Room, Refrigeration Building &amp; Roof Areas"/>
    <x v="33"/>
  </r>
  <r>
    <n v="531"/>
    <s v="Work at Height"/>
    <s v="Worker standing on platform support in evaporator area while working"/>
    <m/>
    <m/>
    <n v="0"/>
    <n v="0"/>
    <n v="1"/>
    <x v="0"/>
    <n v="3"/>
    <x v="1"/>
    <m/>
    <n v="1"/>
    <m/>
    <x v="10"/>
    <s v="Closed"/>
    <m/>
    <s v="Zone 2 - Evaporator Building"/>
    <x v="33"/>
  </r>
  <r>
    <n v="532"/>
    <s v="Housekeeping"/>
    <s v="Basic housekeeping missing - Cable management &amp; material unorganised"/>
    <m/>
    <m/>
    <n v="0"/>
    <n v="0"/>
    <n v="1"/>
    <x v="4"/>
    <n v="1"/>
    <x v="0"/>
    <m/>
    <n v="1"/>
    <m/>
    <x v="0"/>
    <s v="Pending"/>
    <m/>
    <s v="Zone 4 - Oil Blending, Panel Room, Refrigeration Building &amp; Roof Areas"/>
    <x v="33"/>
  </r>
  <r>
    <n v="533"/>
    <s v="Housekeeping"/>
    <s v="Material stored on platform at first &amp; second level - Poor Housekeeping"/>
    <m/>
    <m/>
    <n v="0"/>
    <n v="0"/>
    <n v="1"/>
    <x v="2"/>
    <n v="2"/>
    <x v="0"/>
    <m/>
    <n v="1"/>
    <m/>
    <x v="10"/>
    <s v="Pending"/>
    <m/>
    <s v="Zone 2 - Evaporator Building"/>
    <x v="33"/>
  </r>
  <r>
    <n v="534"/>
    <s v="PPE"/>
    <s v="Safety harness hook not tied to the lifeline"/>
    <m/>
    <m/>
    <n v="10"/>
    <n v="2"/>
    <n v="1"/>
    <x v="1"/>
    <n v="4"/>
    <x v="1"/>
    <n v="1"/>
    <m/>
    <n v="1"/>
    <x v="10"/>
    <s v="Closed"/>
    <m/>
    <s v="Zone 2 - Evaporator Building"/>
    <x v="33"/>
  </r>
  <r>
    <n v="535"/>
    <s v="Work at Height"/>
    <s v="Scaffolding found without a scaffolding tag."/>
    <m/>
    <m/>
    <n v="1"/>
    <n v="0"/>
    <n v="1"/>
    <x v="2"/>
    <n v="2"/>
    <x v="0"/>
    <m/>
    <n v="1"/>
    <m/>
    <x v="10"/>
    <s v="Pending"/>
    <m/>
    <s v="Zone 2 - Evaporator Building"/>
    <x v="33"/>
  </r>
  <r>
    <n v="536"/>
    <s v="Housekeeping"/>
    <s v="@⁨abhishek Engg. Aalanna⁩ @⁨KadiDebris bag left on the staircase, obstructing access in the evaporator area."/>
    <m/>
    <m/>
    <n v="0"/>
    <n v="0"/>
    <n v="1"/>
    <x v="0"/>
    <n v="3"/>
    <x v="0"/>
    <m/>
    <n v="1"/>
    <m/>
    <x v="9"/>
    <s v="Pending"/>
    <m/>
    <s v="Zone 2 - Evaporator Building"/>
    <x v="33"/>
  </r>
  <r>
    <n v="537"/>
    <s v="Work at Height"/>
    <s v="Scaffolding ladder in unsecured condition."/>
    <m/>
    <m/>
    <n v="0"/>
    <n v="0"/>
    <n v="1"/>
    <x v="0"/>
    <n v="3"/>
    <x v="0"/>
    <m/>
    <n v="1"/>
    <m/>
    <x v="1"/>
    <s v="Pending"/>
    <m/>
    <s v="Zone 2 - Evaporator Building"/>
    <x v="33"/>
  </r>
  <r>
    <n v="538"/>
    <s v="Barricading"/>
    <s v="Digging work being done outside canteen and path blocked but no clarity on alternate path. Further, we started using faded alternate path. Conical barriers to be place to clearly mark the pathway"/>
    <m/>
    <m/>
    <n v="1"/>
    <n v="2"/>
    <n v="1"/>
    <x v="2"/>
    <n v="2"/>
    <x v="0"/>
    <m/>
    <m/>
    <n v="1"/>
    <x v="9"/>
    <s v="Pending"/>
    <m/>
    <s v="Zone 1 - Chiller Building and Oil Injection"/>
    <x v="34"/>
  </r>
  <r>
    <n v="539"/>
    <s v="Barricading"/>
    <s v="Material not properly chain locked and barricaded."/>
    <m/>
    <m/>
    <n v="0"/>
    <n v="0"/>
    <n v="1"/>
    <x v="2"/>
    <n v="2"/>
    <x v="0"/>
    <m/>
    <n v="1"/>
    <m/>
    <x v="9"/>
    <s v="Pending"/>
    <m/>
    <s v="Zone 2 - Evaporator Building"/>
    <x v="34"/>
  </r>
  <r>
    <n v="540"/>
    <s v="Material Management"/>
    <s v="Scaffolding material kept without lock &amp; key"/>
    <m/>
    <m/>
    <n v="0"/>
    <n v="0"/>
    <n v="1"/>
    <x v="2"/>
    <n v="2"/>
    <x v="0"/>
    <m/>
    <n v="1"/>
    <m/>
    <x v="7"/>
    <s v="Pending"/>
    <m/>
    <s v="Zone 2 - Evaporator Building"/>
    <x v="34"/>
  </r>
  <r>
    <n v="541"/>
    <s v="Housekeeping"/>
    <s v="5s not maintained at site"/>
    <m/>
    <m/>
    <n v="0"/>
    <n v="0"/>
    <n v="1"/>
    <x v="0"/>
    <n v="3"/>
    <x v="0"/>
    <m/>
    <n v="1"/>
    <m/>
    <x v="8"/>
    <s v="Pending"/>
    <m/>
    <s v="Zone 2 - Evaporator Building"/>
    <x v="34"/>
  </r>
  <r>
    <n v="542"/>
    <s v="Housekeeping"/>
    <s v="Debris material found at the site."/>
    <m/>
    <m/>
    <n v="0"/>
    <n v="0"/>
    <n v="1"/>
    <x v="0"/>
    <n v="3"/>
    <x v="0"/>
    <m/>
    <n v="1"/>
    <m/>
    <x v="9"/>
    <s v="Pending"/>
    <m/>
    <s v="Zone 2 - Evaporator Building"/>
    <x v="34"/>
  </r>
  <r>
    <n v="543"/>
    <s v="Barricading"/>
    <s v="Material stored Without barrication"/>
    <m/>
    <m/>
    <n v="0"/>
    <n v="0"/>
    <n v="1"/>
    <x v="0"/>
    <n v="3"/>
    <x v="0"/>
    <m/>
    <n v="1"/>
    <m/>
    <x v="0"/>
    <s v="Pending"/>
    <m/>
    <s v="Zone 2 - Evaporator Building"/>
    <x v="34"/>
  </r>
  <r>
    <n v="544"/>
    <s v="PPE"/>
    <s v="Person observed standing near cutting &amp; grinding work without safety googles"/>
    <m/>
    <m/>
    <n v="1"/>
    <n v="4"/>
    <n v="1"/>
    <x v="0"/>
    <n v="3"/>
    <x v="0"/>
    <n v="1"/>
    <m/>
    <n v="1"/>
    <x v="7"/>
    <s v="Pending"/>
    <m/>
    <s v="Zone 2 - Evaporator Building"/>
    <x v="34"/>
  </r>
  <r>
    <n v="545"/>
    <s v="Unsafe Behavior"/>
    <s v="Person observed standing directly in front of cutting/grinding activity potential of getting injured from cutting wheel"/>
    <m/>
    <m/>
    <n v="1"/>
    <n v="1"/>
    <n v="1"/>
    <x v="3"/>
    <n v="5"/>
    <x v="1"/>
    <m/>
    <m/>
    <n v="1"/>
    <x v="7"/>
    <s v="Closed"/>
    <m/>
    <s v="Zone 2 - Evaporator Building"/>
    <x v="34"/>
  </r>
  <r>
    <n v="546"/>
    <s v="Tools &amp; Equipment"/>
    <s v="Non standard Cutting wheel observed being used."/>
    <m/>
    <m/>
    <n v="0"/>
    <n v="0"/>
    <n v="1"/>
    <x v="1"/>
    <n v="4"/>
    <x v="1"/>
    <m/>
    <n v="1"/>
    <m/>
    <x v="7"/>
    <s v="Pending"/>
    <m/>
    <s v="Zone 2 - Evaporator Building"/>
    <x v="34"/>
  </r>
  <r>
    <n v="547"/>
    <s v="Work at Height"/>
    <s v="Railing required of 2.9m platform potential of person falling."/>
    <m/>
    <m/>
    <n v="0"/>
    <n v="0"/>
    <n v="1"/>
    <x v="1"/>
    <n v="4"/>
    <x v="1"/>
    <m/>
    <n v="1"/>
    <m/>
    <x v="10"/>
    <s v="Pending"/>
    <m/>
    <s v="Zone 2 - Evaporator Building"/>
    <x v="34"/>
  </r>
  <r>
    <n v="548"/>
    <m/>
    <s v="Person observed directly handling the platform by himself while standing on scaffolding underneath suspended platform for allignment &amp; others standing &amp; crossing under suspended load"/>
    <m/>
    <m/>
    <n v="1"/>
    <n v="3"/>
    <n v="1"/>
    <x v="3"/>
    <n v="5"/>
    <x v="1"/>
    <m/>
    <m/>
    <n v="1"/>
    <x v="10"/>
    <s v="Pending"/>
    <m/>
    <s v="Zone 2 - Evaporator Building"/>
    <x v="34"/>
  </r>
  <r>
    <n v="549"/>
    <m/>
    <s v="Barrication of the staircase observed missing &amp; workers crossing underneath the suspended platform"/>
    <m/>
    <m/>
    <n v="0"/>
    <n v="0"/>
    <n v="1"/>
    <x v="0"/>
    <n v="3"/>
    <x v="0"/>
    <m/>
    <n v="1"/>
    <m/>
    <x v="10"/>
    <s v="Pending"/>
    <m/>
    <s v="Zone 2 - Evaporator Building"/>
    <x v="34"/>
  </r>
  <r>
    <n v="550"/>
    <m/>
    <s v="Inadequate pathway in the chiller are due to material stored in pathway"/>
    <m/>
    <m/>
    <m/>
    <m/>
    <n v="1"/>
    <x v="0"/>
    <n v="3"/>
    <x v="0"/>
    <m/>
    <n v="1"/>
    <m/>
    <x v="1"/>
    <s v="Pending"/>
    <m/>
    <s v="Zone 1 - Chiller Building and Oil Injection"/>
    <x v="34"/>
  </r>
  <r>
    <n v="551"/>
    <m/>
    <s v="Cable observed tied with wire on metalic scaffolding pipe"/>
    <m/>
    <m/>
    <m/>
    <m/>
    <n v="1"/>
    <x v="0"/>
    <n v="3"/>
    <x v="0"/>
    <m/>
    <n v="1"/>
    <m/>
    <x v="1"/>
    <s v="Closed"/>
    <m/>
    <s v="Zone 1 - Chiller Building and Oil Injection"/>
    <x v="34"/>
  </r>
  <r>
    <n v="552"/>
    <s v="Slip &amp; trip "/>
    <s v="Steps provided at scaffolding are to high &amp; person observed using "/>
    <m/>
    <m/>
    <n v="0"/>
    <n v="0"/>
    <n v="1"/>
    <x v="1"/>
    <n v="4"/>
    <x v="1"/>
    <m/>
    <n v="3"/>
    <m/>
    <x v="0"/>
    <s v="Pending"/>
    <m/>
    <s v="Zone 1 - Chiller Building and Oil Injection"/>
    <x v="34"/>
  </r>
  <r>
    <n v="553"/>
    <m/>
    <m/>
    <m/>
    <m/>
    <m/>
    <m/>
    <m/>
    <x v="5"/>
    <m/>
    <x v="0"/>
    <m/>
    <m/>
    <m/>
    <x v="12"/>
    <m/>
    <m/>
    <m/>
    <x v="35"/>
  </r>
  <r>
    <n v="554"/>
    <m/>
    <m/>
    <m/>
    <m/>
    <m/>
    <m/>
    <m/>
    <x v="5"/>
    <m/>
    <x v="0"/>
    <m/>
    <m/>
    <m/>
    <x v="12"/>
    <m/>
    <m/>
    <m/>
    <x v="35"/>
  </r>
  <r>
    <n v="555"/>
    <m/>
    <m/>
    <m/>
    <m/>
    <m/>
    <m/>
    <m/>
    <x v="5"/>
    <m/>
    <x v="0"/>
    <m/>
    <m/>
    <m/>
    <x v="12"/>
    <m/>
    <m/>
    <m/>
    <x v="35"/>
  </r>
  <r>
    <n v="556"/>
    <m/>
    <m/>
    <m/>
    <m/>
    <m/>
    <m/>
    <m/>
    <x v="5"/>
    <m/>
    <x v="0"/>
    <m/>
    <m/>
    <m/>
    <x v="12"/>
    <m/>
    <m/>
    <m/>
    <x v="35"/>
  </r>
  <r>
    <n v="557"/>
    <m/>
    <m/>
    <m/>
    <m/>
    <m/>
    <m/>
    <m/>
    <x v="5"/>
    <m/>
    <x v="0"/>
    <m/>
    <m/>
    <m/>
    <x v="12"/>
    <m/>
    <m/>
    <m/>
    <x v="35"/>
  </r>
  <r>
    <n v="558"/>
    <m/>
    <m/>
    <m/>
    <m/>
    <m/>
    <m/>
    <m/>
    <x v="5"/>
    <m/>
    <x v="0"/>
    <m/>
    <m/>
    <m/>
    <x v="12"/>
    <m/>
    <m/>
    <m/>
    <x v="35"/>
  </r>
  <r>
    <n v="559"/>
    <m/>
    <m/>
    <m/>
    <m/>
    <m/>
    <m/>
    <m/>
    <x v="5"/>
    <m/>
    <x v="0"/>
    <m/>
    <m/>
    <m/>
    <x v="12"/>
    <m/>
    <m/>
    <m/>
    <x v="35"/>
  </r>
  <r>
    <n v="560"/>
    <m/>
    <m/>
    <m/>
    <m/>
    <m/>
    <m/>
    <m/>
    <x v="5"/>
    <m/>
    <x v="0"/>
    <m/>
    <m/>
    <m/>
    <x v="12"/>
    <m/>
    <m/>
    <m/>
    <x v="35"/>
  </r>
  <r>
    <n v="561"/>
    <m/>
    <m/>
    <m/>
    <m/>
    <m/>
    <m/>
    <m/>
    <x v="5"/>
    <m/>
    <x v="0"/>
    <m/>
    <m/>
    <m/>
    <x v="12"/>
    <m/>
    <m/>
    <m/>
    <x v="35"/>
  </r>
  <r>
    <n v="562"/>
    <m/>
    <m/>
    <m/>
    <m/>
    <m/>
    <m/>
    <m/>
    <x v="5"/>
    <m/>
    <x v="0"/>
    <m/>
    <m/>
    <m/>
    <x v="12"/>
    <m/>
    <m/>
    <m/>
    <x v="35"/>
  </r>
  <r>
    <n v="563"/>
    <m/>
    <m/>
    <m/>
    <m/>
    <m/>
    <m/>
    <m/>
    <x v="5"/>
    <m/>
    <x v="0"/>
    <m/>
    <m/>
    <m/>
    <x v="12"/>
    <m/>
    <m/>
    <m/>
    <x v="35"/>
  </r>
  <r>
    <n v="564"/>
    <m/>
    <m/>
    <m/>
    <m/>
    <m/>
    <m/>
    <m/>
    <x v="5"/>
    <m/>
    <x v="0"/>
    <m/>
    <m/>
    <m/>
    <x v="12"/>
    <m/>
    <m/>
    <m/>
    <x v="35"/>
  </r>
  <r>
    <n v="565"/>
    <m/>
    <m/>
    <m/>
    <m/>
    <m/>
    <m/>
    <m/>
    <x v="5"/>
    <m/>
    <x v="0"/>
    <m/>
    <m/>
    <m/>
    <x v="12"/>
    <m/>
    <m/>
    <m/>
    <x v="35"/>
  </r>
  <r>
    <n v="566"/>
    <m/>
    <m/>
    <m/>
    <m/>
    <m/>
    <m/>
    <m/>
    <x v="5"/>
    <m/>
    <x v="0"/>
    <m/>
    <m/>
    <m/>
    <x v="12"/>
    <m/>
    <m/>
    <m/>
    <x v="35"/>
  </r>
  <r>
    <n v="567"/>
    <m/>
    <m/>
    <m/>
    <m/>
    <m/>
    <m/>
    <m/>
    <x v="5"/>
    <m/>
    <x v="0"/>
    <m/>
    <m/>
    <m/>
    <x v="12"/>
    <m/>
    <m/>
    <m/>
    <x v="35"/>
  </r>
  <r>
    <n v="568"/>
    <m/>
    <m/>
    <m/>
    <m/>
    <m/>
    <m/>
    <m/>
    <x v="5"/>
    <m/>
    <x v="0"/>
    <m/>
    <m/>
    <m/>
    <x v="12"/>
    <m/>
    <m/>
    <m/>
    <x v="35"/>
  </r>
  <r>
    <n v="569"/>
    <m/>
    <m/>
    <m/>
    <m/>
    <m/>
    <m/>
    <m/>
    <x v="5"/>
    <m/>
    <x v="0"/>
    <m/>
    <m/>
    <m/>
    <x v="12"/>
    <m/>
    <m/>
    <m/>
    <x v="35"/>
  </r>
  <r>
    <n v="570"/>
    <m/>
    <m/>
    <m/>
    <m/>
    <m/>
    <m/>
    <m/>
    <x v="5"/>
    <m/>
    <x v="0"/>
    <m/>
    <m/>
    <m/>
    <x v="12"/>
    <m/>
    <m/>
    <m/>
    <x v="35"/>
  </r>
  <r>
    <n v="571"/>
    <m/>
    <m/>
    <m/>
    <m/>
    <m/>
    <m/>
    <m/>
    <x v="5"/>
    <m/>
    <x v="0"/>
    <m/>
    <m/>
    <m/>
    <x v="12"/>
    <m/>
    <m/>
    <m/>
    <x v="35"/>
  </r>
  <r>
    <n v="572"/>
    <m/>
    <m/>
    <m/>
    <m/>
    <m/>
    <m/>
    <m/>
    <x v="5"/>
    <m/>
    <x v="0"/>
    <m/>
    <m/>
    <m/>
    <x v="12"/>
    <m/>
    <m/>
    <m/>
    <x v="35"/>
  </r>
  <r>
    <n v="573"/>
    <m/>
    <m/>
    <m/>
    <m/>
    <m/>
    <m/>
    <m/>
    <x v="5"/>
    <m/>
    <x v="0"/>
    <m/>
    <m/>
    <m/>
    <x v="12"/>
    <m/>
    <m/>
    <m/>
    <x v="35"/>
  </r>
  <r>
    <n v="574"/>
    <m/>
    <m/>
    <m/>
    <m/>
    <m/>
    <m/>
    <m/>
    <x v="5"/>
    <m/>
    <x v="0"/>
    <m/>
    <m/>
    <m/>
    <x v="12"/>
    <m/>
    <m/>
    <m/>
    <x v="35"/>
  </r>
  <r>
    <n v="575"/>
    <m/>
    <m/>
    <m/>
    <m/>
    <m/>
    <m/>
    <m/>
    <x v="5"/>
    <m/>
    <x v="0"/>
    <m/>
    <m/>
    <m/>
    <x v="12"/>
    <m/>
    <m/>
    <m/>
    <x v="35"/>
  </r>
  <r>
    <n v="576"/>
    <m/>
    <m/>
    <m/>
    <m/>
    <m/>
    <m/>
    <m/>
    <x v="5"/>
    <m/>
    <x v="0"/>
    <m/>
    <m/>
    <m/>
    <x v="12"/>
    <m/>
    <m/>
    <m/>
    <x v="35"/>
  </r>
  <r>
    <n v="577"/>
    <m/>
    <m/>
    <m/>
    <m/>
    <m/>
    <m/>
    <m/>
    <x v="5"/>
    <m/>
    <x v="0"/>
    <m/>
    <m/>
    <m/>
    <x v="12"/>
    <m/>
    <m/>
    <m/>
    <x v="35"/>
  </r>
  <r>
    <n v="578"/>
    <m/>
    <m/>
    <m/>
    <m/>
    <m/>
    <m/>
    <m/>
    <x v="5"/>
    <m/>
    <x v="0"/>
    <m/>
    <m/>
    <m/>
    <x v="12"/>
    <m/>
    <m/>
    <m/>
    <x v="35"/>
  </r>
  <r>
    <n v="579"/>
    <m/>
    <m/>
    <m/>
    <m/>
    <m/>
    <m/>
    <m/>
    <x v="5"/>
    <m/>
    <x v="0"/>
    <m/>
    <m/>
    <m/>
    <x v="12"/>
    <m/>
    <m/>
    <m/>
    <x v="35"/>
  </r>
  <r>
    <n v="580"/>
    <m/>
    <m/>
    <m/>
    <m/>
    <m/>
    <m/>
    <m/>
    <x v="5"/>
    <m/>
    <x v="0"/>
    <m/>
    <m/>
    <m/>
    <x v="12"/>
    <m/>
    <m/>
    <m/>
    <x v="35"/>
  </r>
  <r>
    <n v="581"/>
    <m/>
    <m/>
    <m/>
    <m/>
    <m/>
    <m/>
    <m/>
    <x v="5"/>
    <m/>
    <x v="0"/>
    <m/>
    <m/>
    <m/>
    <x v="12"/>
    <m/>
    <m/>
    <m/>
    <x v="35"/>
  </r>
  <r>
    <n v="582"/>
    <m/>
    <m/>
    <m/>
    <m/>
    <m/>
    <m/>
    <m/>
    <x v="5"/>
    <m/>
    <x v="0"/>
    <m/>
    <m/>
    <m/>
    <x v="12"/>
    <m/>
    <m/>
    <m/>
    <x v="35"/>
  </r>
  <r>
    <n v="583"/>
    <m/>
    <m/>
    <m/>
    <m/>
    <m/>
    <m/>
    <m/>
    <x v="5"/>
    <m/>
    <x v="0"/>
    <m/>
    <m/>
    <m/>
    <x v="12"/>
    <m/>
    <m/>
    <m/>
    <x v="35"/>
  </r>
  <r>
    <n v="584"/>
    <m/>
    <m/>
    <m/>
    <m/>
    <m/>
    <m/>
    <m/>
    <x v="5"/>
    <m/>
    <x v="0"/>
    <m/>
    <m/>
    <m/>
    <x v="12"/>
    <m/>
    <m/>
    <m/>
    <x v="35"/>
  </r>
  <r>
    <n v="585"/>
    <m/>
    <m/>
    <m/>
    <m/>
    <m/>
    <m/>
    <m/>
    <x v="5"/>
    <m/>
    <x v="0"/>
    <m/>
    <m/>
    <m/>
    <x v="12"/>
    <m/>
    <m/>
    <m/>
    <x v="35"/>
  </r>
  <r>
    <n v="586"/>
    <m/>
    <m/>
    <m/>
    <m/>
    <m/>
    <m/>
    <m/>
    <x v="5"/>
    <m/>
    <x v="0"/>
    <m/>
    <m/>
    <m/>
    <x v="12"/>
    <m/>
    <m/>
    <m/>
    <x v="35"/>
  </r>
  <r>
    <n v="587"/>
    <m/>
    <m/>
    <m/>
    <m/>
    <m/>
    <m/>
    <m/>
    <x v="5"/>
    <m/>
    <x v="0"/>
    <m/>
    <m/>
    <m/>
    <x v="12"/>
    <m/>
    <m/>
    <m/>
    <x v="35"/>
  </r>
  <r>
    <n v="588"/>
    <m/>
    <m/>
    <m/>
    <m/>
    <m/>
    <m/>
    <m/>
    <x v="5"/>
    <m/>
    <x v="0"/>
    <m/>
    <m/>
    <m/>
    <x v="12"/>
    <m/>
    <m/>
    <m/>
    <x v="35"/>
  </r>
  <r>
    <n v="589"/>
    <m/>
    <m/>
    <m/>
    <m/>
    <m/>
    <m/>
    <m/>
    <x v="5"/>
    <m/>
    <x v="0"/>
    <m/>
    <m/>
    <m/>
    <x v="12"/>
    <m/>
    <m/>
    <m/>
    <x v="35"/>
  </r>
  <r>
    <n v="590"/>
    <m/>
    <m/>
    <m/>
    <m/>
    <m/>
    <m/>
    <m/>
    <x v="5"/>
    <m/>
    <x v="0"/>
    <m/>
    <m/>
    <m/>
    <x v="12"/>
    <m/>
    <m/>
    <m/>
    <x v="35"/>
  </r>
  <r>
    <n v="591"/>
    <m/>
    <m/>
    <m/>
    <m/>
    <m/>
    <m/>
    <m/>
    <x v="5"/>
    <m/>
    <x v="0"/>
    <m/>
    <m/>
    <m/>
    <x v="12"/>
    <m/>
    <m/>
    <m/>
    <x v="35"/>
  </r>
  <r>
    <n v="592"/>
    <m/>
    <m/>
    <m/>
    <m/>
    <m/>
    <m/>
    <m/>
    <x v="5"/>
    <m/>
    <x v="0"/>
    <m/>
    <m/>
    <m/>
    <x v="12"/>
    <m/>
    <m/>
    <m/>
    <x v="35"/>
  </r>
  <r>
    <n v="593"/>
    <m/>
    <m/>
    <m/>
    <m/>
    <m/>
    <m/>
    <m/>
    <x v="5"/>
    <m/>
    <x v="0"/>
    <m/>
    <m/>
    <m/>
    <x v="12"/>
    <m/>
    <m/>
    <m/>
    <x v="35"/>
  </r>
  <r>
    <n v="594"/>
    <m/>
    <m/>
    <m/>
    <m/>
    <m/>
    <m/>
    <m/>
    <x v="5"/>
    <m/>
    <x v="0"/>
    <m/>
    <m/>
    <m/>
    <x v="12"/>
    <m/>
    <m/>
    <m/>
    <x v="35"/>
  </r>
  <r>
    <n v="595"/>
    <m/>
    <m/>
    <m/>
    <m/>
    <m/>
    <m/>
    <m/>
    <x v="5"/>
    <m/>
    <x v="0"/>
    <m/>
    <m/>
    <m/>
    <x v="12"/>
    <m/>
    <m/>
    <m/>
    <x v="35"/>
  </r>
  <r>
    <n v="596"/>
    <m/>
    <m/>
    <m/>
    <m/>
    <m/>
    <m/>
    <m/>
    <x v="5"/>
    <m/>
    <x v="0"/>
    <m/>
    <m/>
    <m/>
    <x v="12"/>
    <m/>
    <m/>
    <m/>
    <x v="35"/>
  </r>
  <r>
    <n v="597"/>
    <m/>
    <m/>
    <m/>
    <m/>
    <m/>
    <m/>
    <m/>
    <x v="5"/>
    <m/>
    <x v="0"/>
    <m/>
    <m/>
    <m/>
    <x v="12"/>
    <m/>
    <m/>
    <m/>
    <x v="35"/>
  </r>
  <r>
    <n v="598"/>
    <m/>
    <m/>
    <m/>
    <m/>
    <m/>
    <m/>
    <m/>
    <x v="5"/>
    <m/>
    <x v="0"/>
    <m/>
    <m/>
    <m/>
    <x v="12"/>
    <m/>
    <m/>
    <m/>
    <x v="35"/>
  </r>
  <r>
    <n v="599"/>
    <m/>
    <m/>
    <m/>
    <m/>
    <m/>
    <m/>
    <m/>
    <x v="5"/>
    <m/>
    <x v="0"/>
    <m/>
    <m/>
    <m/>
    <x v="12"/>
    <m/>
    <m/>
    <m/>
    <x v="35"/>
  </r>
  <r>
    <n v="600"/>
    <m/>
    <m/>
    <m/>
    <m/>
    <m/>
    <m/>
    <m/>
    <x v="5"/>
    <m/>
    <x v="0"/>
    <m/>
    <m/>
    <m/>
    <x v="12"/>
    <m/>
    <m/>
    <m/>
    <x v="35"/>
  </r>
  <r>
    <n v="601"/>
    <m/>
    <m/>
    <m/>
    <m/>
    <m/>
    <m/>
    <m/>
    <x v="5"/>
    <m/>
    <x v="0"/>
    <m/>
    <m/>
    <m/>
    <x v="12"/>
    <m/>
    <m/>
    <m/>
    <x v="35"/>
  </r>
  <r>
    <n v="602"/>
    <m/>
    <m/>
    <m/>
    <m/>
    <m/>
    <m/>
    <m/>
    <x v="5"/>
    <m/>
    <x v="0"/>
    <m/>
    <m/>
    <m/>
    <x v="12"/>
    <m/>
    <m/>
    <m/>
    <x v="35"/>
  </r>
  <r>
    <n v="603"/>
    <m/>
    <m/>
    <m/>
    <m/>
    <m/>
    <m/>
    <m/>
    <x v="5"/>
    <m/>
    <x v="0"/>
    <m/>
    <m/>
    <m/>
    <x v="12"/>
    <m/>
    <m/>
    <m/>
    <x v="35"/>
  </r>
  <r>
    <n v="604"/>
    <m/>
    <m/>
    <m/>
    <m/>
    <m/>
    <m/>
    <m/>
    <x v="5"/>
    <m/>
    <x v="0"/>
    <m/>
    <m/>
    <m/>
    <x v="12"/>
    <m/>
    <m/>
    <m/>
    <x v="35"/>
  </r>
  <r>
    <n v="605"/>
    <m/>
    <m/>
    <m/>
    <m/>
    <m/>
    <m/>
    <m/>
    <x v="5"/>
    <m/>
    <x v="0"/>
    <m/>
    <m/>
    <m/>
    <x v="12"/>
    <m/>
    <m/>
    <m/>
    <x v="35"/>
  </r>
  <r>
    <n v="606"/>
    <m/>
    <m/>
    <m/>
    <m/>
    <m/>
    <m/>
    <m/>
    <x v="5"/>
    <m/>
    <x v="0"/>
    <m/>
    <m/>
    <m/>
    <x v="12"/>
    <m/>
    <m/>
    <m/>
    <x v="35"/>
  </r>
  <r>
    <n v="607"/>
    <m/>
    <m/>
    <m/>
    <m/>
    <m/>
    <m/>
    <m/>
    <x v="5"/>
    <m/>
    <x v="0"/>
    <m/>
    <m/>
    <m/>
    <x v="12"/>
    <m/>
    <m/>
    <m/>
    <x v="35"/>
  </r>
  <r>
    <n v="608"/>
    <m/>
    <m/>
    <m/>
    <m/>
    <m/>
    <m/>
    <m/>
    <x v="5"/>
    <m/>
    <x v="0"/>
    <m/>
    <m/>
    <m/>
    <x v="12"/>
    <m/>
    <m/>
    <m/>
    <x v="35"/>
  </r>
  <r>
    <n v="609"/>
    <m/>
    <m/>
    <m/>
    <m/>
    <m/>
    <m/>
    <m/>
    <x v="5"/>
    <m/>
    <x v="0"/>
    <m/>
    <m/>
    <m/>
    <x v="12"/>
    <m/>
    <m/>
    <m/>
    <x v="35"/>
  </r>
  <r>
    <n v="610"/>
    <m/>
    <m/>
    <m/>
    <m/>
    <m/>
    <m/>
    <m/>
    <x v="5"/>
    <m/>
    <x v="0"/>
    <m/>
    <m/>
    <m/>
    <x v="12"/>
    <m/>
    <m/>
    <m/>
    <x v="35"/>
  </r>
  <r>
    <n v="611"/>
    <m/>
    <m/>
    <m/>
    <m/>
    <m/>
    <m/>
    <m/>
    <x v="5"/>
    <m/>
    <x v="0"/>
    <m/>
    <m/>
    <m/>
    <x v="12"/>
    <m/>
    <m/>
    <m/>
    <x v="35"/>
  </r>
  <r>
    <n v="612"/>
    <m/>
    <m/>
    <m/>
    <m/>
    <m/>
    <m/>
    <m/>
    <x v="5"/>
    <m/>
    <x v="0"/>
    <m/>
    <m/>
    <m/>
    <x v="12"/>
    <m/>
    <m/>
    <m/>
    <x v="35"/>
  </r>
  <r>
    <n v="613"/>
    <m/>
    <m/>
    <m/>
    <m/>
    <m/>
    <m/>
    <m/>
    <x v="5"/>
    <m/>
    <x v="0"/>
    <m/>
    <m/>
    <m/>
    <x v="12"/>
    <m/>
    <m/>
    <m/>
    <x v="35"/>
  </r>
  <r>
    <n v="614"/>
    <m/>
    <m/>
    <m/>
    <m/>
    <m/>
    <m/>
    <m/>
    <x v="5"/>
    <m/>
    <x v="0"/>
    <m/>
    <m/>
    <m/>
    <x v="12"/>
    <m/>
    <m/>
    <m/>
    <x v="35"/>
  </r>
  <r>
    <n v="615"/>
    <m/>
    <m/>
    <m/>
    <m/>
    <m/>
    <m/>
    <m/>
    <x v="5"/>
    <m/>
    <x v="0"/>
    <m/>
    <m/>
    <m/>
    <x v="12"/>
    <m/>
    <m/>
    <m/>
    <x v="35"/>
  </r>
  <r>
    <n v="616"/>
    <m/>
    <m/>
    <m/>
    <m/>
    <m/>
    <m/>
    <m/>
    <x v="5"/>
    <m/>
    <x v="0"/>
    <m/>
    <m/>
    <m/>
    <x v="12"/>
    <m/>
    <m/>
    <m/>
    <x v="35"/>
  </r>
  <r>
    <n v="617"/>
    <m/>
    <m/>
    <m/>
    <m/>
    <m/>
    <m/>
    <m/>
    <x v="5"/>
    <m/>
    <x v="0"/>
    <m/>
    <m/>
    <m/>
    <x v="12"/>
    <m/>
    <m/>
    <m/>
    <x v="35"/>
  </r>
  <r>
    <n v="618"/>
    <m/>
    <m/>
    <m/>
    <m/>
    <m/>
    <m/>
    <m/>
    <x v="5"/>
    <m/>
    <x v="0"/>
    <m/>
    <m/>
    <m/>
    <x v="12"/>
    <m/>
    <m/>
    <m/>
    <x v="35"/>
  </r>
  <r>
    <n v="619"/>
    <m/>
    <m/>
    <m/>
    <m/>
    <m/>
    <m/>
    <m/>
    <x v="5"/>
    <m/>
    <x v="0"/>
    <m/>
    <m/>
    <m/>
    <x v="12"/>
    <m/>
    <m/>
    <m/>
    <x v="35"/>
  </r>
  <r>
    <n v="620"/>
    <m/>
    <m/>
    <m/>
    <m/>
    <m/>
    <m/>
    <m/>
    <x v="5"/>
    <m/>
    <x v="0"/>
    <m/>
    <m/>
    <m/>
    <x v="12"/>
    <m/>
    <m/>
    <m/>
    <x v="35"/>
  </r>
  <r>
    <n v="621"/>
    <m/>
    <m/>
    <m/>
    <m/>
    <m/>
    <m/>
    <m/>
    <x v="5"/>
    <m/>
    <x v="0"/>
    <m/>
    <m/>
    <m/>
    <x v="12"/>
    <m/>
    <m/>
    <m/>
    <x v="35"/>
  </r>
  <r>
    <n v="622"/>
    <m/>
    <m/>
    <m/>
    <m/>
    <m/>
    <m/>
    <m/>
    <x v="5"/>
    <m/>
    <x v="0"/>
    <m/>
    <m/>
    <m/>
    <x v="12"/>
    <m/>
    <m/>
    <m/>
    <x v="35"/>
  </r>
  <r>
    <n v="623"/>
    <m/>
    <m/>
    <m/>
    <m/>
    <m/>
    <m/>
    <m/>
    <x v="5"/>
    <m/>
    <x v="0"/>
    <m/>
    <m/>
    <m/>
    <x v="12"/>
    <m/>
    <m/>
    <m/>
    <x v="35"/>
  </r>
  <r>
    <n v="624"/>
    <m/>
    <m/>
    <m/>
    <m/>
    <m/>
    <m/>
    <m/>
    <x v="5"/>
    <m/>
    <x v="0"/>
    <m/>
    <m/>
    <m/>
    <x v="12"/>
    <m/>
    <m/>
    <m/>
    <x v="35"/>
  </r>
  <r>
    <n v="625"/>
    <m/>
    <m/>
    <m/>
    <m/>
    <m/>
    <m/>
    <m/>
    <x v="5"/>
    <m/>
    <x v="0"/>
    <m/>
    <m/>
    <m/>
    <x v="12"/>
    <m/>
    <m/>
    <m/>
    <x v="35"/>
  </r>
  <r>
    <n v="626"/>
    <m/>
    <m/>
    <m/>
    <m/>
    <m/>
    <m/>
    <m/>
    <x v="5"/>
    <m/>
    <x v="0"/>
    <m/>
    <m/>
    <m/>
    <x v="12"/>
    <m/>
    <m/>
    <m/>
    <x v="35"/>
  </r>
  <r>
    <n v="627"/>
    <m/>
    <m/>
    <m/>
    <m/>
    <m/>
    <m/>
    <m/>
    <x v="5"/>
    <m/>
    <x v="0"/>
    <m/>
    <m/>
    <m/>
    <x v="12"/>
    <m/>
    <m/>
    <m/>
    <x v="35"/>
  </r>
  <r>
    <n v="628"/>
    <m/>
    <m/>
    <m/>
    <m/>
    <m/>
    <m/>
    <m/>
    <x v="5"/>
    <m/>
    <x v="0"/>
    <m/>
    <m/>
    <m/>
    <x v="12"/>
    <m/>
    <m/>
    <m/>
    <x v="35"/>
  </r>
  <r>
    <n v="629"/>
    <m/>
    <m/>
    <m/>
    <m/>
    <m/>
    <m/>
    <m/>
    <x v="5"/>
    <m/>
    <x v="0"/>
    <m/>
    <m/>
    <m/>
    <x v="12"/>
    <m/>
    <m/>
    <m/>
    <x v="35"/>
  </r>
  <r>
    <n v="630"/>
    <m/>
    <m/>
    <m/>
    <m/>
    <m/>
    <m/>
    <m/>
    <x v="5"/>
    <m/>
    <x v="0"/>
    <m/>
    <m/>
    <m/>
    <x v="12"/>
    <m/>
    <m/>
    <m/>
    <x v="35"/>
  </r>
  <r>
    <n v="631"/>
    <m/>
    <m/>
    <m/>
    <m/>
    <m/>
    <m/>
    <m/>
    <x v="5"/>
    <m/>
    <x v="0"/>
    <m/>
    <m/>
    <m/>
    <x v="12"/>
    <m/>
    <m/>
    <m/>
    <x v="35"/>
  </r>
  <r>
    <n v="632"/>
    <m/>
    <m/>
    <m/>
    <m/>
    <m/>
    <m/>
    <m/>
    <x v="5"/>
    <m/>
    <x v="0"/>
    <m/>
    <m/>
    <m/>
    <x v="12"/>
    <m/>
    <m/>
    <m/>
    <x v="35"/>
  </r>
  <r>
    <n v="633"/>
    <m/>
    <m/>
    <m/>
    <m/>
    <m/>
    <m/>
    <m/>
    <x v="5"/>
    <m/>
    <x v="0"/>
    <m/>
    <m/>
    <m/>
    <x v="12"/>
    <m/>
    <m/>
    <m/>
    <x v="35"/>
  </r>
  <r>
    <n v="634"/>
    <m/>
    <m/>
    <m/>
    <m/>
    <m/>
    <m/>
    <m/>
    <x v="5"/>
    <m/>
    <x v="0"/>
    <m/>
    <m/>
    <m/>
    <x v="12"/>
    <m/>
    <m/>
    <m/>
    <x v="35"/>
  </r>
  <r>
    <n v="635"/>
    <m/>
    <m/>
    <m/>
    <m/>
    <m/>
    <m/>
    <m/>
    <x v="5"/>
    <m/>
    <x v="0"/>
    <m/>
    <m/>
    <m/>
    <x v="12"/>
    <m/>
    <m/>
    <m/>
    <x v="35"/>
  </r>
  <r>
    <n v="636"/>
    <m/>
    <m/>
    <m/>
    <m/>
    <m/>
    <m/>
    <m/>
    <x v="5"/>
    <m/>
    <x v="0"/>
    <m/>
    <m/>
    <m/>
    <x v="12"/>
    <m/>
    <m/>
    <m/>
    <x v="35"/>
  </r>
  <r>
    <n v="637"/>
    <m/>
    <m/>
    <m/>
    <m/>
    <m/>
    <m/>
    <m/>
    <x v="5"/>
    <m/>
    <x v="0"/>
    <m/>
    <m/>
    <m/>
    <x v="12"/>
    <m/>
    <m/>
    <m/>
    <x v="35"/>
  </r>
  <r>
    <n v="638"/>
    <m/>
    <m/>
    <m/>
    <m/>
    <m/>
    <m/>
    <m/>
    <x v="5"/>
    <m/>
    <x v="0"/>
    <m/>
    <m/>
    <m/>
    <x v="12"/>
    <m/>
    <m/>
    <m/>
    <x v="35"/>
  </r>
  <r>
    <n v="639"/>
    <m/>
    <m/>
    <m/>
    <m/>
    <m/>
    <m/>
    <m/>
    <x v="5"/>
    <m/>
    <x v="0"/>
    <m/>
    <m/>
    <m/>
    <x v="12"/>
    <m/>
    <m/>
    <m/>
    <x v="35"/>
  </r>
  <r>
    <n v="640"/>
    <m/>
    <m/>
    <m/>
    <m/>
    <m/>
    <m/>
    <m/>
    <x v="5"/>
    <m/>
    <x v="0"/>
    <m/>
    <m/>
    <m/>
    <x v="12"/>
    <m/>
    <m/>
    <m/>
    <x v="35"/>
  </r>
  <r>
    <n v="641"/>
    <m/>
    <m/>
    <m/>
    <m/>
    <m/>
    <m/>
    <m/>
    <x v="5"/>
    <m/>
    <x v="0"/>
    <m/>
    <m/>
    <m/>
    <x v="12"/>
    <m/>
    <m/>
    <m/>
    <x v="35"/>
  </r>
  <r>
    <n v="642"/>
    <m/>
    <m/>
    <m/>
    <m/>
    <m/>
    <m/>
    <m/>
    <x v="5"/>
    <m/>
    <x v="0"/>
    <m/>
    <m/>
    <m/>
    <x v="12"/>
    <m/>
    <m/>
    <m/>
    <x v="35"/>
  </r>
  <r>
    <n v="643"/>
    <m/>
    <m/>
    <m/>
    <m/>
    <m/>
    <m/>
    <m/>
    <x v="5"/>
    <m/>
    <x v="0"/>
    <m/>
    <m/>
    <m/>
    <x v="12"/>
    <m/>
    <m/>
    <m/>
    <x v="35"/>
  </r>
  <r>
    <n v="644"/>
    <m/>
    <m/>
    <m/>
    <m/>
    <m/>
    <m/>
    <m/>
    <x v="5"/>
    <m/>
    <x v="0"/>
    <m/>
    <m/>
    <m/>
    <x v="12"/>
    <m/>
    <m/>
    <m/>
    <x v="35"/>
  </r>
  <r>
    <n v="645"/>
    <m/>
    <m/>
    <m/>
    <m/>
    <m/>
    <m/>
    <m/>
    <x v="5"/>
    <m/>
    <x v="0"/>
    <m/>
    <m/>
    <m/>
    <x v="12"/>
    <m/>
    <m/>
    <m/>
    <x v="35"/>
  </r>
  <r>
    <n v="646"/>
    <m/>
    <m/>
    <m/>
    <m/>
    <m/>
    <m/>
    <m/>
    <x v="5"/>
    <m/>
    <x v="0"/>
    <m/>
    <m/>
    <m/>
    <x v="12"/>
    <m/>
    <m/>
    <m/>
    <x v="35"/>
  </r>
  <r>
    <n v="647"/>
    <m/>
    <m/>
    <m/>
    <m/>
    <m/>
    <m/>
    <m/>
    <x v="5"/>
    <m/>
    <x v="0"/>
    <m/>
    <m/>
    <m/>
    <x v="12"/>
    <m/>
    <m/>
    <m/>
    <x v="35"/>
  </r>
  <r>
    <n v="648"/>
    <m/>
    <m/>
    <m/>
    <m/>
    <m/>
    <m/>
    <m/>
    <x v="5"/>
    <m/>
    <x v="0"/>
    <m/>
    <m/>
    <m/>
    <x v="12"/>
    <m/>
    <m/>
    <m/>
    <x v="35"/>
  </r>
  <r>
    <n v="649"/>
    <m/>
    <m/>
    <m/>
    <m/>
    <m/>
    <m/>
    <m/>
    <x v="5"/>
    <m/>
    <x v="0"/>
    <m/>
    <m/>
    <m/>
    <x v="12"/>
    <m/>
    <m/>
    <m/>
    <x v="35"/>
  </r>
  <r>
    <n v="650"/>
    <m/>
    <m/>
    <m/>
    <m/>
    <m/>
    <m/>
    <m/>
    <x v="5"/>
    <m/>
    <x v="0"/>
    <m/>
    <m/>
    <m/>
    <x v="12"/>
    <m/>
    <m/>
    <m/>
    <x v="35"/>
  </r>
  <r>
    <n v="651"/>
    <m/>
    <m/>
    <m/>
    <m/>
    <m/>
    <m/>
    <m/>
    <x v="5"/>
    <m/>
    <x v="0"/>
    <m/>
    <m/>
    <m/>
    <x v="12"/>
    <m/>
    <m/>
    <m/>
    <x v="35"/>
  </r>
  <r>
    <n v="652"/>
    <m/>
    <m/>
    <m/>
    <m/>
    <m/>
    <m/>
    <m/>
    <x v="5"/>
    <m/>
    <x v="0"/>
    <m/>
    <m/>
    <m/>
    <x v="12"/>
    <m/>
    <m/>
    <m/>
    <x v="35"/>
  </r>
  <r>
    <n v="653"/>
    <m/>
    <m/>
    <m/>
    <m/>
    <m/>
    <m/>
    <m/>
    <x v="5"/>
    <m/>
    <x v="0"/>
    <m/>
    <m/>
    <m/>
    <x v="12"/>
    <m/>
    <m/>
    <m/>
    <x v="35"/>
  </r>
  <r>
    <n v="654"/>
    <m/>
    <m/>
    <m/>
    <m/>
    <m/>
    <m/>
    <m/>
    <x v="5"/>
    <m/>
    <x v="0"/>
    <m/>
    <m/>
    <m/>
    <x v="12"/>
    <m/>
    <m/>
    <m/>
    <x v="35"/>
  </r>
  <r>
    <m/>
    <m/>
    <m/>
    <m/>
    <m/>
    <m/>
    <m/>
    <m/>
    <x v="5"/>
    <m/>
    <x v="0"/>
    <m/>
    <m/>
    <m/>
    <x v="12"/>
    <m/>
    <m/>
    <m/>
    <x v="35"/>
  </r>
  <r>
    <m/>
    <m/>
    <m/>
    <m/>
    <m/>
    <m/>
    <m/>
    <m/>
    <x v="5"/>
    <m/>
    <x v="0"/>
    <m/>
    <m/>
    <m/>
    <x v="12"/>
    <m/>
    <m/>
    <m/>
    <x v="3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6">
  <r>
    <x v="0"/>
  </r>
  <r>
    <x v="0"/>
  </r>
  <r>
    <x v="1"/>
  </r>
  <r>
    <x v="2"/>
  </r>
  <r>
    <x v="0"/>
  </r>
  <r>
    <x v="1"/>
  </r>
  <r>
    <x v="1"/>
  </r>
  <r>
    <x v="3"/>
  </r>
  <r>
    <x v="4"/>
  </r>
  <r>
    <x v="2"/>
  </r>
  <r>
    <x v="4"/>
  </r>
  <r>
    <x v="5"/>
  </r>
  <r>
    <x v="4"/>
  </r>
  <r>
    <x v="6"/>
  </r>
  <r>
    <x v="2"/>
  </r>
  <r>
    <x v="3"/>
  </r>
  <r>
    <x v="7"/>
  </r>
  <r>
    <x v="8"/>
  </r>
  <r>
    <x v="8"/>
  </r>
  <r>
    <x v="4"/>
  </r>
  <r>
    <x v="0"/>
  </r>
  <r>
    <x v="9"/>
  </r>
  <r>
    <x v="10"/>
  </r>
  <r>
    <x v="11"/>
  </r>
  <r>
    <x v="9"/>
  </r>
  <r>
    <x v="1"/>
  </r>
  <r>
    <x v="7"/>
  </r>
  <r>
    <x v="2"/>
  </r>
  <r>
    <x v="8"/>
  </r>
  <r>
    <x v="0"/>
  </r>
  <r>
    <x v="10"/>
  </r>
  <r>
    <x v="0"/>
  </r>
  <r>
    <x v="0"/>
  </r>
  <r>
    <x v="3"/>
  </r>
  <r>
    <x v="5"/>
  </r>
  <r>
    <x v="2"/>
  </r>
  <r>
    <x v="7"/>
  </r>
  <r>
    <x v="3"/>
  </r>
  <r>
    <x v="3"/>
  </r>
  <r>
    <x v="8"/>
  </r>
  <r>
    <x v="8"/>
  </r>
  <r>
    <x v="8"/>
  </r>
  <r>
    <x v="4"/>
  </r>
  <r>
    <x v="10"/>
  </r>
  <r>
    <x v="1"/>
  </r>
  <r>
    <x v="12"/>
  </r>
  <r>
    <x v="4"/>
  </r>
  <r>
    <x v="10"/>
  </r>
  <r>
    <x v="4"/>
  </r>
  <r>
    <x v="3"/>
  </r>
  <r>
    <x v="4"/>
  </r>
  <r>
    <x v="4"/>
  </r>
  <r>
    <x v="8"/>
  </r>
  <r>
    <x v="9"/>
  </r>
  <r>
    <x v="3"/>
  </r>
  <r>
    <x v="9"/>
  </r>
  <r>
    <x v="8"/>
  </r>
  <r>
    <x v="0"/>
  </r>
  <r>
    <x v="1"/>
  </r>
  <r>
    <x v="4"/>
  </r>
  <r>
    <x v="10"/>
  </r>
  <r>
    <x v="8"/>
  </r>
  <r>
    <x v="8"/>
  </r>
  <r>
    <x v="0"/>
  </r>
  <r>
    <x v="3"/>
  </r>
  <r>
    <x v="3"/>
  </r>
  <r>
    <x v="3"/>
  </r>
  <r>
    <x v="9"/>
  </r>
  <r>
    <x v="10"/>
  </r>
  <r>
    <x v="2"/>
  </r>
  <r>
    <x v="12"/>
  </r>
  <r>
    <x v="10"/>
  </r>
  <r>
    <x v="12"/>
  </r>
  <r>
    <x v="2"/>
  </r>
  <r>
    <x v="0"/>
  </r>
  <r>
    <x v="3"/>
  </r>
  <r>
    <x v="8"/>
  </r>
  <r>
    <x v="9"/>
  </r>
  <r>
    <x v="1"/>
  </r>
  <r>
    <x v="8"/>
  </r>
  <r>
    <x v="4"/>
  </r>
  <r>
    <x v="1"/>
  </r>
  <r>
    <x v="0"/>
  </r>
  <r>
    <x v="5"/>
  </r>
  <r>
    <x v="10"/>
  </r>
  <r>
    <x v="10"/>
  </r>
  <r>
    <x v="10"/>
  </r>
  <r>
    <x v="0"/>
  </r>
  <r>
    <x v="9"/>
  </r>
  <r>
    <x v="9"/>
  </r>
  <r>
    <x v="12"/>
  </r>
  <r>
    <x v="0"/>
  </r>
  <r>
    <x v="0"/>
  </r>
  <r>
    <x v="13"/>
  </r>
  <r>
    <x v="9"/>
  </r>
  <r>
    <x v="1"/>
  </r>
  <r>
    <x v="8"/>
  </r>
  <r>
    <x v="3"/>
  </r>
  <r>
    <x v="10"/>
  </r>
  <r>
    <x v="8"/>
  </r>
  <r>
    <x v="0"/>
  </r>
  <r>
    <x v="12"/>
  </r>
  <r>
    <x v="9"/>
  </r>
  <r>
    <x v="8"/>
  </r>
  <r>
    <x v="1"/>
  </r>
  <r>
    <x v="4"/>
  </r>
  <r>
    <x v="1"/>
  </r>
  <r>
    <x v="0"/>
  </r>
  <r>
    <x v="9"/>
  </r>
  <r>
    <x v="3"/>
  </r>
  <r>
    <x v="7"/>
  </r>
  <r>
    <x v="9"/>
  </r>
  <r>
    <x v="7"/>
  </r>
  <r>
    <x v="0"/>
  </r>
  <r>
    <x v="9"/>
  </r>
  <r>
    <x v="2"/>
  </r>
  <r>
    <x v="8"/>
  </r>
  <r>
    <x v="4"/>
  </r>
  <r>
    <x v="10"/>
  </r>
  <r>
    <x v="0"/>
  </r>
  <r>
    <x v="0"/>
  </r>
  <r>
    <x v="0"/>
  </r>
  <r>
    <x v="9"/>
  </r>
  <r>
    <x v="3"/>
  </r>
  <r>
    <x v="3"/>
  </r>
  <r>
    <x v="8"/>
  </r>
  <r>
    <x v="10"/>
  </r>
  <r>
    <x v="3"/>
  </r>
  <r>
    <x v="9"/>
  </r>
  <r>
    <x v="4"/>
  </r>
  <r>
    <x v="0"/>
  </r>
  <r>
    <x v="4"/>
  </r>
  <r>
    <x v="8"/>
  </r>
  <r>
    <x v="9"/>
  </r>
  <r>
    <x v="0"/>
  </r>
  <r>
    <x v="3"/>
  </r>
  <r>
    <x v="1"/>
  </r>
  <r>
    <x v="4"/>
  </r>
  <r>
    <x v="8"/>
  </r>
  <r>
    <x v="0"/>
  </r>
  <r>
    <x v="4"/>
  </r>
  <r>
    <x v="5"/>
  </r>
  <r>
    <x v="11"/>
  </r>
  <r>
    <x v="14"/>
  </r>
  <r>
    <x v="8"/>
  </r>
  <r>
    <x v="4"/>
  </r>
  <r>
    <x v="9"/>
  </r>
  <r>
    <x v="3"/>
  </r>
  <r>
    <x v="2"/>
  </r>
  <r>
    <x v="8"/>
  </r>
  <r>
    <x v="4"/>
  </r>
  <r>
    <x v="9"/>
  </r>
  <r>
    <x v="2"/>
  </r>
  <r>
    <x v="2"/>
  </r>
  <r>
    <x v="2"/>
  </r>
  <r>
    <x v="1"/>
  </r>
  <r>
    <x v="3"/>
  </r>
  <r>
    <x v="0"/>
  </r>
  <r>
    <x v="9"/>
  </r>
  <r>
    <x v="0"/>
  </r>
  <r>
    <x v="9"/>
  </r>
  <r>
    <x v="1"/>
  </r>
  <r>
    <x v="9"/>
  </r>
  <r>
    <x v="3"/>
  </r>
  <r>
    <x v="13"/>
  </r>
  <r>
    <x v="0"/>
  </r>
  <r>
    <x v="8"/>
  </r>
  <r>
    <x v="0"/>
  </r>
  <r>
    <x v="1"/>
  </r>
  <r>
    <x v="2"/>
  </r>
  <r>
    <x v="10"/>
  </r>
  <r>
    <x v="10"/>
  </r>
  <r>
    <x v="8"/>
  </r>
  <r>
    <x v="2"/>
  </r>
  <r>
    <x v="4"/>
  </r>
  <r>
    <x v="3"/>
  </r>
  <r>
    <x v="8"/>
  </r>
  <r>
    <x v="1"/>
  </r>
  <r>
    <x v="9"/>
  </r>
  <r>
    <x v="14"/>
  </r>
  <r>
    <x v="8"/>
  </r>
  <r>
    <x v="8"/>
  </r>
  <r>
    <x v="9"/>
  </r>
  <r>
    <x v="8"/>
  </r>
  <r>
    <x v="13"/>
  </r>
  <r>
    <x v="15"/>
  </r>
  <r>
    <x v="3"/>
  </r>
  <r>
    <x v="3"/>
  </r>
  <r>
    <x v="0"/>
  </r>
  <r>
    <x v="8"/>
  </r>
  <r>
    <x v="3"/>
  </r>
  <r>
    <x v="3"/>
  </r>
  <r>
    <x v="1"/>
  </r>
  <r>
    <x v="3"/>
  </r>
  <r>
    <x v="0"/>
  </r>
  <r>
    <x v="0"/>
  </r>
  <r>
    <x v="9"/>
  </r>
  <r>
    <x v="1"/>
  </r>
  <r>
    <x v="0"/>
  </r>
  <r>
    <x v="3"/>
  </r>
  <r>
    <x v="9"/>
  </r>
  <r>
    <x v="4"/>
  </r>
  <r>
    <x v="0"/>
  </r>
  <r>
    <x v="10"/>
  </r>
  <r>
    <x v="0"/>
  </r>
  <r>
    <x v="0"/>
  </r>
  <r>
    <x v="6"/>
  </r>
  <r>
    <x v="12"/>
  </r>
  <r>
    <x v="9"/>
  </r>
  <r>
    <x v="4"/>
  </r>
  <r>
    <x v="12"/>
  </r>
  <r>
    <x v="0"/>
  </r>
  <r>
    <x v="1"/>
  </r>
  <r>
    <x v="4"/>
  </r>
  <r>
    <x v="2"/>
  </r>
  <r>
    <x v="10"/>
  </r>
  <r>
    <x v="0"/>
  </r>
  <r>
    <x v="9"/>
  </r>
  <r>
    <x v="9"/>
  </r>
  <r>
    <x v="9"/>
  </r>
  <r>
    <x v="12"/>
  </r>
  <r>
    <x v="0"/>
  </r>
  <r>
    <x v="3"/>
  </r>
  <r>
    <x v="12"/>
  </r>
  <r>
    <x v="1"/>
  </r>
  <r>
    <x v="6"/>
  </r>
  <r>
    <x v="0"/>
  </r>
  <r>
    <x v="0"/>
  </r>
  <r>
    <x v="9"/>
  </r>
  <r>
    <x v="4"/>
  </r>
  <r>
    <x v="5"/>
  </r>
  <r>
    <x v="0"/>
  </r>
  <r>
    <x v="1"/>
  </r>
  <r>
    <x v="1"/>
  </r>
  <r>
    <x v="1"/>
  </r>
  <r>
    <x v="9"/>
  </r>
  <r>
    <x v="9"/>
  </r>
  <r>
    <x v="8"/>
  </r>
  <r>
    <x v="3"/>
  </r>
  <r>
    <x v="5"/>
  </r>
  <r>
    <x v="3"/>
  </r>
  <r>
    <x v="9"/>
  </r>
  <r>
    <x v="12"/>
  </r>
  <r>
    <x v="1"/>
  </r>
  <r>
    <x v="1"/>
  </r>
  <r>
    <x v="10"/>
  </r>
  <r>
    <x v="10"/>
  </r>
  <r>
    <x v="12"/>
  </r>
  <r>
    <x v="1"/>
  </r>
  <r>
    <x v="9"/>
  </r>
  <r>
    <x v="1"/>
  </r>
  <r>
    <x v="8"/>
  </r>
  <r>
    <x v="0"/>
  </r>
  <r>
    <x v="1"/>
  </r>
  <r>
    <x v="0"/>
  </r>
  <r>
    <x v="0"/>
  </r>
  <r>
    <x v="8"/>
  </r>
  <r>
    <x v="1"/>
  </r>
  <r>
    <x v="4"/>
  </r>
  <r>
    <x v="8"/>
  </r>
  <r>
    <x v="1"/>
  </r>
  <r>
    <x v="12"/>
  </r>
  <r>
    <x v="8"/>
  </r>
  <r>
    <x v="12"/>
  </r>
  <r>
    <x v="10"/>
  </r>
  <r>
    <x v="8"/>
  </r>
  <r>
    <x v="4"/>
  </r>
  <r>
    <x v="0"/>
  </r>
  <r>
    <x v="8"/>
  </r>
  <r>
    <x v="1"/>
  </r>
  <r>
    <x v="1"/>
  </r>
  <r>
    <x v="0"/>
  </r>
  <r>
    <x v="8"/>
  </r>
  <r>
    <x v="0"/>
  </r>
  <r>
    <x v="3"/>
  </r>
  <r>
    <x v="4"/>
  </r>
  <r>
    <x v="9"/>
  </r>
  <r>
    <x v="0"/>
  </r>
  <r>
    <x v="1"/>
  </r>
  <r>
    <x v="9"/>
  </r>
  <r>
    <x v="6"/>
  </r>
  <r>
    <x v="4"/>
  </r>
  <r>
    <x v="9"/>
  </r>
  <r>
    <x v="8"/>
  </r>
  <r>
    <x v="4"/>
  </r>
  <r>
    <x v="0"/>
  </r>
  <r>
    <x v="3"/>
  </r>
  <r>
    <x v="8"/>
  </r>
  <r>
    <x v="8"/>
  </r>
  <r>
    <x v="9"/>
  </r>
  <r>
    <x v="8"/>
  </r>
  <r>
    <x v="8"/>
  </r>
  <r>
    <x v="9"/>
  </r>
  <r>
    <x v="14"/>
  </r>
  <r>
    <x v="9"/>
  </r>
  <r>
    <x v="9"/>
  </r>
  <r>
    <x v="9"/>
  </r>
  <r>
    <x v="8"/>
  </r>
  <r>
    <x v="8"/>
  </r>
  <r>
    <x v="10"/>
  </r>
  <r>
    <x v="0"/>
  </r>
  <r>
    <x v="9"/>
  </r>
  <r>
    <x v="8"/>
  </r>
  <r>
    <x v="7"/>
  </r>
  <r>
    <x v="10"/>
  </r>
  <r>
    <x v="3"/>
  </r>
  <r>
    <x v="7"/>
  </r>
  <r>
    <x v="10"/>
  </r>
  <r>
    <x v="3"/>
  </r>
  <r>
    <x v="4"/>
  </r>
  <r>
    <x v="1"/>
  </r>
  <r>
    <x v="8"/>
  </r>
  <r>
    <x v="12"/>
  </r>
  <r>
    <x v="0"/>
  </r>
  <r>
    <x v="8"/>
  </r>
  <r>
    <x v="4"/>
  </r>
  <r>
    <x v="8"/>
  </r>
  <r>
    <x v="4"/>
  </r>
  <r>
    <x v="9"/>
  </r>
  <r>
    <x v="1"/>
  </r>
  <r>
    <x v="5"/>
  </r>
  <r>
    <x v="8"/>
  </r>
  <r>
    <x v="9"/>
  </r>
  <r>
    <x v="3"/>
  </r>
  <r>
    <x v="9"/>
  </r>
  <r>
    <x v="4"/>
  </r>
  <r>
    <x v="1"/>
  </r>
  <r>
    <x v="8"/>
  </r>
  <r>
    <x v="1"/>
  </r>
  <r>
    <x v="0"/>
  </r>
  <r>
    <x v="16"/>
  </r>
  <r>
    <x v="0"/>
  </r>
  <r>
    <x v="0"/>
  </r>
  <r>
    <x v="9"/>
  </r>
  <r>
    <x v="8"/>
  </r>
  <r>
    <x v="8"/>
  </r>
  <r>
    <x v="14"/>
  </r>
  <r>
    <x v="0"/>
  </r>
  <r>
    <x v="13"/>
  </r>
  <r>
    <x v="10"/>
  </r>
  <r>
    <x v="0"/>
  </r>
  <r>
    <x v="0"/>
  </r>
  <r>
    <x v="8"/>
  </r>
  <r>
    <x v="0"/>
  </r>
  <r>
    <x v="9"/>
  </r>
  <r>
    <x v="1"/>
  </r>
  <r>
    <x v="0"/>
  </r>
  <r>
    <x v="0"/>
  </r>
  <r>
    <x v="5"/>
  </r>
  <r>
    <x v="0"/>
  </r>
  <r>
    <x v="10"/>
  </r>
  <r>
    <x v="9"/>
  </r>
  <r>
    <x v="3"/>
  </r>
  <r>
    <x v="9"/>
  </r>
  <r>
    <x v="4"/>
  </r>
  <r>
    <x v="4"/>
  </r>
  <r>
    <x v="0"/>
  </r>
  <r>
    <x v="14"/>
  </r>
  <r>
    <x v="0"/>
  </r>
  <r>
    <x v="14"/>
  </r>
  <r>
    <x v="1"/>
  </r>
  <r>
    <x v="1"/>
  </r>
  <r>
    <x v="3"/>
  </r>
  <r>
    <x v="9"/>
  </r>
  <r>
    <x v="0"/>
  </r>
  <r>
    <x v="0"/>
  </r>
  <r>
    <x v="0"/>
  </r>
  <r>
    <x v="0"/>
  </r>
  <r>
    <x v="3"/>
  </r>
  <r>
    <x v="3"/>
  </r>
  <r>
    <x v="3"/>
  </r>
  <r>
    <x v="9"/>
  </r>
  <r>
    <x v="11"/>
  </r>
  <r>
    <x v="12"/>
  </r>
  <r>
    <x v="3"/>
  </r>
  <r>
    <x v="10"/>
  </r>
  <r>
    <x v="0"/>
  </r>
  <r>
    <x v="7"/>
  </r>
  <r>
    <x v="9"/>
  </r>
  <r>
    <x v="1"/>
  </r>
  <r>
    <x v="13"/>
  </r>
  <r>
    <x v="7"/>
  </r>
  <r>
    <x v="5"/>
  </r>
  <r>
    <x v="3"/>
  </r>
  <r>
    <x v="0"/>
  </r>
  <r>
    <x v="12"/>
  </r>
  <r>
    <x v="9"/>
  </r>
  <r>
    <x v="4"/>
  </r>
  <r>
    <x v="10"/>
  </r>
  <r>
    <x v="10"/>
  </r>
  <r>
    <x v="4"/>
  </r>
  <r>
    <x v="1"/>
  </r>
  <r>
    <x v="1"/>
  </r>
  <r>
    <x v="6"/>
  </r>
  <r>
    <x v="6"/>
  </r>
  <r>
    <x v="0"/>
  </r>
  <r>
    <x v="0"/>
  </r>
  <r>
    <x v="9"/>
  </r>
  <r>
    <x v="10"/>
  </r>
  <r>
    <x v="0"/>
  </r>
  <r>
    <x v="1"/>
  </r>
  <r>
    <x v="0"/>
  </r>
  <r>
    <x v="4"/>
  </r>
  <r>
    <x v="9"/>
  </r>
  <r>
    <x v="4"/>
  </r>
  <r>
    <x v="10"/>
  </r>
  <r>
    <x v="9"/>
  </r>
  <r>
    <x v="11"/>
  </r>
  <r>
    <x v="1"/>
  </r>
  <r>
    <x v="8"/>
  </r>
  <r>
    <x v="14"/>
  </r>
  <r>
    <x v="1"/>
  </r>
  <r>
    <x v="0"/>
  </r>
  <r>
    <x v="3"/>
  </r>
  <r>
    <x v="9"/>
  </r>
  <r>
    <x v="9"/>
  </r>
  <r>
    <x v="3"/>
  </r>
  <r>
    <x v="4"/>
  </r>
  <r>
    <x v="0"/>
  </r>
  <r>
    <x v="8"/>
  </r>
  <r>
    <x v="8"/>
  </r>
  <r>
    <x v="1"/>
  </r>
  <r>
    <x v="8"/>
  </r>
  <r>
    <x v="3"/>
  </r>
  <r>
    <x v="12"/>
  </r>
  <r>
    <x v="4"/>
  </r>
  <r>
    <x v="8"/>
  </r>
  <r>
    <x v="4"/>
  </r>
  <r>
    <x v="0"/>
  </r>
  <r>
    <x v="0"/>
  </r>
  <r>
    <x v="8"/>
  </r>
  <r>
    <x v="3"/>
  </r>
  <r>
    <x v="9"/>
  </r>
  <r>
    <x v="14"/>
  </r>
  <r>
    <x v="9"/>
  </r>
  <r>
    <x v="0"/>
  </r>
  <r>
    <x v="8"/>
  </r>
  <r>
    <x v="1"/>
  </r>
  <r>
    <x v="3"/>
  </r>
  <r>
    <x v="8"/>
  </r>
  <r>
    <x v="1"/>
  </r>
  <r>
    <x v="9"/>
  </r>
  <r>
    <x v="0"/>
  </r>
  <r>
    <x v="1"/>
  </r>
  <r>
    <x v="4"/>
  </r>
  <r>
    <x v="0"/>
  </r>
  <r>
    <x v="0"/>
  </r>
  <r>
    <x v="10"/>
  </r>
  <r>
    <x v="0"/>
  </r>
  <r>
    <x v="1"/>
  </r>
  <r>
    <x v="4"/>
  </r>
  <r>
    <x v="4"/>
  </r>
  <r>
    <x v="8"/>
  </r>
  <r>
    <x v="4"/>
  </r>
  <r>
    <x v="4"/>
  </r>
  <r>
    <x v="14"/>
  </r>
  <r>
    <x v="4"/>
  </r>
  <r>
    <x v="4"/>
  </r>
  <r>
    <x v="1"/>
  </r>
  <r>
    <x v="3"/>
  </r>
  <r>
    <x v="4"/>
  </r>
  <r>
    <x v="4"/>
  </r>
  <r>
    <x v="3"/>
  </r>
  <r>
    <x v="6"/>
  </r>
  <r>
    <x v="0"/>
  </r>
  <r>
    <x v="4"/>
  </r>
  <r>
    <x v="10"/>
  </r>
  <r>
    <x v="4"/>
  </r>
  <r>
    <x v="3"/>
  </r>
  <r>
    <x v="11"/>
  </r>
  <r>
    <x v="4"/>
  </r>
  <r>
    <x v="9"/>
  </r>
  <r>
    <x v="0"/>
  </r>
  <r>
    <x v="4"/>
  </r>
  <r>
    <x v="5"/>
  </r>
  <r>
    <x v="0"/>
  </r>
  <r>
    <x v="1"/>
  </r>
  <r>
    <x v="3"/>
  </r>
  <r>
    <x v="12"/>
  </r>
  <r>
    <x v="0"/>
  </r>
  <r>
    <x v="4"/>
  </r>
  <r>
    <x v="7"/>
  </r>
  <r>
    <x v="0"/>
  </r>
  <r>
    <x v="2"/>
  </r>
  <r>
    <x v="8"/>
  </r>
  <r>
    <x v="8"/>
  </r>
  <r>
    <x v="9"/>
  </r>
  <r>
    <x v="14"/>
  </r>
  <r>
    <x v="9"/>
  </r>
  <r>
    <x v="10"/>
  </r>
  <r>
    <x v="9"/>
  </r>
  <r>
    <x v="9"/>
  </r>
  <r>
    <x v="1"/>
  </r>
  <r>
    <x v="10"/>
  </r>
  <r>
    <x v="8"/>
  </r>
  <r>
    <x v="11"/>
  </r>
  <r>
    <x v="12"/>
  </r>
  <r>
    <x v="0"/>
  </r>
  <r>
    <x v="1"/>
  </r>
  <r>
    <x v="0"/>
  </r>
  <r>
    <x v="8"/>
  </r>
  <r>
    <x v="10"/>
  </r>
  <r>
    <x v="3"/>
  </r>
  <r>
    <x v="9"/>
  </r>
  <r>
    <x v="0"/>
  </r>
  <r>
    <x v="4"/>
  </r>
  <r>
    <x v="1"/>
  </r>
  <r>
    <x v="4"/>
  </r>
  <r>
    <x v="3"/>
  </r>
  <r>
    <x v="3"/>
  </r>
  <r>
    <x v="4"/>
  </r>
  <r>
    <x v="4"/>
  </r>
  <r>
    <x v="2"/>
  </r>
  <r>
    <x v="0"/>
  </r>
  <r>
    <x v="4"/>
  </r>
  <r>
    <x v="14"/>
  </r>
  <r>
    <x v="0"/>
  </r>
  <r>
    <x v="0"/>
  </r>
  <r>
    <x v="10"/>
  </r>
  <r>
    <x v="4"/>
  </r>
  <r>
    <x v="0"/>
  </r>
  <r>
    <x v="10"/>
  </r>
  <r>
    <x v="0"/>
  </r>
  <r>
    <x v="9"/>
  </r>
  <r>
    <x v="8"/>
  </r>
  <r>
    <x v="5"/>
  </r>
  <r>
    <x v="9"/>
  </r>
  <r>
    <x v="4"/>
  </r>
  <r>
    <x v="1"/>
  </r>
  <r>
    <x v="3"/>
  </r>
  <r>
    <x v="4"/>
  </r>
  <r>
    <x v="3"/>
  </r>
  <r>
    <x v="3"/>
  </r>
  <r>
    <x v="9"/>
  </r>
  <r>
    <x v="4"/>
  </r>
  <r>
    <x v="3"/>
  </r>
  <r>
    <x v="4"/>
  </r>
  <r>
    <x v="1"/>
  </r>
  <r>
    <x v="1"/>
  </r>
  <r>
    <x v="0"/>
  </r>
  <r>
    <x v="3"/>
  </r>
  <r>
    <x v="3"/>
  </r>
  <r>
    <x v="1"/>
  </r>
  <r>
    <x v="9"/>
  </r>
  <r>
    <x v="13"/>
  </r>
  <r>
    <x v="5"/>
  </r>
  <r>
    <x v="4"/>
  </r>
  <r>
    <x v="17"/>
  </r>
  <r>
    <x v="17"/>
  </r>
  <r>
    <x v="17"/>
  </r>
  <r>
    <x v="17"/>
  </r>
  <r>
    <x v="18"/>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DCE442-E984-435C-855B-6A8AED67F209}" name="PivotTable1" cacheId="24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23" firstHeaderRow="1" firstDataRow="1" firstDataCol="1"/>
  <pivotFields count="1">
    <pivotField axis="axisRow" dataField="1" compact="0" outline="0" showAll="0" sortType="descending">
      <items count="53">
        <item m="1" x="19"/>
        <item m="1" x="51"/>
        <item m="1" x="21"/>
        <item m="1" x="27"/>
        <item m="1" x="46"/>
        <item m="1" x="35"/>
        <item m="1" x="38"/>
        <item m="1" x="33"/>
        <item m="1" x="24"/>
        <item m="1" x="20"/>
        <item x="14"/>
        <item m="1" x="39"/>
        <item m="1" x="36"/>
        <item m="1" x="30"/>
        <item m="1" x="49"/>
        <item m="1" x="42"/>
        <item m="1" x="44"/>
        <item m="1" x="45"/>
        <item m="1" x="37"/>
        <item m="1" x="47"/>
        <item m="1" x="26"/>
        <item m="1" x="40"/>
        <item m="1" x="50"/>
        <item x="9"/>
        <item m="1" x="28"/>
        <item m="1" x="31"/>
        <item m="1" x="43"/>
        <item m="1" x="23"/>
        <item x="2"/>
        <item m="1" x="32"/>
        <item m="1" x="25"/>
        <item m="1" x="48"/>
        <item m="1" x="29"/>
        <item m="1" x="22"/>
        <item m="1" x="34"/>
        <item m="1" x="41"/>
        <item x="17"/>
        <item x="0"/>
        <item x="1"/>
        <item x="3"/>
        <item x="4"/>
        <item x="5"/>
        <item x="6"/>
        <item x="7"/>
        <item x="8"/>
        <item x="10"/>
        <item x="11"/>
        <item x="12"/>
        <item x="13"/>
        <item x="15"/>
        <item x="16"/>
        <item x="18"/>
        <item t="default"/>
      </items>
      <autoSortScope>
        <pivotArea dataOnly="0" outline="0" fieldPosition="0">
          <references count="1">
            <reference field="4294967294" count="1" selected="0">
              <x v="0"/>
            </reference>
          </references>
        </pivotArea>
      </autoSortScope>
    </pivotField>
  </pivotFields>
  <rowFields count="1">
    <field x="0"/>
  </rowFields>
  <rowItems count="20">
    <i>
      <x v="37"/>
    </i>
    <i>
      <x v="23"/>
    </i>
    <i>
      <x v="40"/>
    </i>
    <i>
      <x v="44"/>
    </i>
    <i>
      <x v="38"/>
    </i>
    <i>
      <x v="39"/>
    </i>
    <i>
      <x v="45"/>
    </i>
    <i>
      <x v="47"/>
    </i>
    <i>
      <x v="28"/>
    </i>
    <i>
      <x v="41"/>
    </i>
    <i>
      <x v="10"/>
    </i>
    <i>
      <x v="43"/>
    </i>
    <i>
      <x v="42"/>
    </i>
    <i>
      <x v="46"/>
    </i>
    <i>
      <x v="48"/>
    </i>
    <i>
      <x v="50"/>
    </i>
    <i>
      <x v="51"/>
    </i>
    <i>
      <x v="49"/>
    </i>
    <i>
      <x v="36"/>
    </i>
    <i t="grand">
      <x/>
    </i>
  </rowItems>
  <colItems count="1">
    <i/>
  </colItems>
  <dataFields count="1">
    <dataField name="Count of Tren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89962E-0BAD-4399-BE8A-D638138784ED}" name="PivotTable3" cacheId="24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E26" firstHeaderRow="1" firstDataRow="4" firstDataCol="1" rowPageCount="1" colPageCount="1"/>
  <pivotFields count="21">
    <pivotField showAll="0"/>
    <pivotField showAll="0"/>
    <pivotField showAll="0"/>
    <pivotField showAll="0"/>
    <pivotField showAll="0"/>
    <pivotField showAll="0"/>
    <pivotField showAll="0"/>
    <pivotField showAll="0"/>
    <pivotField axis="axisPage" multipleItemSelectionAllowed="1" showAll="0">
      <items count="8">
        <item x="6"/>
        <item x="4"/>
        <item x="2"/>
        <item x="0"/>
        <item x="1"/>
        <item x="3"/>
        <item x="5"/>
        <item t="default"/>
      </items>
    </pivotField>
    <pivotField showAll="0"/>
    <pivotField showAll="0"/>
    <pivotField showAll="0"/>
    <pivotField showAll="0"/>
    <pivotField showAll="0"/>
    <pivotField axis="axisRow" dataField="1" multipleItemSelectionAllowed="1" showAll="0">
      <items count="21">
        <item x="9"/>
        <item x="15"/>
        <item x="8"/>
        <item x="0"/>
        <item x="4"/>
        <item x="2"/>
        <item x="7"/>
        <item x="1"/>
        <item x="10"/>
        <item x="11"/>
        <item x="17"/>
        <item x="6"/>
        <item x="5"/>
        <item x="3"/>
        <item x="12"/>
        <item x="13"/>
        <item x="14"/>
        <item m="1" x="19"/>
        <item x="16"/>
        <item x="18"/>
        <item t="default"/>
      </items>
    </pivotField>
    <pivotField showAll="0"/>
    <pivotField showAll="0"/>
    <pivotField showAll="0"/>
    <pivotField axis="axisCol" showAll="0">
      <items count="37">
        <item x="0"/>
        <item x="1"/>
        <item x="2"/>
        <item x="3"/>
        <item x="4"/>
        <item x="5"/>
        <item x="6"/>
        <item x="7"/>
        <item x="8"/>
        <item x="9"/>
        <item x="10"/>
        <item x="11"/>
        <item x="35"/>
        <item x="12"/>
        <item x="13"/>
        <item x="14"/>
        <item x="15"/>
        <item x="16"/>
        <item x="17"/>
        <item x="18"/>
        <item x="19"/>
        <item x="20"/>
        <item x="21"/>
        <item x="22"/>
        <item x="23"/>
        <item x="24"/>
        <item x="25"/>
        <item x="26"/>
        <item x="27"/>
        <item x="28"/>
        <item x="29"/>
        <item x="30"/>
        <item x="31"/>
        <item x="32"/>
        <item x="33"/>
        <item x="34"/>
        <item t="default"/>
      </items>
    </pivotField>
    <pivotField axis="axisCol" showAll="0" defaultSubtotal="0">
      <items count="368">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s>
    </pivotField>
    <pivotField axis="axisCol" showAll="0" defaultSubtotal="0">
      <items count="14">
        <item sd="0" x="0"/>
        <item sd="0" x="1"/>
        <item sd="0" x="2"/>
        <item sd="0" x="3"/>
        <item sd="0" x="4"/>
        <item sd="0" x="5"/>
        <item sd="0" x="6"/>
        <item sd="0" x="7"/>
        <item sd="0" x="8"/>
        <item sd="0" x="9"/>
        <item sd="0" x="10"/>
        <item sd="0" x="11"/>
        <item sd="0" x="12"/>
        <item sd="0" x="13"/>
      </items>
    </pivotField>
  </pivotFields>
  <rowFields count="1">
    <field x="14"/>
  </rowFields>
  <rowItems count="20">
    <i>
      <x/>
    </i>
    <i>
      <x v="1"/>
    </i>
    <i>
      <x v="2"/>
    </i>
    <i>
      <x v="3"/>
    </i>
    <i>
      <x v="4"/>
    </i>
    <i>
      <x v="5"/>
    </i>
    <i>
      <x v="6"/>
    </i>
    <i>
      <x v="7"/>
    </i>
    <i>
      <x v="8"/>
    </i>
    <i>
      <x v="9"/>
    </i>
    <i>
      <x v="10"/>
    </i>
    <i>
      <x v="11"/>
    </i>
    <i>
      <x v="12"/>
    </i>
    <i>
      <x v="13"/>
    </i>
    <i>
      <x v="14"/>
    </i>
    <i>
      <x v="15"/>
    </i>
    <i>
      <x v="16"/>
    </i>
    <i>
      <x v="18"/>
    </i>
    <i>
      <x v="19"/>
    </i>
    <i t="grand">
      <x/>
    </i>
  </rowItems>
  <colFields count="3">
    <field x="20"/>
    <field x="19"/>
    <field x="18"/>
  </colFields>
  <colItems count="4">
    <i>
      <x/>
    </i>
    <i>
      <x v="5"/>
    </i>
    <i>
      <x v="6"/>
    </i>
    <i t="grand">
      <x/>
    </i>
  </colItems>
  <pageFields count="1">
    <pageField fld="8" hier="-1"/>
  </pageFields>
  <dataFields count="1">
    <dataField name="Count of Contractor name" fld="14"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A08CB2-D72C-4792-BEC0-8C051E369EFD}" name="PivotTable3" cacheId="2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rowPageCount="1" colPageCount="1"/>
  <pivotFields count="21">
    <pivotField showAll="0"/>
    <pivotField showAll="0"/>
    <pivotField dataField="1"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axis="axisPage" showAll="0">
      <items count="21">
        <item h="1" x="9"/>
        <item x="15"/>
        <item h="1" x="8"/>
        <item x="0"/>
        <item h="1" x="4"/>
        <item h="1" x="2"/>
        <item h="1" x="7"/>
        <item h="1" x="1"/>
        <item h="1" x="10"/>
        <item h="1" x="11"/>
        <item x="17"/>
        <item h="1" x="6"/>
        <item h="1" x="5"/>
        <item h="1" x="3"/>
        <item h="1" x="12"/>
        <item h="1" x="13"/>
        <item h="1" x="14"/>
        <item h="1" m="1" x="19"/>
        <item h="1" x="16"/>
        <item h="1" x="18"/>
        <item t="default"/>
      </items>
    </pivotField>
    <pivotField showAll="0"/>
    <pivotField showAll="0"/>
    <pivotField showAll="0"/>
    <pivotField showAll="0">
      <items count="37">
        <item x="0"/>
        <item x="1"/>
        <item x="2"/>
        <item x="3"/>
        <item x="4"/>
        <item x="5"/>
        <item x="6"/>
        <item x="7"/>
        <item x="8"/>
        <item x="9"/>
        <item x="10"/>
        <item x="11"/>
        <item x="35"/>
        <item x="12"/>
        <item x="13"/>
        <item x="14"/>
        <item x="15"/>
        <item x="16"/>
        <item x="17"/>
        <item x="18"/>
        <item x="19"/>
        <item x="20"/>
        <item x="21"/>
        <item x="22"/>
        <item x="23"/>
        <item x="24"/>
        <item x="25"/>
        <item x="26"/>
        <item x="27"/>
        <item x="28"/>
        <item x="29"/>
        <item x="30"/>
        <item x="31"/>
        <item x="32"/>
        <item x="33"/>
        <item x="34"/>
        <item t="default"/>
      </items>
    </pivotField>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x="0"/>
        <item sd="0" x="1"/>
        <item sd="0" x="2"/>
        <item sd="0" x="3"/>
        <item sd="0" x="4"/>
        <item x="5"/>
        <item x="6"/>
        <item sd="0" x="7"/>
        <item sd="0" x="8"/>
        <item sd="0" x="9"/>
        <item sd="0" x="10"/>
        <item sd="0" x="11"/>
        <item sd="0" x="12"/>
        <item sd="0" x="13"/>
        <item t="default"/>
      </items>
    </pivotField>
  </pivotFields>
  <rowFields count="1">
    <field x="10"/>
  </rowFields>
  <rowItems count="3">
    <i>
      <x/>
    </i>
    <i>
      <x v="1"/>
    </i>
    <i t="grand">
      <x/>
    </i>
  </rowItems>
  <colItems count="1">
    <i/>
  </colItems>
  <pageFields count="1">
    <pageField fld="14" item="3" hier="-1"/>
  </pageFields>
  <dataFields count="1">
    <dataField name="Count of Observation Discription " fld="2" subtotal="count" baseField="0" baseItem="0"/>
  </dataFields>
  <chartFormats count="1">
    <chartFormat chart="5"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7D59B3-6129-4A24-8D34-951E80F6C49F}" name="PivotTable2" cacheId="2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G20" firstHeaderRow="1" firstDataRow="1" firstDataCol="0"/>
  <pivotFields count="1">
    <pivotField showAll="0"/>
  </pivot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58371C-45AE-4E60-AA24-08117E4BB894}" name="PivotTable3" cacheId="2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L22" firstHeaderRow="1" firstDataRow="1" firstDataCol="1"/>
  <pivotFields count="1">
    <pivotField axis="axisRow" dataField="1" showAll="0">
      <items count="17">
        <item x="3"/>
        <item x="6"/>
        <item x="11"/>
        <item x="13"/>
        <item x="7"/>
        <item x="5"/>
        <item x="0"/>
        <item x="10"/>
        <item x="12"/>
        <item x="15"/>
        <item x="14"/>
        <item x="4"/>
        <item x="1"/>
        <item x="9"/>
        <item x="8"/>
        <item x="2"/>
        <item t="default"/>
      </items>
    </pivotField>
  </pivotFields>
  <rowFields count="1">
    <field x="0"/>
  </rowFields>
  <rowItems count="17">
    <i>
      <x/>
    </i>
    <i>
      <x v="1"/>
    </i>
    <i>
      <x v="2"/>
    </i>
    <i>
      <x v="3"/>
    </i>
    <i>
      <x v="4"/>
    </i>
    <i>
      <x v="5"/>
    </i>
    <i>
      <x v="6"/>
    </i>
    <i>
      <x v="7"/>
    </i>
    <i>
      <x v="8"/>
    </i>
    <i>
      <x v="9"/>
    </i>
    <i>
      <x v="10"/>
    </i>
    <i>
      <x v="11"/>
    </i>
    <i>
      <x v="12"/>
    </i>
    <i>
      <x v="13"/>
    </i>
    <i>
      <x v="14"/>
    </i>
    <i>
      <x v="15"/>
    </i>
    <i t="grand">
      <x/>
    </i>
  </rowItems>
  <colItems count="1">
    <i/>
  </colItems>
  <dataFields count="1">
    <dataField name="Count of Tren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9912B0-6073-4E34-B3A6-F282897747E3}" name="Vend_monthly_obs" displayName="Vend_monthly_obs" ref="U18:X34" totalsRowShown="0">
  <autoFilter ref="U18:X34" xr:uid="{B19912B0-6073-4E34-B3A6-F282897747E3}"/>
  <tableColumns count="4">
    <tableColumn id="1" xr3:uid="{A783EAD2-3A8D-4598-9BF3-4F2F8B6CCA9C}" name="Vendor"/>
    <tableColumn id="2" xr3:uid="{F9B0B6C7-E8D7-48E0-BA9F-4D50F9EB604B}" name="Month"/>
    <tableColumn id="3" xr3:uid="{2F095C79-8B50-48C3-A525-0AC46319FAC5}" name="4&amp;5 observations">
      <calculatedColumnFormula>SUMIFS('CSFA Accumilative data'!K:K,'CSFA Accumilative data'!T:T,'Severity info'!V19,'CSFA Accumilative data'!O:O,'Severity info'!U19)</calculatedColumnFormula>
    </tableColumn>
    <tableColumn id="4" xr3:uid="{40288776-D68A-41D7-B4C0-9C9ECDEE70A7}" name="Change from prev month">
      <calculatedColumnFormula>W11-W19</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FE946E-3E07-442F-A1AE-95BCDB1FB20A}" name="categoryVScount" displayName="categoryVScount" ref="H42:I47" totalsRowShown="0" headerRowDxfId="23" headerRowBorderDxfId="21" tableBorderDxfId="22" totalsRowBorderDxfId="20">
  <autoFilter ref="H42:I47" xr:uid="{B8FE946E-3E07-442F-A1AE-95BCDB1FB20A}"/>
  <tableColumns count="2">
    <tableColumn id="1" xr3:uid="{09DA0393-1F62-4D5B-9BC3-AD8DA0D2C171}" name="Category" dataDxfId="19">
      <calculatedColumnFormula>Sheet1!A4</calculatedColumnFormula>
    </tableColumn>
    <tableColumn id="2" xr3:uid="{95B4061D-1F60-4F92-87D6-5BEDE1233AB8}" name="Count" dataDxfId="18">
      <calculatedColumnFormula>Sheet1!B4</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2D845F0-5DF6-47B1-AF72-6FF1C5B60A0D}" name="vendorAvgSevScore" displayName="vendorAvgSevScore" ref="K42:L50" totalsRowShown="0" headerRowDxfId="17" headerRowBorderDxfId="15" tableBorderDxfId="16" totalsRowBorderDxfId="14">
  <autoFilter ref="K42:L50" xr:uid="{32D845F0-5DF6-47B1-AF72-6FF1C5B60A0D}"/>
  <tableColumns count="2">
    <tableColumn id="1" xr3:uid="{47FA4C09-F49E-47FA-8A9A-3E7CE0377EEB}" name="Vendor" dataDxfId="13" dataCellStyle="Percent"/>
    <tableColumn id="2" xr3:uid="{0B339E98-E643-438B-9309-E603269348E0}" name="Avg. Severity Score" dataDxfId="12">
      <calculatedColumnFormula>I19</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FAFB3A6-05F0-47B9-9654-3E1812788B70}" name="zoneAvgSevScore" displayName="zoneAvgSevScore" ref="N34:O38" totalsRowShown="0" headerRowDxfId="11" headerRowBorderDxfId="9" tableBorderDxfId="10" totalsRowBorderDxfId="8">
  <autoFilter ref="N34:O38" xr:uid="{9FAFB3A6-05F0-47B9-9654-3E1812788B70}"/>
  <tableColumns count="2">
    <tableColumn id="1" xr3:uid="{BB177984-A417-4B37-87A1-58F9ACBF271F}" name="Zone" dataDxfId="7"/>
    <tableColumn id="2" xr3:uid="{5CCCEE21-2366-4A14-9CF8-9232C5C248C5}" name="Avg. Severity Score" dataDxfId="6">
      <calculatedColumnFormula>I27</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F448B0E-69EC-40AA-AFAE-95570C06C765}" name="stats" displayName="stats" ref="Q34:R40" totalsRowShown="0" headerRowDxfId="5" headerRowBorderDxfId="3" tableBorderDxfId="4" totalsRowBorderDxfId="2">
  <autoFilter ref="Q34:R40" xr:uid="{FF448B0E-69EC-40AA-AFAE-95570C06C765}"/>
  <tableColumns count="2">
    <tableColumn id="1" xr3:uid="{CBAC2C39-FAA5-4F79-851B-8AC82CC96D8C}" name="stat" dataDxfId="1"/>
    <tableColumn id="2" xr3:uid="{635BB3C1-0DEE-4996-A6FE-61EE4D959D24}" name="Valu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2.xml"/><Relationship Id="rId1" Type="http://schemas.openxmlformats.org/officeDocument/2006/relationships/pivotTable" Target="../pivotTables/pivotTable2.xml"/><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E083E-A07A-4E9F-A582-ED53664B8A71}">
  <sheetPr codeName="Sheet1"/>
  <dimension ref="A3:B23"/>
  <sheetViews>
    <sheetView workbookViewId="0">
      <selection activeCell="E7" sqref="E7"/>
    </sheetView>
  </sheetViews>
  <sheetFormatPr defaultRowHeight="15"/>
  <cols>
    <col min="1" max="1" width="20.85546875" bestFit="1" customWidth="1"/>
    <col min="2" max="2" width="14.28515625" bestFit="1" customWidth="1"/>
  </cols>
  <sheetData>
    <row r="3" spans="1:2">
      <c r="A3" s="37" t="s">
        <v>0</v>
      </c>
      <c r="B3" t="s">
        <v>1</v>
      </c>
    </row>
    <row r="4" spans="1:2">
      <c r="A4" t="s">
        <v>2</v>
      </c>
      <c r="B4">
        <v>95</v>
      </c>
    </row>
    <row r="5" spans="1:2">
      <c r="A5" t="s">
        <v>3</v>
      </c>
      <c r="B5">
        <v>72</v>
      </c>
    </row>
    <row r="6" spans="1:2">
      <c r="A6" t="s">
        <v>4</v>
      </c>
      <c r="B6">
        <v>67</v>
      </c>
    </row>
    <row r="7" spans="1:2">
      <c r="A7" t="s">
        <v>5</v>
      </c>
      <c r="B7">
        <v>66</v>
      </c>
    </row>
    <row r="8" spans="1:2">
      <c r="A8" t="s">
        <v>6</v>
      </c>
      <c r="B8">
        <v>60</v>
      </c>
    </row>
    <row r="9" spans="1:2">
      <c r="A9" t="s">
        <v>7</v>
      </c>
      <c r="B9">
        <v>60</v>
      </c>
    </row>
    <row r="10" spans="1:2">
      <c r="A10" t="s">
        <v>8</v>
      </c>
      <c r="B10">
        <v>37</v>
      </c>
    </row>
    <row r="11" spans="1:2">
      <c r="A11" t="s">
        <v>9</v>
      </c>
      <c r="B11">
        <v>19</v>
      </c>
    </row>
    <row r="12" spans="1:2">
      <c r="A12" t="s">
        <v>10</v>
      </c>
      <c r="B12">
        <v>17</v>
      </c>
    </row>
    <row r="13" spans="1:2">
      <c r="A13" t="s">
        <v>11</v>
      </c>
      <c r="B13">
        <v>12</v>
      </c>
    </row>
    <row r="14" spans="1:2">
      <c r="A14" t="s">
        <v>12</v>
      </c>
      <c r="B14">
        <v>11</v>
      </c>
    </row>
    <row r="15" spans="1:2">
      <c r="A15" t="s">
        <v>13</v>
      </c>
      <c r="B15">
        <v>10</v>
      </c>
    </row>
    <row r="16" spans="1:2">
      <c r="A16" t="s">
        <v>14</v>
      </c>
      <c r="B16">
        <v>7</v>
      </c>
    </row>
    <row r="17" spans="1:2">
      <c r="A17" t="s">
        <v>15</v>
      </c>
      <c r="B17">
        <v>6</v>
      </c>
    </row>
    <row r="18" spans="1:2">
      <c r="A18" t="s">
        <v>16</v>
      </c>
      <c r="B18">
        <v>6</v>
      </c>
    </row>
    <row r="19" spans="1:2">
      <c r="A19" t="s">
        <v>17</v>
      </c>
      <c r="B19">
        <v>1</v>
      </c>
    </row>
    <row r="20" spans="1:2">
      <c r="A20" t="s">
        <v>18</v>
      </c>
      <c r="B20">
        <v>1</v>
      </c>
    </row>
    <row r="21" spans="1:2">
      <c r="A21" t="s">
        <v>19</v>
      </c>
      <c r="B21">
        <v>1</v>
      </c>
    </row>
    <row r="22" spans="1:2">
      <c r="A22" t="s">
        <v>20</v>
      </c>
    </row>
    <row r="23" spans="1:2">
      <c r="A23" t="s">
        <v>21</v>
      </c>
      <c r="B23">
        <v>548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I656"/>
  <sheetViews>
    <sheetView tabSelected="1" topLeftCell="C1" zoomScaleNormal="100" workbookViewId="0">
      <pane ySplit="1" topLeftCell="A656" activePane="bottomLeft" state="frozen"/>
      <selection pane="bottomLeft" activeCell="S540" sqref="S540"/>
    </sheetView>
  </sheetViews>
  <sheetFormatPr defaultRowHeight="15"/>
  <cols>
    <col min="1" max="1" width="6.140625" bestFit="1" customWidth="1"/>
    <col min="2" max="2" width="20.85546875" bestFit="1" customWidth="1"/>
    <col min="3" max="3" width="110.28515625" style="35" customWidth="1"/>
    <col min="4" max="9" width="4.85546875" customWidth="1"/>
    <col min="10" max="10" width="6.140625" customWidth="1"/>
    <col min="11" max="11" width="4.85546875" customWidth="1"/>
    <col min="12" max="12" width="6" customWidth="1"/>
    <col min="13" max="14" width="4.85546875" customWidth="1"/>
    <col min="15" max="15" width="30.5703125" bestFit="1" customWidth="1"/>
    <col min="16" max="16" width="8.7109375" bestFit="1" customWidth="1"/>
    <col min="17" max="17" width="21.7109375" bestFit="1" customWidth="1"/>
    <col min="18" max="18" width="43.140625" bestFit="1" customWidth="1"/>
    <col min="19" max="19" width="15.42578125" style="47" bestFit="1" customWidth="1"/>
    <col min="20" max="20" width="10.42578125" bestFit="1" customWidth="1"/>
    <col min="22" max="22" width="10.42578125" bestFit="1" customWidth="1"/>
  </cols>
  <sheetData>
    <row r="1" spans="1:23" ht="127.5" customHeight="1">
      <c r="A1" s="1" t="s">
        <v>22</v>
      </c>
      <c r="B1" s="76" t="s">
        <v>0</v>
      </c>
      <c r="C1" s="36" t="s">
        <v>23</v>
      </c>
      <c r="D1" s="28" t="s">
        <v>24</v>
      </c>
      <c r="E1" s="28" t="s">
        <v>25</v>
      </c>
      <c r="F1" s="29" t="s">
        <v>26</v>
      </c>
      <c r="G1" s="28" t="s">
        <v>27</v>
      </c>
      <c r="H1" s="28" t="s">
        <v>28</v>
      </c>
      <c r="I1" s="28" t="s">
        <v>29</v>
      </c>
      <c r="J1" s="28" t="s">
        <v>30</v>
      </c>
      <c r="K1" s="30" t="s">
        <v>31</v>
      </c>
      <c r="L1" s="31" t="s">
        <v>32</v>
      </c>
      <c r="M1" s="53" t="s">
        <v>33</v>
      </c>
      <c r="N1" s="32" t="s">
        <v>34</v>
      </c>
      <c r="O1" s="32" t="s">
        <v>35</v>
      </c>
      <c r="P1" s="33" t="s">
        <v>36</v>
      </c>
      <c r="Q1" s="32" t="s">
        <v>37</v>
      </c>
      <c r="R1" s="34" t="s">
        <v>38</v>
      </c>
      <c r="S1" s="49" t="s">
        <v>39</v>
      </c>
      <c r="T1" t="s">
        <v>40</v>
      </c>
    </row>
    <row r="2" spans="1:23">
      <c r="A2" s="54">
        <v>1</v>
      </c>
      <c r="B2" s="152" t="s">
        <v>2</v>
      </c>
      <c r="C2" s="55" t="s">
        <v>41</v>
      </c>
      <c r="D2" s="55"/>
      <c r="E2" s="55">
        <v>1</v>
      </c>
      <c r="F2" s="44"/>
      <c r="G2" s="55"/>
      <c r="H2" s="56">
        <v>1</v>
      </c>
      <c r="I2" s="55">
        <v>3</v>
      </c>
      <c r="J2" s="55">
        <f t="shared" ref="J2:J13" si="0">I2*H2</f>
        <v>3</v>
      </c>
      <c r="K2" s="57"/>
      <c r="L2" s="44"/>
      <c r="M2" s="58">
        <v>1</v>
      </c>
      <c r="N2" s="45"/>
      <c r="O2" s="45" t="s">
        <v>42</v>
      </c>
      <c r="P2" s="2" t="s">
        <v>43</v>
      </c>
      <c r="Q2" s="2"/>
      <c r="R2" s="116" t="s">
        <v>44</v>
      </c>
      <c r="S2" s="27">
        <v>46164</v>
      </c>
      <c r="T2" t="s">
        <v>45</v>
      </c>
      <c r="U2" s="2" t="s">
        <v>43</v>
      </c>
    </row>
    <row r="3" spans="1:23">
      <c r="A3" s="54">
        <f t="shared" ref="A3:A13" si="1">A2+1</f>
        <v>2</v>
      </c>
      <c r="B3" s="152" t="s">
        <v>2</v>
      </c>
      <c r="C3" s="55" t="s">
        <v>46</v>
      </c>
      <c r="D3" s="55"/>
      <c r="E3" s="55">
        <v>1</v>
      </c>
      <c r="F3" s="59"/>
      <c r="G3" s="60"/>
      <c r="H3" s="61">
        <v>1</v>
      </c>
      <c r="I3" s="60">
        <v>4</v>
      </c>
      <c r="J3" s="55">
        <f t="shared" si="0"/>
        <v>4</v>
      </c>
      <c r="K3" s="62">
        <v>1</v>
      </c>
      <c r="L3" s="44"/>
      <c r="M3" s="58">
        <v>1</v>
      </c>
      <c r="N3" s="45"/>
      <c r="O3" s="45" t="s">
        <v>42</v>
      </c>
      <c r="P3" s="2" t="s">
        <v>43</v>
      </c>
      <c r="Q3" s="2"/>
      <c r="R3" s="116" t="s">
        <v>44</v>
      </c>
      <c r="S3" s="27">
        <v>46164</v>
      </c>
      <c r="T3" t="s">
        <v>45</v>
      </c>
      <c r="U3" s="2" t="s">
        <v>43</v>
      </c>
    </row>
    <row r="4" spans="1:23">
      <c r="A4" s="54">
        <f t="shared" si="1"/>
        <v>3</v>
      </c>
      <c r="B4" s="152" t="s">
        <v>6</v>
      </c>
      <c r="C4" s="55" t="s">
        <v>47</v>
      </c>
      <c r="D4" s="55"/>
      <c r="E4" s="55">
        <v>1</v>
      </c>
      <c r="F4" s="59"/>
      <c r="G4" s="60"/>
      <c r="H4" s="61">
        <v>1</v>
      </c>
      <c r="I4" s="60">
        <v>3</v>
      </c>
      <c r="J4" s="55">
        <f t="shared" si="0"/>
        <v>3</v>
      </c>
      <c r="K4" s="62"/>
      <c r="L4" s="44"/>
      <c r="M4" s="58">
        <v>1</v>
      </c>
      <c r="N4" s="45"/>
      <c r="O4" s="45" t="s">
        <v>42</v>
      </c>
      <c r="P4" s="2" t="s">
        <v>43</v>
      </c>
      <c r="Q4" s="2"/>
      <c r="R4" s="116" t="s">
        <v>44</v>
      </c>
      <c r="S4" s="27">
        <v>46164</v>
      </c>
      <c r="T4" t="s">
        <v>45</v>
      </c>
      <c r="U4" s="2" t="s">
        <v>43</v>
      </c>
    </row>
    <row r="5" spans="1:23">
      <c r="A5" s="54">
        <f t="shared" si="1"/>
        <v>4</v>
      </c>
      <c r="B5" s="152" t="s">
        <v>10</v>
      </c>
      <c r="C5" s="55" t="s">
        <v>48</v>
      </c>
      <c r="D5" s="55"/>
      <c r="E5" s="55">
        <v>1</v>
      </c>
      <c r="F5" s="59"/>
      <c r="G5" s="60"/>
      <c r="H5" s="61">
        <v>1</v>
      </c>
      <c r="I5" s="60">
        <v>4</v>
      </c>
      <c r="J5" s="55">
        <f t="shared" si="0"/>
        <v>4</v>
      </c>
      <c r="K5" s="62">
        <v>1</v>
      </c>
      <c r="L5" s="44"/>
      <c r="M5" s="58">
        <v>1</v>
      </c>
      <c r="N5" s="45"/>
      <c r="O5" s="45" t="s">
        <v>42</v>
      </c>
      <c r="P5" s="2" t="s">
        <v>43</v>
      </c>
      <c r="Q5" s="2"/>
      <c r="R5" s="116" t="s">
        <v>44</v>
      </c>
      <c r="S5" s="27">
        <v>46164</v>
      </c>
      <c r="T5" t="s">
        <v>45</v>
      </c>
      <c r="U5" s="2" t="s">
        <v>43</v>
      </c>
    </row>
    <row r="6" spans="1:23">
      <c r="A6" s="54">
        <f t="shared" si="1"/>
        <v>5</v>
      </c>
      <c r="B6" s="152" t="s">
        <v>2</v>
      </c>
      <c r="C6" s="55" t="s">
        <v>49</v>
      </c>
      <c r="D6" s="55"/>
      <c r="E6" s="55">
        <v>1</v>
      </c>
      <c r="F6" s="59">
        <v>5</v>
      </c>
      <c r="G6" s="60">
        <v>2</v>
      </c>
      <c r="H6" s="61">
        <v>2</v>
      </c>
      <c r="I6" s="60">
        <v>4</v>
      </c>
      <c r="J6" s="55">
        <f t="shared" si="0"/>
        <v>8</v>
      </c>
      <c r="K6" s="62">
        <v>1</v>
      </c>
      <c r="L6" s="44"/>
      <c r="M6" s="58"/>
      <c r="N6" s="45">
        <v>1</v>
      </c>
      <c r="O6" s="45" t="s">
        <v>42</v>
      </c>
      <c r="P6" s="2" t="s">
        <v>43</v>
      </c>
      <c r="Q6" s="2"/>
      <c r="R6" s="116" t="s">
        <v>44</v>
      </c>
      <c r="S6" s="27">
        <v>46164</v>
      </c>
      <c r="T6" t="s">
        <v>45</v>
      </c>
      <c r="U6" s="2" t="s">
        <v>43</v>
      </c>
      <c r="W6">
        <v>10</v>
      </c>
    </row>
    <row r="7" spans="1:23">
      <c r="A7" s="54">
        <f t="shared" si="1"/>
        <v>6</v>
      </c>
      <c r="B7" s="152" t="s">
        <v>6</v>
      </c>
      <c r="C7" s="55" t="s">
        <v>50</v>
      </c>
      <c r="D7" s="55"/>
      <c r="E7" s="55">
        <v>1</v>
      </c>
      <c r="F7" s="59"/>
      <c r="G7" s="60"/>
      <c r="H7" s="61">
        <v>1</v>
      </c>
      <c r="I7" s="60">
        <v>4</v>
      </c>
      <c r="J7" s="55">
        <f t="shared" si="0"/>
        <v>4</v>
      </c>
      <c r="K7" s="62">
        <v>1</v>
      </c>
      <c r="L7" s="44"/>
      <c r="M7" s="58">
        <v>1</v>
      </c>
      <c r="N7" s="45"/>
      <c r="O7" s="45" t="s">
        <v>42</v>
      </c>
      <c r="P7" s="2" t="s">
        <v>43</v>
      </c>
      <c r="Q7" s="2"/>
      <c r="R7" s="116" t="s">
        <v>44</v>
      </c>
      <c r="S7" s="27">
        <v>46164</v>
      </c>
      <c r="T7" t="s">
        <v>45</v>
      </c>
      <c r="U7" s="2" t="s">
        <v>43</v>
      </c>
      <c r="W7">
        <v>1</v>
      </c>
    </row>
    <row r="8" spans="1:23">
      <c r="A8" s="54">
        <f t="shared" si="1"/>
        <v>7</v>
      </c>
      <c r="B8" s="152" t="s">
        <v>6</v>
      </c>
      <c r="C8" s="55" t="s">
        <v>51</v>
      </c>
      <c r="D8" s="55"/>
      <c r="E8" s="55">
        <v>1</v>
      </c>
      <c r="F8" s="59"/>
      <c r="G8" s="60"/>
      <c r="H8" s="61">
        <v>1</v>
      </c>
      <c r="I8" s="60">
        <v>4</v>
      </c>
      <c r="J8" s="55">
        <f t="shared" si="0"/>
        <v>4</v>
      </c>
      <c r="K8" s="62">
        <v>1</v>
      </c>
      <c r="L8" s="44"/>
      <c r="M8" s="58">
        <v>1</v>
      </c>
      <c r="N8" s="45"/>
      <c r="O8" s="45" t="s">
        <v>42</v>
      </c>
      <c r="P8" s="2" t="s">
        <v>43</v>
      </c>
      <c r="Q8" s="2"/>
      <c r="R8" s="116" t="s">
        <v>44</v>
      </c>
      <c r="S8" s="27">
        <v>46164</v>
      </c>
      <c r="T8" t="s">
        <v>45</v>
      </c>
      <c r="U8" s="2" t="s">
        <v>43</v>
      </c>
      <c r="W8">
        <v>1</v>
      </c>
    </row>
    <row r="9" spans="1:23">
      <c r="A9" s="54">
        <f t="shared" si="1"/>
        <v>8</v>
      </c>
      <c r="B9" s="152" t="s">
        <v>7</v>
      </c>
      <c r="C9" s="55" t="s">
        <v>52</v>
      </c>
      <c r="D9" s="55"/>
      <c r="E9" s="55">
        <v>1</v>
      </c>
      <c r="F9" s="59"/>
      <c r="G9" s="60"/>
      <c r="H9" s="61">
        <v>2</v>
      </c>
      <c r="I9" s="60">
        <v>3</v>
      </c>
      <c r="J9" s="55">
        <f t="shared" si="0"/>
        <v>6</v>
      </c>
      <c r="K9" s="62"/>
      <c r="L9" s="44"/>
      <c r="M9" s="58">
        <v>1</v>
      </c>
      <c r="N9" s="45"/>
      <c r="O9" s="45" t="s">
        <v>42</v>
      </c>
      <c r="P9" s="2" t="s">
        <v>43</v>
      </c>
      <c r="Q9" s="2"/>
      <c r="R9" s="116" t="s">
        <v>44</v>
      </c>
      <c r="S9" s="27">
        <v>46164</v>
      </c>
      <c r="T9" t="s">
        <v>45</v>
      </c>
      <c r="U9" s="2" t="s">
        <v>43</v>
      </c>
    </row>
    <row r="10" spans="1:23">
      <c r="A10" s="54">
        <f t="shared" si="1"/>
        <v>9</v>
      </c>
      <c r="B10" s="152" t="s">
        <v>4</v>
      </c>
      <c r="C10" s="55" t="s">
        <v>53</v>
      </c>
      <c r="D10" s="55"/>
      <c r="E10" s="55">
        <v>1</v>
      </c>
      <c r="F10" s="59"/>
      <c r="G10" s="60"/>
      <c r="H10" s="61">
        <v>1</v>
      </c>
      <c r="I10" s="60">
        <v>4</v>
      </c>
      <c r="J10" s="55">
        <f t="shared" si="0"/>
        <v>4</v>
      </c>
      <c r="K10" s="62">
        <v>1</v>
      </c>
      <c r="L10" s="44"/>
      <c r="M10" s="58"/>
      <c r="N10" s="45"/>
      <c r="O10" s="45" t="s">
        <v>42</v>
      </c>
      <c r="P10" s="2" t="s">
        <v>43</v>
      </c>
      <c r="Q10" s="2"/>
      <c r="R10" s="116" t="s">
        <v>44</v>
      </c>
      <c r="S10" s="27">
        <v>46164</v>
      </c>
      <c r="T10" t="s">
        <v>45</v>
      </c>
      <c r="U10" s="2" t="s">
        <v>43</v>
      </c>
      <c r="W10">
        <v>2</v>
      </c>
    </row>
    <row r="11" spans="1:23">
      <c r="A11" s="54">
        <f t="shared" si="1"/>
        <v>10</v>
      </c>
      <c r="B11" s="152" t="s">
        <v>10</v>
      </c>
      <c r="C11" s="55" t="s">
        <v>54</v>
      </c>
      <c r="D11" s="55"/>
      <c r="E11" s="55">
        <v>1</v>
      </c>
      <c r="F11" s="59"/>
      <c r="G11" s="60"/>
      <c r="H11" s="61">
        <v>1</v>
      </c>
      <c r="I11" s="60">
        <v>3</v>
      </c>
      <c r="J11" s="55">
        <f t="shared" si="0"/>
        <v>3</v>
      </c>
      <c r="K11" s="62"/>
      <c r="L11" s="44"/>
      <c r="M11" s="58">
        <v>1</v>
      </c>
      <c r="N11" s="45"/>
      <c r="O11" s="45" t="s">
        <v>42</v>
      </c>
      <c r="P11" s="2" t="s">
        <v>43</v>
      </c>
      <c r="Q11" s="2"/>
      <c r="R11" s="3" t="s">
        <v>55</v>
      </c>
      <c r="S11" s="27">
        <v>46164</v>
      </c>
      <c r="T11" t="s">
        <v>45</v>
      </c>
      <c r="U11" s="2" t="s">
        <v>43</v>
      </c>
    </row>
    <row r="12" spans="1:23">
      <c r="A12" s="54">
        <f t="shared" si="1"/>
        <v>11</v>
      </c>
      <c r="B12" s="152" t="s">
        <v>4</v>
      </c>
      <c r="C12" s="55" t="s">
        <v>56</v>
      </c>
      <c r="D12" s="55"/>
      <c r="E12" s="55">
        <v>1</v>
      </c>
      <c r="F12" s="59"/>
      <c r="G12" s="60"/>
      <c r="H12" s="61">
        <v>1</v>
      </c>
      <c r="I12" s="60">
        <v>3</v>
      </c>
      <c r="J12" s="55">
        <f t="shared" si="0"/>
        <v>3</v>
      </c>
      <c r="K12" s="62"/>
      <c r="L12" s="44"/>
      <c r="M12" s="58">
        <v>1</v>
      </c>
      <c r="N12" s="45"/>
      <c r="O12" s="45" t="s">
        <v>57</v>
      </c>
      <c r="P12" s="2" t="s">
        <v>43</v>
      </c>
      <c r="Q12" s="2"/>
      <c r="R12" s="3" t="s">
        <v>55</v>
      </c>
      <c r="S12" s="27">
        <v>46164</v>
      </c>
      <c r="T12" t="s">
        <v>45</v>
      </c>
      <c r="U12" s="2" t="s">
        <v>43</v>
      </c>
    </row>
    <row r="13" spans="1:23">
      <c r="A13" s="54">
        <f t="shared" si="1"/>
        <v>12</v>
      </c>
      <c r="B13" s="152" t="s">
        <v>11</v>
      </c>
      <c r="C13" s="63" t="s">
        <v>58</v>
      </c>
      <c r="D13" s="55"/>
      <c r="E13" s="55">
        <v>1</v>
      </c>
      <c r="F13" s="59">
        <v>6</v>
      </c>
      <c r="G13" s="60">
        <v>1</v>
      </c>
      <c r="H13" s="61">
        <v>1</v>
      </c>
      <c r="I13" s="60">
        <v>3</v>
      </c>
      <c r="J13" s="55">
        <f t="shared" si="0"/>
        <v>3</v>
      </c>
      <c r="K13" s="62"/>
      <c r="L13" s="44"/>
      <c r="M13" s="58"/>
      <c r="N13" s="45">
        <v>1</v>
      </c>
      <c r="O13" s="45" t="s">
        <v>42</v>
      </c>
      <c r="P13" s="2" t="s">
        <v>43</v>
      </c>
      <c r="Q13" s="2"/>
      <c r="R13" s="3" t="s">
        <v>55</v>
      </c>
      <c r="S13" s="27">
        <v>46164</v>
      </c>
      <c r="T13" t="s">
        <v>45</v>
      </c>
      <c r="U13" s="2" t="s">
        <v>43</v>
      </c>
    </row>
    <row r="14" spans="1:23">
      <c r="A14" s="54">
        <f t="shared" ref="A14:A77" si="2">A13+1</f>
        <v>13</v>
      </c>
      <c r="B14" s="152" t="s">
        <v>4</v>
      </c>
      <c r="C14" s="55" t="s">
        <v>59</v>
      </c>
      <c r="D14" s="55"/>
      <c r="E14" s="55">
        <v>1</v>
      </c>
      <c r="F14" s="44"/>
      <c r="G14" s="55"/>
      <c r="H14" s="56">
        <v>1</v>
      </c>
      <c r="I14" s="55">
        <v>4</v>
      </c>
      <c r="J14" s="55">
        <f t="shared" ref="J14:J77" si="3">I14*H14</f>
        <v>4</v>
      </c>
      <c r="K14" s="57">
        <v>1</v>
      </c>
      <c r="L14" s="44">
        <v>0</v>
      </c>
      <c r="M14" s="58">
        <v>1</v>
      </c>
      <c r="N14" s="45">
        <v>0</v>
      </c>
      <c r="O14" s="45" t="s">
        <v>60</v>
      </c>
      <c r="P14" s="2" t="s">
        <v>43</v>
      </c>
      <c r="Q14" s="2"/>
      <c r="R14" s="116" t="s">
        <v>44</v>
      </c>
      <c r="S14" s="27">
        <v>46164</v>
      </c>
      <c r="T14" t="s">
        <v>45</v>
      </c>
      <c r="U14" s="2" t="s">
        <v>43</v>
      </c>
      <c r="W14">
        <v>2</v>
      </c>
    </row>
    <row r="15" spans="1:23">
      <c r="A15" s="54">
        <f t="shared" si="2"/>
        <v>14</v>
      </c>
      <c r="B15" s="152" t="s">
        <v>14</v>
      </c>
      <c r="C15" s="55" t="s">
        <v>61</v>
      </c>
      <c r="D15" s="55"/>
      <c r="E15" s="55">
        <v>1</v>
      </c>
      <c r="F15" s="59" t="s">
        <v>62</v>
      </c>
      <c r="G15" s="60"/>
      <c r="H15" s="61">
        <v>1</v>
      </c>
      <c r="I15" s="60">
        <v>3</v>
      </c>
      <c r="J15" s="55">
        <f t="shared" si="3"/>
        <v>3</v>
      </c>
      <c r="K15" s="62"/>
      <c r="L15" s="44">
        <v>0</v>
      </c>
      <c r="M15" s="58">
        <v>1</v>
      </c>
      <c r="N15" s="45">
        <v>0</v>
      </c>
      <c r="O15" s="45" t="s">
        <v>42</v>
      </c>
      <c r="P15" s="2" t="s">
        <v>43</v>
      </c>
      <c r="Q15" s="2"/>
      <c r="R15" s="116" t="s">
        <v>44</v>
      </c>
      <c r="S15" s="27">
        <v>46164</v>
      </c>
      <c r="T15" t="s">
        <v>45</v>
      </c>
      <c r="U15" s="2" t="s">
        <v>43</v>
      </c>
    </row>
    <row r="16" spans="1:23">
      <c r="A16" s="54">
        <f t="shared" si="2"/>
        <v>15</v>
      </c>
      <c r="B16" s="152" t="s">
        <v>10</v>
      </c>
      <c r="C16" s="55" t="s">
        <v>63</v>
      </c>
      <c r="D16" s="55"/>
      <c r="E16" s="55">
        <v>1</v>
      </c>
      <c r="F16" s="59"/>
      <c r="G16" s="60"/>
      <c r="H16" s="61">
        <v>1</v>
      </c>
      <c r="I16" s="60">
        <v>3</v>
      </c>
      <c r="J16" s="55">
        <f t="shared" si="3"/>
        <v>3</v>
      </c>
      <c r="K16" s="62"/>
      <c r="L16" s="44">
        <v>0</v>
      </c>
      <c r="M16" s="58">
        <v>2</v>
      </c>
      <c r="N16" s="45">
        <v>0</v>
      </c>
      <c r="O16" s="45" t="s">
        <v>42</v>
      </c>
      <c r="P16" s="2" t="s">
        <v>43</v>
      </c>
      <c r="Q16" s="2"/>
      <c r="R16" s="116" t="s">
        <v>44</v>
      </c>
      <c r="S16" s="27">
        <v>46164</v>
      </c>
      <c r="T16" t="s">
        <v>45</v>
      </c>
      <c r="U16" s="2" t="s">
        <v>64</v>
      </c>
    </row>
    <row r="17" spans="1:23">
      <c r="A17" s="54">
        <f t="shared" si="2"/>
        <v>16</v>
      </c>
      <c r="B17" s="152" t="s">
        <v>7</v>
      </c>
      <c r="C17" s="55" t="s">
        <v>65</v>
      </c>
      <c r="D17" s="55"/>
      <c r="E17" s="55">
        <v>1</v>
      </c>
      <c r="F17" s="59" t="s">
        <v>62</v>
      </c>
      <c r="G17" s="60"/>
      <c r="H17" s="61">
        <v>1</v>
      </c>
      <c r="I17" s="60">
        <v>3</v>
      </c>
      <c r="J17" s="55">
        <f t="shared" si="3"/>
        <v>3</v>
      </c>
      <c r="K17" s="62"/>
      <c r="L17" s="44">
        <v>0</v>
      </c>
      <c r="M17" s="58">
        <v>1</v>
      </c>
      <c r="N17" s="45">
        <v>0</v>
      </c>
      <c r="O17" s="45" t="s">
        <v>66</v>
      </c>
      <c r="P17" s="2" t="s">
        <v>43</v>
      </c>
      <c r="Q17" s="2"/>
      <c r="R17" s="116" t="s">
        <v>44</v>
      </c>
      <c r="S17" s="27">
        <v>46164</v>
      </c>
      <c r="T17" t="s">
        <v>45</v>
      </c>
      <c r="U17" s="2" t="s">
        <v>43</v>
      </c>
    </row>
    <row r="18" spans="1:23">
      <c r="A18" s="54">
        <f t="shared" si="2"/>
        <v>17</v>
      </c>
      <c r="B18" s="152" t="s">
        <v>13</v>
      </c>
      <c r="C18" s="55" t="s">
        <v>67</v>
      </c>
      <c r="D18" s="55"/>
      <c r="E18" s="55">
        <v>1</v>
      </c>
      <c r="F18" s="59"/>
      <c r="G18" s="60"/>
      <c r="H18" s="61">
        <v>1</v>
      </c>
      <c r="I18" s="60">
        <v>2</v>
      </c>
      <c r="J18" s="55">
        <f t="shared" si="3"/>
        <v>2</v>
      </c>
      <c r="K18" s="62"/>
      <c r="L18" s="44"/>
      <c r="M18" s="58">
        <v>1</v>
      </c>
      <c r="N18" s="45"/>
      <c r="O18" s="45" t="s">
        <v>57</v>
      </c>
      <c r="P18" s="2" t="s">
        <v>43</v>
      </c>
      <c r="Q18" s="2"/>
      <c r="R18" s="3" t="s">
        <v>55</v>
      </c>
      <c r="S18" s="27">
        <v>46164</v>
      </c>
      <c r="T18" t="s">
        <v>45</v>
      </c>
      <c r="U18" s="2" t="s">
        <v>43</v>
      </c>
    </row>
    <row r="19" spans="1:23">
      <c r="A19" s="54">
        <f t="shared" si="2"/>
        <v>18</v>
      </c>
      <c r="B19" s="152" t="s">
        <v>5</v>
      </c>
      <c r="C19" s="55" t="s">
        <v>68</v>
      </c>
      <c r="D19" s="55"/>
      <c r="E19" s="55">
        <v>1</v>
      </c>
      <c r="F19" s="59"/>
      <c r="G19" s="60"/>
      <c r="H19" s="61">
        <v>1</v>
      </c>
      <c r="I19" s="60">
        <v>3</v>
      </c>
      <c r="J19" s="55">
        <f t="shared" si="3"/>
        <v>3</v>
      </c>
      <c r="K19" s="62"/>
      <c r="L19" s="44"/>
      <c r="M19" s="58">
        <v>1</v>
      </c>
      <c r="N19" s="45"/>
      <c r="O19" s="45" t="s">
        <v>69</v>
      </c>
      <c r="P19" s="2" t="s">
        <v>43</v>
      </c>
      <c r="Q19" s="2"/>
      <c r="R19" s="116" t="s">
        <v>44</v>
      </c>
      <c r="S19" s="27">
        <v>46164</v>
      </c>
      <c r="T19" t="s">
        <v>45</v>
      </c>
      <c r="U19" s="2" t="s">
        <v>43</v>
      </c>
      <c r="V19" t="s">
        <v>70</v>
      </c>
    </row>
    <row r="20" spans="1:23">
      <c r="A20" s="54">
        <f t="shared" si="2"/>
        <v>19</v>
      </c>
      <c r="B20" s="152" t="s">
        <v>5</v>
      </c>
      <c r="C20" s="55" t="s">
        <v>71</v>
      </c>
      <c r="D20" s="55"/>
      <c r="E20" s="55">
        <v>1</v>
      </c>
      <c r="F20" s="59"/>
      <c r="G20" s="60"/>
      <c r="H20" s="61">
        <v>1</v>
      </c>
      <c r="I20" s="60">
        <v>4</v>
      </c>
      <c r="J20" s="55">
        <f t="shared" si="3"/>
        <v>4</v>
      </c>
      <c r="K20" s="62">
        <v>1</v>
      </c>
      <c r="L20" s="44"/>
      <c r="M20" s="58">
        <v>1</v>
      </c>
      <c r="N20" s="45"/>
      <c r="O20" s="45" t="s">
        <v>72</v>
      </c>
      <c r="P20" s="2" t="s">
        <v>43</v>
      </c>
      <c r="Q20" s="2"/>
      <c r="R20" s="116" t="s">
        <v>44</v>
      </c>
      <c r="S20" s="27">
        <v>46164</v>
      </c>
      <c r="T20" t="s">
        <v>45</v>
      </c>
      <c r="U20" s="2" t="s">
        <v>43</v>
      </c>
      <c r="W20">
        <v>1</v>
      </c>
    </row>
    <row r="21" spans="1:23">
      <c r="A21" s="54">
        <f t="shared" si="2"/>
        <v>20</v>
      </c>
      <c r="B21" s="152" t="s">
        <v>4</v>
      </c>
      <c r="C21" s="55" t="s">
        <v>73</v>
      </c>
      <c r="D21" s="55"/>
      <c r="E21" s="55">
        <v>1</v>
      </c>
      <c r="F21" s="59"/>
      <c r="G21" s="60"/>
      <c r="H21" s="61">
        <v>1</v>
      </c>
      <c r="I21" s="60">
        <v>3</v>
      </c>
      <c r="J21" s="55">
        <f t="shared" si="3"/>
        <v>3</v>
      </c>
      <c r="K21" s="62"/>
      <c r="L21" s="44"/>
      <c r="M21" s="58">
        <v>1</v>
      </c>
      <c r="N21" s="45"/>
      <c r="O21" s="45" t="s">
        <v>57</v>
      </c>
      <c r="P21" s="2" t="s">
        <v>43</v>
      </c>
      <c r="Q21" s="2"/>
      <c r="R21" s="3" t="s">
        <v>55</v>
      </c>
      <c r="S21" s="27">
        <v>46164</v>
      </c>
      <c r="T21" t="s">
        <v>45</v>
      </c>
      <c r="U21" s="2" t="s">
        <v>43</v>
      </c>
    </row>
    <row r="22" spans="1:23">
      <c r="A22" s="54">
        <f t="shared" si="2"/>
        <v>21</v>
      </c>
      <c r="B22" s="152" t="s">
        <v>2</v>
      </c>
      <c r="C22" s="55" t="s">
        <v>74</v>
      </c>
      <c r="D22" s="55"/>
      <c r="E22" s="55">
        <v>1</v>
      </c>
      <c r="F22" s="59"/>
      <c r="G22" s="60"/>
      <c r="H22" s="61">
        <v>1</v>
      </c>
      <c r="I22" s="60">
        <v>5</v>
      </c>
      <c r="J22" s="55">
        <f t="shared" si="3"/>
        <v>5</v>
      </c>
      <c r="K22" s="62">
        <v>1</v>
      </c>
      <c r="L22" s="44"/>
      <c r="M22" s="58">
        <v>1</v>
      </c>
      <c r="N22" s="45"/>
      <c r="O22" s="45" t="s">
        <v>42</v>
      </c>
      <c r="P22" s="2" t="s">
        <v>43</v>
      </c>
      <c r="Q22" s="2"/>
      <c r="R22" s="116" t="s">
        <v>44</v>
      </c>
      <c r="S22" s="27">
        <v>46164</v>
      </c>
      <c r="T22" t="s">
        <v>45</v>
      </c>
      <c r="U22" s="2" t="s">
        <v>43</v>
      </c>
      <c r="W22">
        <v>5</v>
      </c>
    </row>
    <row r="23" spans="1:23">
      <c r="A23" s="54">
        <f t="shared" si="2"/>
        <v>22</v>
      </c>
      <c r="B23" s="152" t="s">
        <v>3</v>
      </c>
      <c r="C23" s="55" t="s">
        <v>75</v>
      </c>
      <c r="D23" s="55"/>
      <c r="E23" s="55">
        <v>1</v>
      </c>
      <c r="F23" s="59">
        <v>2</v>
      </c>
      <c r="G23" s="60"/>
      <c r="H23" s="61">
        <v>1</v>
      </c>
      <c r="I23" s="60">
        <v>3</v>
      </c>
      <c r="J23" s="55">
        <f t="shared" si="3"/>
        <v>3</v>
      </c>
      <c r="K23" s="62"/>
      <c r="L23" s="44"/>
      <c r="M23" s="58"/>
      <c r="N23" s="45">
        <v>1</v>
      </c>
      <c r="O23" s="45" t="s">
        <v>42</v>
      </c>
      <c r="P23" s="2" t="s">
        <v>43</v>
      </c>
      <c r="Q23" s="2"/>
      <c r="R23" s="116" t="s">
        <v>44</v>
      </c>
      <c r="S23" s="27">
        <v>46164</v>
      </c>
      <c r="T23" t="s">
        <v>45</v>
      </c>
      <c r="U23" s="2" t="s">
        <v>43</v>
      </c>
    </row>
    <row r="24" spans="1:23" ht="30">
      <c r="A24" s="54">
        <f t="shared" si="2"/>
        <v>23</v>
      </c>
      <c r="B24" s="152" t="s">
        <v>8</v>
      </c>
      <c r="C24" s="4" t="s">
        <v>76</v>
      </c>
      <c r="D24" s="55"/>
      <c r="E24" s="55">
        <v>1</v>
      </c>
      <c r="F24" s="59">
        <v>6</v>
      </c>
      <c r="G24" s="60"/>
      <c r="H24" s="61">
        <v>1</v>
      </c>
      <c r="I24" s="60">
        <v>3</v>
      </c>
      <c r="J24" s="55">
        <f t="shared" si="3"/>
        <v>3</v>
      </c>
      <c r="K24" s="62"/>
      <c r="L24" s="44"/>
      <c r="M24" s="58"/>
      <c r="N24" s="45"/>
      <c r="O24" s="45" t="s">
        <v>57</v>
      </c>
      <c r="P24" s="2" t="s">
        <v>43</v>
      </c>
      <c r="Q24" s="2"/>
      <c r="R24" s="116" t="s">
        <v>77</v>
      </c>
      <c r="S24" s="27">
        <v>46164</v>
      </c>
      <c r="T24" t="s">
        <v>45</v>
      </c>
      <c r="U24" s="2" t="s">
        <v>43</v>
      </c>
    </row>
    <row r="25" spans="1:23">
      <c r="A25" s="54">
        <f t="shared" si="2"/>
        <v>24</v>
      </c>
      <c r="B25" s="152" t="s">
        <v>15</v>
      </c>
      <c r="C25" s="5" t="s">
        <v>78</v>
      </c>
      <c r="D25" s="55"/>
      <c r="E25" s="55">
        <v>1</v>
      </c>
      <c r="F25" s="59"/>
      <c r="G25" s="60">
        <v>1</v>
      </c>
      <c r="H25" s="61">
        <v>1</v>
      </c>
      <c r="I25" s="60">
        <v>3</v>
      </c>
      <c r="J25" s="55">
        <f t="shared" si="3"/>
        <v>3</v>
      </c>
      <c r="K25" s="62"/>
      <c r="L25" s="44"/>
      <c r="M25" s="58"/>
      <c r="N25" s="45">
        <v>1</v>
      </c>
      <c r="O25" s="45" t="s">
        <v>57</v>
      </c>
      <c r="P25" s="2" t="s">
        <v>43</v>
      </c>
      <c r="Q25" s="2"/>
      <c r="R25" s="116" t="s">
        <v>77</v>
      </c>
      <c r="S25" s="27">
        <v>46164</v>
      </c>
      <c r="T25" t="s">
        <v>45</v>
      </c>
      <c r="U25" s="2" t="s">
        <v>43</v>
      </c>
    </row>
    <row r="26" spans="1:23">
      <c r="A26" s="54">
        <f t="shared" si="2"/>
        <v>25</v>
      </c>
      <c r="B26" s="152" t="s">
        <v>3</v>
      </c>
      <c r="C26" s="4" t="s">
        <v>79</v>
      </c>
      <c r="D26" s="55"/>
      <c r="E26" s="55">
        <v>1</v>
      </c>
      <c r="F26" s="59"/>
      <c r="G26" s="60">
        <v>1</v>
      </c>
      <c r="H26" s="61">
        <v>1</v>
      </c>
      <c r="I26" s="60">
        <v>3</v>
      </c>
      <c r="J26" s="55">
        <f t="shared" si="3"/>
        <v>3</v>
      </c>
      <c r="K26" s="62"/>
      <c r="L26" s="44">
        <v>1</v>
      </c>
      <c r="M26" s="58"/>
      <c r="N26" s="45">
        <v>1</v>
      </c>
      <c r="O26" s="45" t="s">
        <v>57</v>
      </c>
      <c r="P26" s="2" t="s">
        <v>43</v>
      </c>
      <c r="Q26" s="2"/>
      <c r="R26" s="116" t="s">
        <v>77</v>
      </c>
      <c r="S26" s="27">
        <v>46164</v>
      </c>
      <c r="T26" t="s">
        <v>45</v>
      </c>
      <c r="U26" s="2" t="s">
        <v>43</v>
      </c>
    </row>
    <row r="27" spans="1:23">
      <c r="A27" s="54">
        <f t="shared" si="2"/>
        <v>26</v>
      </c>
      <c r="B27" s="152" t="s">
        <v>6</v>
      </c>
      <c r="C27" s="4" t="s">
        <v>80</v>
      </c>
      <c r="D27" s="55"/>
      <c r="E27" s="55">
        <v>1</v>
      </c>
      <c r="F27" s="59"/>
      <c r="G27" s="60"/>
      <c r="H27" s="61">
        <v>1</v>
      </c>
      <c r="I27" s="60">
        <v>3</v>
      </c>
      <c r="J27" s="55">
        <f t="shared" si="3"/>
        <v>3</v>
      </c>
      <c r="K27" s="62"/>
      <c r="L27" s="44"/>
      <c r="M27" s="58">
        <v>1</v>
      </c>
      <c r="N27" s="45"/>
      <c r="O27" s="45" t="s">
        <v>57</v>
      </c>
      <c r="P27" s="2" t="s">
        <v>43</v>
      </c>
      <c r="Q27" s="2"/>
      <c r="R27" s="116" t="s">
        <v>77</v>
      </c>
      <c r="S27" s="27">
        <v>46164</v>
      </c>
      <c r="T27" t="s">
        <v>45</v>
      </c>
      <c r="U27" s="2" t="s">
        <v>43</v>
      </c>
    </row>
    <row r="28" spans="1:23">
      <c r="A28" s="54">
        <f t="shared" si="2"/>
        <v>27</v>
      </c>
      <c r="B28" s="152" t="s">
        <v>13</v>
      </c>
      <c r="C28" s="4" t="s">
        <v>81</v>
      </c>
      <c r="D28" s="55"/>
      <c r="E28" s="55">
        <v>1</v>
      </c>
      <c r="F28" s="59"/>
      <c r="G28" s="60"/>
      <c r="H28" s="61">
        <v>1</v>
      </c>
      <c r="I28" s="60">
        <v>3</v>
      </c>
      <c r="J28" s="55">
        <f t="shared" si="3"/>
        <v>3</v>
      </c>
      <c r="K28" s="62"/>
      <c r="L28" s="44"/>
      <c r="M28" s="58">
        <v>1</v>
      </c>
      <c r="N28" s="45"/>
      <c r="O28" s="45" t="s">
        <v>82</v>
      </c>
      <c r="P28" s="2" t="s">
        <v>43</v>
      </c>
      <c r="Q28" s="2"/>
      <c r="R28" s="116" t="s">
        <v>77</v>
      </c>
      <c r="S28" s="27">
        <v>46164</v>
      </c>
      <c r="T28" t="s">
        <v>45</v>
      </c>
      <c r="U28" s="2" t="s">
        <v>43</v>
      </c>
    </row>
    <row r="29" spans="1:23">
      <c r="A29" s="54">
        <f t="shared" si="2"/>
        <v>28</v>
      </c>
      <c r="B29" s="152" t="s">
        <v>10</v>
      </c>
      <c r="C29" s="4" t="s">
        <v>83</v>
      </c>
      <c r="D29" s="55"/>
      <c r="E29" s="55">
        <v>1</v>
      </c>
      <c r="F29" s="59"/>
      <c r="G29" s="60"/>
      <c r="H29" s="61">
        <v>1</v>
      </c>
      <c r="I29" s="60">
        <v>4</v>
      </c>
      <c r="J29" s="55">
        <f t="shared" si="3"/>
        <v>4</v>
      </c>
      <c r="K29" s="62">
        <v>1</v>
      </c>
      <c r="L29" s="44"/>
      <c r="M29" s="58">
        <v>1</v>
      </c>
      <c r="N29" s="45"/>
      <c r="O29" s="45" t="s">
        <v>82</v>
      </c>
      <c r="P29" s="2" t="s">
        <v>43</v>
      </c>
      <c r="Q29" s="2"/>
      <c r="R29" s="116" t="s">
        <v>77</v>
      </c>
      <c r="S29" s="27">
        <v>46164</v>
      </c>
      <c r="T29" t="s">
        <v>45</v>
      </c>
      <c r="U29" s="2" t="s">
        <v>43</v>
      </c>
      <c r="W29">
        <v>3</v>
      </c>
    </row>
    <row r="30" spans="1:23">
      <c r="A30" s="54">
        <f t="shared" si="2"/>
        <v>29</v>
      </c>
      <c r="B30" s="152" t="s">
        <v>5</v>
      </c>
      <c r="C30" s="4" t="s">
        <v>84</v>
      </c>
      <c r="D30" s="55"/>
      <c r="E30" s="55">
        <v>1</v>
      </c>
      <c r="F30" s="59"/>
      <c r="G30" s="60"/>
      <c r="H30" s="61">
        <v>1</v>
      </c>
      <c r="I30" s="60">
        <v>4</v>
      </c>
      <c r="J30" s="55">
        <f t="shared" si="3"/>
        <v>4</v>
      </c>
      <c r="K30" s="62"/>
      <c r="L30" s="44"/>
      <c r="M30" s="58">
        <v>1</v>
      </c>
      <c r="N30" s="45"/>
      <c r="O30" s="45" t="s">
        <v>85</v>
      </c>
      <c r="P30" s="2" t="s">
        <v>43</v>
      </c>
      <c r="Q30" s="2"/>
      <c r="R30" s="116" t="s">
        <v>77</v>
      </c>
      <c r="S30" s="27">
        <v>46164</v>
      </c>
      <c r="T30" t="s">
        <v>45</v>
      </c>
      <c r="U30" s="2" t="s">
        <v>43</v>
      </c>
      <c r="W30">
        <v>6</v>
      </c>
    </row>
    <row r="31" spans="1:23">
      <c r="A31" s="54">
        <f t="shared" si="2"/>
        <v>30</v>
      </c>
      <c r="B31" s="152" t="s">
        <v>2</v>
      </c>
      <c r="C31" s="4" t="s">
        <v>86</v>
      </c>
      <c r="D31" s="55"/>
      <c r="E31" s="55">
        <v>1</v>
      </c>
      <c r="F31" s="59"/>
      <c r="G31" s="60"/>
      <c r="H31" s="61">
        <v>1</v>
      </c>
      <c r="I31" s="60">
        <v>3</v>
      </c>
      <c r="J31" s="55">
        <f t="shared" si="3"/>
        <v>3</v>
      </c>
      <c r="K31" s="62"/>
      <c r="L31" s="44"/>
      <c r="M31" s="58">
        <v>1</v>
      </c>
      <c r="N31" s="45"/>
      <c r="O31" s="45" t="s">
        <v>85</v>
      </c>
      <c r="P31" s="2" t="s">
        <v>43</v>
      </c>
      <c r="Q31" s="2"/>
      <c r="R31" s="116" t="s">
        <v>77</v>
      </c>
      <c r="S31" s="27">
        <v>46164</v>
      </c>
      <c r="T31" t="s">
        <v>45</v>
      </c>
      <c r="U31" s="2" t="s">
        <v>43</v>
      </c>
    </row>
    <row r="32" spans="1:23">
      <c r="A32" s="54">
        <f t="shared" si="2"/>
        <v>31</v>
      </c>
      <c r="B32" s="152" t="s">
        <v>8</v>
      </c>
      <c r="C32" s="4" t="s">
        <v>87</v>
      </c>
      <c r="D32" s="55"/>
      <c r="E32" s="55">
        <v>1</v>
      </c>
      <c r="F32" s="59"/>
      <c r="G32" s="60"/>
      <c r="H32" s="61">
        <v>1</v>
      </c>
      <c r="I32" s="60">
        <v>3</v>
      </c>
      <c r="J32" s="55">
        <f t="shared" si="3"/>
        <v>3</v>
      </c>
      <c r="K32" s="62"/>
      <c r="L32" s="44"/>
      <c r="M32" s="58">
        <v>1</v>
      </c>
      <c r="N32" s="45"/>
      <c r="O32" s="45" t="s">
        <v>85</v>
      </c>
      <c r="P32" s="2" t="s">
        <v>43</v>
      </c>
      <c r="Q32" s="2"/>
      <c r="R32" s="116" t="s">
        <v>77</v>
      </c>
      <c r="S32" s="27">
        <v>46164</v>
      </c>
      <c r="T32" t="s">
        <v>45</v>
      </c>
      <c r="U32" s="2" t="s">
        <v>43</v>
      </c>
    </row>
    <row r="33" spans="1:23">
      <c r="A33" s="54">
        <f t="shared" si="2"/>
        <v>32</v>
      </c>
      <c r="B33" s="152" t="s">
        <v>2</v>
      </c>
      <c r="C33" s="55" t="s">
        <v>88</v>
      </c>
      <c r="D33" s="55"/>
      <c r="E33" s="55">
        <v>1</v>
      </c>
      <c r="F33" s="59"/>
      <c r="G33" s="60">
        <v>1</v>
      </c>
      <c r="H33" s="61">
        <v>1</v>
      </c>
      <c r="I33" s="60">
        <v>3</v>
      </c>
      <c r="J33" s="55">
        <f t="shared" si="3"/>
        <v>3</v>
      </c>
      <c r="K33" s="62"/>
      <c r="L33" s="44"/>
      <c r="M33" s="58">
        <v>1</v>
      </c>
      <c r="N33" s="45">
        <v>1</v>
      </c>
      <c r="O33" s="45" t="s">
        <v>85</v>
      </c>
      <c r="P33" s="2" t="s">
        <v>43</v>
      </c>
      <c r="Q33" s="2"/>
      <c r="R33" s="116" t="s">
        <v>77</v>
      </c>
      <c r="S33" s="27">
        <v>46164</v>
      </c>
      <c r="T33" t="s">
        <v>45</v>
      </c>
      <c r="U33" s="2" t="s">
        <v>43</v>
      </c>
    </row>
    <row r="34" spans="1:23">
      <c r="A34" s="54">
        <f t="shared" si="2"/>
        <v>33</v>
      </c>
      <c r="B34" s="152" t="s">
        <v>2</v>
      </c>
      <c r="C34" s="6" t="s">
        <v>89</v>
      </c>
      <c r="D34" s="55"/>
      <c r="E34" s="55">
        <v>1</v>
      </c>
      <c r="F34" s="44"/>
      <c r="G34" s="55"/>
      <c r="H34" s="56">
        <v>1</v>
      </c>
      <c r="I34" s="55">
        <v>3</v>
      </c>
      <c r="J34" s="55">
        <f t="shared" si="3"/>
        <v>3</v>
      </c>
      <c r="K34" s="57"/>
      <c r="L34" s="44"/>
      <c r="M34" s="58">
        <v>1</v>
      </c>
      <c r="N34" s="45"/>
      <c r="O34" s="45" t="s">
        <v>57</v>
      </c>
      <c r="P34" s="2" t="s">
        <v>43</v>
      </c>
      <c r="Q34" s="2"/>
      <c r="R34" s="116" t="s">
        <v>44</v>
      </c>
      <c r="S34" s="27">
        <v>46164</v>
      </c>
      <c r="T34" t="s">
        <v>45</v>
      </c>
      <c r="U34" s="2" t="s">
        <v>64</v>
      </c>
    </row>
    <row r="35" spans="1:23">
      <c r="A35" s="54">
        <f t="shared" si="2"/>
        <v>34</v>
      </c>
      <c r="B35" s="152" t="s">
        <v>7</v>
      </c>
      <c r="C35" s="6" t="s">
        <v>90</v>
      </c>
      <c r="D35" s="55"/>
      <c r="E35" s="55">
        <v>1</v>
      </c>
      <c r="F35" s="59"/>
      <c r="G35" s="60"/>
      <c r="H35" s="61">
        <v>1</v>
      </c>
      <c r="I35" s="60">
        <v>1</v>
      </c>
      <c r="J35" s="55">
        <f t="shared" si="3"/>
        <v>1</v>
      </c>
      <c r="K35" s="62"/>
      <c r="L35" s="44"/>
      <c r="M35" s="58">
        <v>1</v>
      </c>
      <c r="N35" s="45"/>
      <c r="O35" s="45" t="s">
        <v>60</v>
      </c>
      <c r="P35" s="2" t="s">
        <v>64</v>
      </c>
      <c r="Q35" s="2"/>
      <c r="R35" s="116" t="s">
        <v>44</v>
      </c>
      <c r="S35" s="27">
        <v>46165</v>
      </c>
      <c r="T35" t="s">
        <v>45</v>
      </c>
      <c r="U35" s="2" t="s">
        <v>43</v>
      </c>
    </row>
    <row r="36" spans="1:23">
      <c r="A36" s="54">
        <f t="shared" si="2"/>
        <v>35</v>
      </c>
      <c r="B36" s="152" t="s">
        <v>11</v>
      </c>
      <c r="C36" s="7" t="s">
        <v>91</v>
      </c>
      <c r="D36" s="55"/>
      <c r="E36" s="55">
        <v>1</v>
      </c>
      <c r="F36" s="59">
        <v>5</v>
      </c>
      <c r="G36" s="60">
        <v>1</v>
      </c>
      <c r="H36" s="61">
        <v>1</v>
      </c>
      <c r="I36" s="60">
        <v>4</v>
      </c>
      <c r="J36" s="55">
        <f t="shared" si="3"/>
        <v>4</v>
      </c>
      <c r="K36" s="62">
        <v>1</v>
      </c>
      <c r="L36" s="44"/>
      <c r="M36" s="58"/>
      <c r="N36" s="45">
        <v>1</v>
      </c>
      <c r="O36" s="45" t="s">
        <v>92</v>
      </c>
      <c r="P36" s="2" t="s">
        <v>43</v>
      </c>
      <c r="Q36" s="2"/>
      <c r="R36" s="116" t="s">
        <v>77</v>
      </c>
      <c r="S36" s="27">
        <v>46165</v>
      </c>
      <c r="T36" t="s">
        <v>45</v>
      </c>
      <c r="U36" s="2" t="s">
        <v>43</v>
      </c>
      <c r="W36">
        <v>2</v>
      </c>
    </row>
    <row r="37" spans="1:23">
      <c r="A37" s="54">
        <f t="shared" si="2"/>
        <v>36</v>
      </c>
      <c r="B37" s="152" t="s">
        <v>10</v>
      </c>
      <c r="C37" s="7" t="s">
        <v>93</v>
      </c>
      <c r="D37" s="55"/>
      <c r="E37" s="55">
        <v>1</v>
      </c>
      <c r="F37" s="59"/>
      <c r="G37" s="60"/>
      <c r="H37" s="61">
        <v>1</v>
      </c>
      <c r="I37" s="60">
        <v>3</v>
      </c>
      <c r="J37" s="55">
        <f t="shared" si="3"/>
        <v>3</v>
      </c>
      <c r="K37" s="62"/>
      <c r="L37" s="44"/>
      <c r="M37" s="58">
        <v>1</v>
      </c>
      <c r="N37" s="45"/>
      <c r="O37" s="45" t="s">
        <v>57</v>
      </c>
      <c r="P37" s="2" t="s">
        <v>43</v>
      </c>
      <c r="Q37" s="2"/>
      <c r="R37" s="3" t="s">
        <v>55</v>
      </c>
      <c r="S37" s="27">
        <v>46165</v>
      </c>
      <c r="T37" t="s">
        <v>45</v>
      </c>
      <c r="U37" s="2" t="s">
        <v>43</v>
      </c>
    </row>
    <row r="38" spans="1:23">
      <c r="A38" s="54">
        <f t="shared" si="2"/>
        <v>37</v>
      </c>
      <c r="B38" s="152" t="s">
        <v>13</v>
      </c>
      <c r="C38" s="7" t="s">
        <v>94</v>
      </c>
      <c r="D38" s="55"/>
      <c r="E38" s="55">
        <v>1</v>
      </c>
      <c r="F38" s="59"/>
      <c r="G38" s="60"/>
      <c r="H38" s="61">
        <v>1</v>
      </c>
      <c r="I38" s="60">
        <v>3</v>
      </c>
      <c r="J38" s="55">
        <f t="shared" si="3"/>
        <v>3</v>
      </c>
      <c r="K38" s="62"/>
      <c r="L38" s="44"/>
      <c r="M38" s="58">
        <v>1</v>
      </c>
      <c r="N38" s="45"/>
      <c r="O38" s="45" t="s">
        <v>57</v>
      </c>
      <c r="P38" s="2" t="s">
        <v>43</v>
      </c>
      <c r="Q38" s="2"/>
      <c r="R38" s="3" t="s">
        <v>55</v>
      </c>
      <c r="S38" s="27">
        <v>46165</v>
      </c>
      <c r="T38" t="s">
        <v>45</v>
      </c>
      <c r="U38" s="2" t="s">
        <v>43</v>
      </c>
    </row>
    <row r="39" spans="1:23">
      <c r="A39" s="54">
        <f t="shared" si="2"/>
        <v>38</v>
      </c>
      <c r="B39" s="152" t="s">
        <v>7</v>
      </c>
      <c r="C39" s="64" t="s">
        <v>95</v>
      </c>
      <c r="D39" s="55"/>
      <c r="E39" s="55">
        <v>1</v>
      </c>
      <c r="F39" s="59"/>
      <c r="G39" s="60"/>
      <c r="H39" s="61">
        <v>1</v>
      </c>
      <c r="I39" s="60">
        <v>2</v>
      </c>
      <c r="J39" s="55">
        <f t="shared" si="3"/>
        <v>2</v>
      </c>
      <c r="K39" s="62"/>
      <c r="L39" s="44"/>
      <c r="M39" s="58">
        <v>1</v>
      </c>
      <c r="N39" s="45"/>
      <c r="O39" s="45" t="s">
        <v>42</v>
      </c>
      <c r="P39" s="2" t="s">
        <v>43</v>
      </c>
      <c r="Q39" s="2"/>
      <c r="R39" s="3" t="s">
        <v>55</v>
      </c>
      <c r="S39" s="27">
        <v>46165</v>
      </c>
      <c r="T39" t="s">
        <v>45</v>
      </c>
      <c r="U39" s="2" t="s">
        <v>43</v>
      </c>
    </row>
    <row r="40" spans="1:23">
      <c r="A40" s="54">
        <f t="shared" si="2"/>
        <v>39</v>
      </c>
      <c r="B40" s="152" t="s">
        <v>7</v>
      </c>
      <c r="C40" s="6" t="s">
        <v>96</v>
      </c>
      <c r="D40" s="55"/>
      <c r="E40" s="55">
        <v>1</v>
      </c>
      <c r="F40" s="59"/>
      <c r="G40" s="60"/>
      <c r="H40" s="61">
        <v>1</v>
      </c>
      <c r="I40" s="60">
        <v>2</v>
      </c>
      <c r="J40" s="55">
        <f t="shared" si="3"/>
        <v>2</v>
      </c>
      <c r="K40" s="62"/>
      <c r="L40" s="44"/>
      <c r="M40" s="58">
        <v>1</v>
      </c>
      <c r="N40" s="45"/>
      <c r="O40" s="45" t="s">
        <v>72</v>
      </c>
      <c r="P40" s="2" t="s">
        <v>43</v>
      </c>
      <c r="Q40" s="2"/>
      <c r="R40" t="s">
        <v>97</v>
      </c>
      <c r="S40" s="27">
        <v>46165</v>
      </c>
      <c r="T40" t="s">
        <v>45</v>
      </c>
      <c r="U40" s="2" t="s">
        <v>43</v>
      </c>
    </row>
    <row r="41" spans="1:23">
      <c r="A41" s="54">
        <f t="shared" si="2"/>
        <v>40</v>
      </c>
      <c r="B41" s="152" t="s">
        <v>5</v>
      </c>
      <c r="C41" s="6" t="s">
        <v>98</v>
      </c>
      <c r="D41" s="55"/>
      <c r="E41" s="55">
        <v>1</v>
      </c>
      <c r="F41" s="59">
        <v>10</v>
      </c>
      <c r="G41" s="60">
        <v>3</v>
      </c>
      <c r="H41" s="61">
        <v>1</v>
      </c>
      <c r="I41" s="60">
        <v>3</v>
      </c>
      <c r="J41" s="55">
        <f t="shared" si="3"/>
        <v>3</v>
      </c>
      <c r="K41" s="62"/>
      <c r="L41" s="44"/>
      <c r="M41" s="58"/>
      <c r="N41" s="45">
        <v>1</v>
      </c>
      <c r="O41" s="45" t="s">
        <v>85</v>
      </c>
      <c r="P41" s="2" t="s">
        <v>43</v>
      </c>
      <c r="Q41" s="2"/>
      <c r="R41" s="116" t="s">
        <v>99</v>
      </c>
      <c r="S41" s="27">
        <v>46165</v>
      </c>
      <c r="T41" t="s">
        <v>45</v>
      </c>
      <c r="U41" s="2" t="s">
        <v>43</v>
      </c>
    </row>
    <row r="42" spans="1:23">
      <c r="A42" s="54">
        <f t="shared" si="2"/>
        <v>41</v>
      </c>
      <c r="B42" s="152" t="s">
        <v>5</v>
      </c>
      <c r="C42" s="6" t="s">
        <v>100</v>
      </c>
      <c r="D42" s="55"/>
      <c r="E42" s="55">
        <v>1</v>
      </c>
      <c r="F42" s="59"/>
      <c r="G42" s="60"/>
      <c r="H42" s="61">
        <v>1</v>
      </c>
      <c r="I42" s="60">
        <v>3</v>
      </c>
      <c r="J42" s="55">
        <f t="shared" si="3"/>
        <v>3</v>
      </c>
      <c r="K42" s="62"/>
      <c r="L42" s="44"/>
      <c r="M42" s="58">
        <v>1</v>
      </c>
      <c r="N42" s="45"/>
      <c r="O42" s="45" t="s">
        <v>85</v>
      </c>
      <c r="P42" s="2" t="s">
        <v>43</v>
      </c>
      <c r="Q42" s="2"/>
      <c r="R42" t="s">
        <v>97</v>
      </c>
      <c r="S42" s="27">
        <v>46165</v>
      </c>
      <c r="T42" t="s">
        <v>45</v>
      </c>
      <c r="U42" s="2" t="s">
        <v>43</v>
      </c>
    </row>
    <row r="43" spans="1:23">
      <c r="A43" s="54">
        <f t="shared" si="2"/>
        <v>42</v>
      </c>
      <c r="B43" s="152" t="s">
        <v>5</v>
      </c>
      <c r="C43" s="6" t="s">
        <v>101</v>
      </c>
      <c r="D43" s="55"/>
      <c r="E43" s="55">
        <v>1</v>
      </c>
      <c r="F43" s="59"/>
      <c r="G43" s="60"/>
      <c r="H43" s="61">
        <v>1</v>
      </c>
      <c r="I43" s="60">
        <v>3</v>
      </c>
      <c r="J43" s="55">
        <f t="shared" si="3"/>
        <v>3</v>
      </c>
      <c r="K43" s="62"/>
      <c r="L43" s="44"/>
      <c r="M43" s="58">
        <v>1</v>
      </c>
      <c r="N43" s="45"/>
      <c r="O43" s="45" t="s">
        <v>69</v>
      </c>
      <c r="P43" s="2" t="s">
        <v>64</v>
      </c>
      <c r="Q43" t="s">
        <v>102</v>
      </c>
      <c r="R43" t="s">
        <v>97</v>
      </c>
      <c r="S43" s="27">
        <v>46165</v>
      </c>
      <c r="T43" t="s">
        <v>45</v>
      </c>
      <c r="U43" s="2" t="s">
        <v>64</v>
      </c>
      <c r="V43" t="s">
        <v>102</v>
      </c>
    </row>
    <row r="44" spans="1:23">
      <c r="A44" s="54">
        <f t="shared" si="2"/>
        <v>43</v>
      </c>
      <c r="B44" s="152" t="s">
        <v>4</v>
      </c>
      <c r="C44" s="7" t="s">
        <v>103</v>
      </c>
      <c r="D44" s="55"/>
      <c r="E44" s="55">
        <v>1</v>
      </c>
      <c r="F44" s="59"/>
      <c r="G44" s="60"/>
      <c r="H44" s="61">
        <v>1</v>
      </c>
      <c r="I44" s="60">
        <v>2</v>
      </c>
      <c r="J44" s="55">
        <f t="shared" si="3"/>
        <v>2</v>
      </c>
      <c r="K44" s="62"/>
      <c r="L44" s="44"/>
      <c r="M44" s="58">
        <v>1</v>
      </c>
      <c r="N44" s="45"/>
      <c r="O44" s="45" t="s">
        <v>60</v>
      </c>
      <c r="P44" s="2" t="s">
        <v>43</v>
      </c>
      <c r="Q44" s="2"/>
      <c r="R44" s="116" t="s">
        <v>44</v>
      </c>
      <c r="S44" s="27">
        <v>46165</v>
      </c>
      <c r="T44" t="s">
        <v>45</v>
      </c>
      <c r="U44" s="2" t="s">
        <v>43</v>
      </c>
    </row>
    <row r="45" spans="1:23">
      <c r="A45" s="54">
        <f t="shared" si="2"/>
        <v>44</v>
      </c>
      <c r="B45" s="152" t="s">
        <v>8</v>
      </c>
      <c r="C45" s="6" t="s">
        <v>104</v>
      </c>
      <c r="D45" s="55"/>
      <c r="E45" s="55">
        <v>1</v>
      </c>
      <c r="F45" s="59"/>
      <c r="G45" s="60"/>
      <c r="H45" s="61">
        <v>1</v>
      </c>
      <c r="I45" s="60">
        <v>3</v>
      </c>
      <c r="J45" s="55">
        <f t="shared" si="3"/>
        <v>3</v>
      </c>
      <c r="K45" s="62"/>
      <c r="L45" s="44"/>
      <c r="M45" s="58">
        <v>1</v>
      </c>
      <c r="N45" s="45"/>
      <c r="O45" s="45" t="s">
        <v>92</v>
      </c>
      <c r="P45" s="2" t="s">
        <v>43</v>
      </c>
      <c r="Q45" s="2"/>
      <c r="R45" s="3" t="s">
        <v>55</v>
      </c>
      <c r="S45" s="27">
        <v>46165</v>
      </c>
      <c r="T45" t="s">
        <v>45</v>
      </c>
      <c r="U45" s="2" t="s">
        <v>43</v>
      </c>
    </row>
    <row r="46" spans="1:23">
      <c r="A46" s="54">
        <f t="shared" si="2"/>
        <v>45</v>
      </c>
      <c r="B46" s="152" t="s">
        <v>6</v>
      </c>
      <c r="C46" s="6" t="s">
        <v>105</v>
      </c>
      <c r="D46" s="55"/>
      <c r="E46" s="55">
        <v>1</v>
      </c>
      <c r="F46" s="59">
        <v>6</v>
      </c>
      <c r="G46" s="60">
        <v>3</v>
      </c>
      <c r="H46" s="61">
        <v>1</v>
      </c>
      <c r="I46" s="60">
        <v>3</v>
      </c>
      <c r="J46" s="55">
        <f t="shared" si="3"/>
        <v>3</v>
      </c>
      <c r="K46" s="62"/>
      <c r="L46" s="44"/>
      <c r="M46" s="58"/>
      <c r="N46" s="45">
        <v>1</v>
      </c>
      <c r="O46" s="45" t="s">
        <v>92</v>
      </c>
      <c r="P46" s="2" t="s">
        <v>43</v>
      </c>
      <c r="Q46" s="2"/>
      <c r="R46" s="3" t="s">
        <v>55</v>
      </c>
      <c r="S46" s="27">
        <v>46165</v>
      </c>
      <c r="T46" t="s">
        <v>45</v>
      </c>
      <c r="U46" s="2" t="s">
        <v>43</v>
      </c>
    </row>
    <row r="47" spans="1:23" ht="39">
      <c r="A47" s="54">
        <f t="shared" si="2"/>
        <v>46</v>
      </c>
      <c r="B47" s="152" t="s">
        <v>9</v>
      </c>
      <c r="C47" s="9" t="s">
        <v>106</v>
      </c>
      <c r="D47" s="8"/>
      <c r="E47" s="8">
        <v>1</v>
      </c>
      <c r="F47" s="8">
        <v>8</v>
      </c>
      <c r="G47" s="8">
        <v>3</v>
      </c>
      <c r="H47" s="24">
        <v>5</v>
      </c>
      <c r="I47" s="25">
        <v>4</v>
      </c>
      <c r="J47" s="55">
        <f t="shared" si="3"/>
        <v>20</v>
      </c>
      <c r="K47" s="91">
        <v>1</v>
      </c>
      <c r="L47" s="92"/>
      <c r="M47" s="65">
        <v>1</v>
      </c>
      <c r="N47" s="8">
        <v>1</v>
      </c>
      <c r="O47" s="66" t="s">
        <v>42</v>
      </c>
      <c r="P47" s="2" t="s">
        <v>43</v>
      </c>
      <c r="Q47" s="46"/>
      <c r="R47" s="9" t="s">
        <v>55</v>
      </c>
      <c r="S47" s="27">
        <v>46167</v>
      </c>
      <c r="T47" t="s">
        <v>45</v>
      </c>
      <c r="U47" s="2" t="s">
        <v>43</v>
      </c>
    </row>
    <row r="48" spans="1:23" ht="26.25">
      <c r="A48" s="54">
        <f t="shared" si="2"/>
        <v>47</v>
      </c>
      <c r="B48" s="152" t="s">
        <v>4</v>
      </c>
      <c r="C48" s="10" t="s">
        <v>107</v>
      </c>
      <c r="D48" s="8"/>
      <c r="E48" s="8">
        <v>1</v>
      </c>
      <c r="F48" s="8"/>
      <c r="G48" s="8"/>
      <c r="H48" s="24">
        <v>1</v>
      </c>
      <c r="I48" s="25">
        <v>3</v>
      </c>
      <c r="J48" s="55">
        <f t="shared" si="3"/>
        <v>3</v>
      </c>
      <c r="K48" s="8"/>
      <c r="L48" s="8"/>
      <c r="M48" s="65">
        <v>1</v>
      </c>
      <c r="N48" s="8"/>
      <c r="O48" s="66" t="s">
        <v>108</v>
      </c>
      <c r="P48" s="2" t="s">
        <v>43</v>
      </c>
      <c r="Q48" s="46"/>
      <c r="R48" s="116" t="s">
        <v>99</v>
      </c>
      <c r="S48" s="27">
        <v>46167</v>
      </c>
      <c r="T48" t="s">
        <v>45</v>
      </c>
      <c r="U48" s="2" t="s">
        <v>43</v>
      </c>
    </row>
    <row r="49" spans="1:21">
      <c r="A49" s="54">
        <f t="shared" si="2"/>
        <v>48</v>
      </c>
      <c r="B49" s="152" t="s">
        <v>8</v>
      </c>
      <c r="C49" s="10" t="s">
        <v>109</v>
      </c>
      <c r="D49" s="8"/>
      <c r="E49" s="18">
        <v>1</v>
      </c>
      <c r="F49" s="8"/>
      <c r="G49" s="25"/>
      <c r="H49" s="24">
        <v>1</v>
      </c>
      <c r="I49" s="25">
        <v>3</v>
      </c>
      <c r="J49" s="55">
        <f t="shared" si="3"/>
        <v>3</v>
      </c>
      <c r="K49" s="8"/>
      <c r="L49" s="8"/>
      <c r="M49" s="65">
        <v>1</v>
      </c>
      <c r="N49" s="8"/>
      <c r="O49" s="66" t="s">
        <v>108</v>
      </c>
      <c r="P49" s="2" t="s">
        <v>43</v>
      </c>
      <c r="Q49" s="46"/>
      <c r="R49" s="116" t="s">
        <v>99</v>
      </c>
      <c r="S49" s="27">
        <v>46167</v>
      </c>
      <c r="T49" t="s">
        <v>45</v>
      </c>
      <c r="U49" s="2" t="s">
        <v>64</v>
      </c>
    </row>
    <row r="50" spans="1:21">
      <c r="A50" s="54">
        <f t="shared" si="2"/>
        <v>49</v>
      </c>
      <c r="B50" s="152" t="s">
        <v>4</v>
      </c>
      <c r="C50" s="11" t="s">
        <v>110</v>
      </c>
      <c r="D50" s="8"/>
      <c r="E50" s="18">
        <v>1</v>
      </c>
      <c r="F50" s="8"/>
      <c r="G50" s="25"/>
      <c r="H50" s="24">
        <v>1</v>
      </c>
      <c r="I50" s="25">
        <v>3</v>
      </c>
      <c r="J50" s="55">
        <f t="shared" si="3"/>
        <v>3</v>
      </c>
      <c r="K50" s="8"/>
      <c r="L50" s="8"/>
      <c r="M50" s="65">
        <v>1</v>
      </c>
      <c r="N50" s="8"/>
      <c r="O50" s="66" t="s">
        <v>60</v>
      </c>
      <c r="P50" s="2" t="s">
        <v>43</v>
      </c>
      <c r="Q50" s="46"/>
      <c r="R50" s="116" t="s">
        <v>44</v>
      </c>
      <c r="S50" s="27">
        <v>46167</v>
      </c>
      <c r="T50" t="s">
        <v>45</v>
      </c>
      <c r="U50" s="2" t="s">
        <v>64</v>
      </c>
    </row>
    <row r="51" spans="1:21">
      <c r="A51" s="54">
        <f t="shared" si="2"/>
        <v>50</v>
      </c>
      <c r="B51" s="152" t="s">
        <v>7</v>
      </c>
      <c r="C51" s="11" t="s">
        <v>111</v>
      </c>
      <c r="D51" s="8"/>
      <c r="E51" s="18">
        <v>1</v>
      </c>
      <c r="F51" s="8"/>
      <c r="G51" s="25"/>
      <c r="H51" s="24">
        <v>1</v>
      </c>
      <c r="I51" s="25">
        <v>1</v>
      </c>
      <c r="J51" s="55">
        <f t="shared" si="3"/>
        <v>1</v>
      </c>
      <c r="K51" s="8"/>
      <c r="L51" s="8"/>
      <c r="M51" s="65">
        <v>1</v>
      </c>
      <c r="N51" s="8"/>
      <c r="O51" s="66" t="s">
        <v>60</v>
      </c>
      <c r="P51" s="2" t="s">
        <v>43</v>
      </c>
      <c r="Q51" s="46"/>
      <c r="R51" s="116" t="s">
        <v>44</v>
      </c>
      <c r="S51" s="27">
        <v>46167</v>
      </c>
      <c r="T51" t="s">
        <v>45</v>
      </c>
      <c r="U51" s="2" t="s">
        <v>64</v>
      </c>
    </row>
    <row r="52" spans="1:21">
      <c r="A52" s="54">
        <f t="shared" si="2"/>
        <v>51</v>
      </c>
      <c r="B52" s="152" t="s">
        <v>4</v>
      </c>
      <c r="C52" s="11" t="s">
        <v>112</v>
      </c>
      <c r="D52" s="8"/>
      <c r="E52" s="18">
        <v>1</v>
      </c>
      <c r="F52" s="8"/>
      <c r="G52" s="25"/>
      <c r="H52" s="24">
        <v>1</v>
      </c>
      <c r="I52" s="25">
        <v>3</v>
      </c>
      <c r="J52" s="55">
        <f t="shared" si="3"/>
        <v>3</v>
      </c>
      <c r="K52" s="8"/>
      <c r="L52" s="8"/>
      <c r="M52" s="65">
        <v>1</v>
      </c>
      <c r="N52" s="8"/>
      <c r="O52" s="66" t="s">
        <v>60</v>
      </c>
      <c r="P52" s="2" t="s">
        <v>43</v>
      </c>
      <c r="Q52" s="46"/>
      <c r="R52" s="116" t="s">
        <v>44</v>
      </c>
      <c r="S52" s="27">
        <v>46167</v>
      </c>
      <c r="T52" t="s">
        <v>45</v>
      </c>
      <c r="U52" s="2" t="s">
        <v>64</v>
      </c>
    </row>
    <row r="53" spans="1:21">
      <c r="A53" s="54">
        <f t="shared" si="2"/>
        <v>52</v>
      </c>
      <c r="B53" s="152" t="s">
        <v>4</v>
      </c>
      <c r="C53" s="11" t="s">
        <v>113</v>
      </c>
      <c r="D53" s="8"/>
      <c r="E53" s="18">
        <v>1</v>
      </c>
      <c r="F53" s="8"/>
      <c r="G53" s="25"/>
      <c r="H53" s="24">
        <v>1</v>
      </c>
      <c r="I53" s="25">
        <v>3</v>
      </c>
      <c r="J53" s="55">
        <f t="shared" si="3"/>
        <v>3</v>
      </c>
      <c r="K53" s="8"/>
      <c r="L53" s="8"/>
      <c r="M53" s="65">
        <v>1</v>
      </c>
      <c r="N53" s="8"/>
      <c r="O53" s="66" t="s">
        <v>60</v>
      </c>
      <c r="P53" s="2" t="s">
        <v>43</v>
      </c>
      <c r="Q53" s="46"/>
      <c r="R53" s="116" t="s">
        <v>44</v>
      </c>
      <c r="S53" s="27">
        <v>46167</v>
      </c>
      <c r="T53" t="s">
        <v>45</v>
      </c>
      <c r="U53" s="2" t="s">
        <v>43</v>
      </c>
    </row>
    <row r="54" spans="1:21" ht="39">
      <c r="A54" s="54">
        <f t="shared" si="2"/>
        <v>53</v>
      </c>
      <c r="B54" s="152" t="s">
        <v>5</v>
      </c>
      <c r="C54" s="10" t="s">
        <v>114</v>
      </c>
      <c r="D54" s="8"/>
      <c r="E54" s="18">
        <v>1</v>
      </c>
      <c r="F54" s="8"/>
      <c r="G54" s="25"/>
      <c r="H54" s="24">
        <v>1</v>
      </c>
      <c r="I54" s="25">
        <v>1</v>
      </c>
      <c r="J54" s="55">
        <f t="shared" si="3"/>
        <v>1</v>
      </c>
      <c r="K54" s="8"/>
      <c r="L54" s="8"/>
      <c r="M54" s="65">
        <v>1</v>
      </c>
      <c r="N54" s="8"/>
      <c r="O54" s="45" t="s">
        <v>72</v>
      </c>
      <c r="P54" s="2" t="s">
        <v>43</v>
      </c>
      <c r="Q54" s="46"/>
      <c r="R54" t="s">
        <v>97</v>
      </c>
      <c r="S54" s="27">
        <v>46167</v>
      </c>
      <c r="T54" t="s">
        <v>45</v>
      </c>
      <c r="U54" s="2" t="s">
        <v>43</v>
      </c>
    </row>
    <row r="55" spans="1:21">
      <c r="A55" s="54">
        <f t="shared" si="2"/>
        <v>54</v>
      </c>
      <c r="B55" s="152" t="s">
        <v>3</v>
      </c>
      <c r="C55" s="11" t="s">
        <v>115</v>
      </c>
      <c r="D55" s="8"/>
      <c r="E55" s="18">
        <v>1</v>
      </c>
      <c r="F55" s="8">
        <v>8</v>
      </c>
      <c r="G55" s="8">
        <v>1</v>
      </c>
      <c r="H55" s="24">
        <v>1</v>
      </c>
      <c r="I55" s="25">
        <v>3</v>
      </c>
      <c r="J55" s="55">
        <f t="shared" si="3"/>
        <v>3</v>
      </c>
      <c r="K55" s="8"/>
      <c r="L55" s="8">
        <v>1</v>
      </c>
      <c r="M55" s="8"/>
      <c r="N55" s="8">
        <v>1</v>
      </c>
      <c r="O55" s="45" t="s">
        <v>72</v>
      </c>
      <c r="P55" s="2" t="s">
        <v>43</v>
      </c>
      <c r="Q55" s="46"/>
      <c r="R55" t="s">
        <v>97</v>
      </c>
      <c r="S55" s="27">
        <v>46167</v>
      </c>
      <c r="T55" t="s">
        <v>45</v>
      </c>
      <c r="U55" s="2" t="s">
        <v>43</v>
      </c>
    </row>
    <row r="56" spans="1:21">
      <c r="A56" s="54">
        <f t="shared" si="2"/>
        <v>55</v>
      </c>
      <c r="B56" s="152" t="s">
        <v>7</v>
      </c>
      <c r="C56" s="11" t="s">
        <v>116</v>
      </c>
      <c r="D56" s="8"/>
      <c r="E56" s="18">
        <v>1</v>
      </c>
      <c r="F56" s="8"/>
      <c r="G56" s="25"/>
      <c r="H56" s="24">
        <v>1</v>
      </c>
      <c r="I56" s="25">
        <v>2</v>
      </c>
      <c r="J56" s="55">
        <f t="shared" si="3"/>
        <v>2</v>
      </c>
      <c r="K56" s="8"/>
      <c r="L56" s="8"/>
      <c r="M56" s="68">
        <v>1</v>
      </c>
      <c r="N56" s="42"/>
      <c r="O56" s="45" t="s">
        <v>72</v>
      </c>
      <c r="P56" s="2" t="s">
        <v>43</v>
      </c>
      <c r="Q56" s="46"/>
      <c r="R56" t="s">
        <v>97</v>
      </c>
      <c r="S56" s="27">
        <v>46167</v>
      </c>
      <c r="T56" t="s">
        <v>45</v>
      </c>
      <c r="U56" s="2" t="s">
        <v>43</v>
      </c>
    </row>
    <row r="57" spans="1:21">
      <c r="A57" s="54">
        <f t="shared" si="2"/>
        <v>56</v>
      </c>
      <c r="B57" s="152" t="s">
        <v>3</v>
      </c>
      <c r="C57" s="11" t="s">
        <v>117</v>
      </c>
      <c r="D57" s="8"/>
      <c r="E57" s="8"/>
      <c r="F57" s="8">
        <v>3</v>
      </c>
      <c r="G57" s="8">
        <v>6</v>
      </c>
      <c r="H57" s="24">
        <v>1</v>
      </c>
      <c r="I57" s="25">
        <v>2</v>
      </c>
      <c r="J57" s="55">
        <f t="shared" si="3"/>
        <v>2</v>
      </c>
      <c r="K57" s="8"/>
      <c r="L57" s="8">
        <v>1</v>
      </c>
      <c r="M57" s="8"/>
      <c r="N57" s="8"/>
      <c r="O57" s="45" t="s">
        <v>72</v>
      </c>
      <c r="P57" s="2" t="s">
        <v>43</v>
      </c>
      <c r="Q57" s="46"/>
      <c r="R57" t="s">
        <v>97</v>
      </c>
      <c r="S57" s="27">
        <v>46167</v>
      </c>
      <c r="T57" t="s">
        <v>45</v>
      </c>
      <c r="U57" s="2" t="s">
        <v>43</v>
      </c>
    </row>
    <row r="58" spans="1:21">
      <c r="A58" s="54">
        <f t="shared" si="2"/>
        <v>57</v>
      </c>
      <c r="B58" s="152" t="s">
        <v>5</v>
      </c>
      <c r="C58" s="10" t="s">
        <v>118</v>
      </c>
      <c r="D58" s="8"/>
      <c r="E58" s="18">
        <v>1</v>
      </c>
      <c r="F58" s="8"/>
      <c r="G58" s="25"/>
      <c r="H58" s="24">
        <v>1</v>
      </c>
      <c r="I58" s="25">
        <v>3</v>
      </c>
      <c r="J58" s="55">
        <f t="shared" si="3"/>
        <v>3</v>
      </c>
      <c r="K58" s="8"/>
      <c r="L58" s="8"/>
      <c r="M58" s="68">
        <v>1</v>
      </c>
      <c r="N58" s="42"/>
      <c r="O58" s="45" t="s">
        <v>57</v>
      </c>
      <c r="P58" s="2" t="s">
        <v>43</v>
      </c>
      <c r="Q58" s="46"/>
      <c r="R58" s="10" t="s">
        <v>55</v>
      </c>
      <c r="S58" s="27">
        <v>46167</v>
      </c>
      <c r="T58" t="s">
        <v>45</v>
      </c>
      <c r="U58" s="2" t="s">
        <v>43</v>
      </c>
    </row>
    <row r="59" spans="1:21">
      <c r="A59" s="54">
        <f t="shared" si="2"/>
        <v>58</v>
      </c>
      <c r="B59" s="152" t="s">
        <v>2</v>
      </c>
      <c r="C59" s="10" t="s">
        <v>119</v>
      </c>
      <c r="D59" s="8"/>
      <c r="E59" s="18">
        <v>1</v>
      </c>
      <c r="F59" s="8"/>
      <c r="G59" s="25"/>
      <c r="H59" s="24">
        <v>1</v>
      </c>
      <c r="I59" s="25">
        <v>3</v>
      </c>
      <c r="J59" s="55">
        <f t="shared" si="3"/>
        <v>3</v>
      </c>
      <c r="K59" s="8"/>
      <c r="L59" s="8"/>
      <c r="M59" s="8">
        <v>1</v>
      </c>
      <c r="N59" s="25"/>
      <c r="O59" s="45" t="s">
        <v>57</v>
      </c>
      <c r="P59" s="2" t="s">
        <v>43</v>
      </c>
      <c r="Q59" s="46"/>
      <c r="R59" s="10" t="s">
        <v>55</v>
      </c>
      <c r="S59" s="27">
        <v>46167</v>
      </c>
      <c r="T59" t="s">
        <v>45</v>
      </c>
      <c r="U59" s="2" t="s">
        <v>43</v>
      </c>
    </row>
    <row r="60" spans="1:21">
      <c r="A60" s="54">
        <f t="shared" si="2"/>
        <v>59</v>
      </c>
      <c r="B60" s="152" t="s">
        <v>6</v>
      </c>
      <c r="C60" s="11" t="s">
        <v>120</v>
      </c>
      <c r="D60" s="8"/>
      <c r="E60" s="18">
        <v>1</v>
      </c>
      <c r="F60" s="8"/>
      <c r="G60" s="25"/>
      <c r="H60" s="24">
        <v>1</v>
      </c>
      <c r="I60" s="25">
        <v>3</v>
      </c>
      <c r="J60" s="55">
        <f t="shared" si="3"/>
        <v>3</v>
      </c>
      <c r="K60" s="8"/>
      <c r="L60" s="8"/>
      <c r="M60" s="68">
        <v>1</v>
      </c>
      <c r="N60" s="42"/>
      <c r="O60" s="66" t="s">
        <v>108</v>
      </c>
      <c r="P60" s="2" t="s">
        <v>43</v>
      </c>
      <c r="Q60" s="46"/>
      <c r="R60" s="116" t="s">
        <v>99</v>
      </c>
      <c r="S60" s="27">
        <v>46167</v>
      </c>
      <c r="T60" t="s">
        <v>45</v>
      </c>
      <c r="U60" s="2" t="s">
        <v>43</v>
      </c>
    </row>
    <row r="61" spans="1:21">
      <c r="A61" s="54">
        <f t="shared" si="2"/>
        <v>60</v>
      </c>
      <c r="B61" s="152" t="s">
        <v>4</v>
      </c>
      <c r="C61" s="11" t="s">
        <v>121</v>
      </c>
      <c r="D61" s="8"/>
      <c r="E61" s="18">
        <v>1</v>
      </c>
      <c r="F61" s="8"/>
      <c r="G61" s="25"/>
      <c r="H61" s="24">
        <v>1</v>
      </c>
      <c r="I61" s="25">
        <v>2</v>
      </c>
      <c r="J61" s="55">
        <f t="shared" si="3"/>
        <v>2</v>
      </c>
      <c r="K61" s="8"/>
      <c r="L61" s="8"/>
      <c r="M61" s="8">
        <v>1</v>
      </c>
      <c r="N61" s="25"/>
      <c r="O61" s="66" t="s">
        <v>108</v>
      </c>
      <c r="P61" s="2" t="s">
        <v>43</v>
      </c>
      <c r="Q61" s="46"/>
      <c r="R61" s="116" t="s">
        <v>99</v>
      </c>
      <c r="S61" s="27">
        <v>46167</v>
      </c>
      <c r="T61" t="s">
        <v>45</v>
      </c>
      <c r="U61" s="2" t="s">
        <v>43</v>
      </c>
    </row>
    <row r="62" spans="1:21">
      <c r="A62" s="54">
        <f t="shared" si="2"/>
        <v>61</v>
      </c>
      <c r="B62" s="152" t="s">
        <v>8</v>
      </c>
      <c r="C62" s="11" t="s">
        <v>122</v>
      </c>
      <c r="D62" s="8"/>
      <c r="E62" s="8"/>
      <c r="F62" s="8"/>
      <c r="G62" s="25"/>
      <c r="H62" s="24">
        <v>1</v>
      </c>
      <c r="I62" s="25">
        <v>2</v>
      </c>
      <c r="J62" s="55">
        <f t="shared" si="3"/>
        <v>2</v>
      </c>
      <c r="K62" s="8"/>
      <c r="L62" s="8"/>
      <c r="M62" s="68">
        <v>1</v>
      </c>
      <c r="N62" s="42"/>
      <c r="O62" s="66" t="s">
        <v>108</v>
      </c>
      <c r="P62" s="2" t="s">
        <v>43</v>
      </c>
      <c r="Q62" s="46"/>
      <c r="R62" s="116" t="s">
        <v>99</v>
      </c>
      <c r="S62" s="27">
        <v>46167</v>
      </c>
      <c r="T62" t="s">
        <v>45</v>
      </c>
      <c r="U62" s="2" t="s">
        <v>43</v>
      </c>
    </row>
    <row r="63" spans="1:21">
      <c r="A63" s="54">
        <f t="shared" si="2"/>
        <v>62</v>
      </c>
      <c r="B63" s="152" t="s">
        <v>5</v>
      </c>
      <c r="C63" s="10" t="s">
        <v>123</v>
      </c>
      <c r="D63" s="8"/>
      <c r="E63" s="18">
        <v>1</v>
      </c>
      <c r="F63" s="8"/>
      <c r="G63" s="25"/>
      <c r="H63" s="24">
        <v>1</v>
      </c>
      <c r="I63" s="25">
        <v>2</v>
      </c>
      <c r="J63" s="55">
        <f t="shared" si="3"/>
        <v>2</v>
      </c>
      <c r="K63" s="8"/>
      <c r="L63" s="8"/>
      <c r="M63" s="8">
        <v>1</v>
      </c>
      <c r="N63" s="25"/>
      <c r="O63" s="66" t="s">
        <v>124</v>
      </c>
      <c r="P63" s="2" t="s">
        <v>43</v>
      </c>
      <c r="Q63" s="46"/>
      <c r="R63" s="116" t="s">
        <v>77</v>
      </c>
      <c r="S63" s="27">
        <v>46167</v>
      </c>
      <c r="T63" t="s">
        <v>45</v>
      </c>
      <c r="U63" s="2" t="s">
        <v>43</v>
      </c>
    </row>
    <row r="64" spans="1:21">
      <c r="A64" s="54">
        <f t="shared" si="2"/>
        <v>63</v>
      </c>
      <c r="B64" s="152" t="s">
        <v>5</v>
      </c>
      <c r="C64" s="10" t="s">
        <v>125</v>
      </c>
      <c r="D64" s="8"/>
      <c r="E64" s="18">
        <v>1</v>
      </c>
      <c r="F64" s="8"/>
      <c r="G64" s="25"/>
      <c r="H64" s="24">
        <v>1</v>
      </c>
      <c r="I64" s="25">
        <v>3</v>
      </c>
      <c r="J64" s="55">
        <f t="shared" si="3"/>
        <v>3</v>
      </c>
      <c r="K64" s="8"/>
      <c r="L64" s="8"/>
      <c r="M64" s="68">
        <v>1</v>
      </c>
      <c r="N64" s="42"/>
      <c r="O64" s="45" t="s">
        <v>92</v>
      </c>
      <c r="P64" s="12" t="s">
        <v>43</v>
      </c>
      <c r="Q64" s="46"/>
      <c r="R64" s="116" t="s">
        <v>77</v>
      </c>
      <c r="S64" s="27">
        <v>46167</v>
      </c>
      <c r="T64" t="s">
        <v>45</v>
      </c>
      <c r="U64" s="12" t="s">
        <v>43</v>
      </c>
    </row>
    <row r="65" spans="1:21">
      <c r="A65" s="54">
        <f t="shared" si="2"/>
        <v>64</v>
      </c>
      <c r="B65" s="152" t="s">
        <v>2</v>
      </c>
      <c r="C65" s="10" t="s">
        <v>126</v>
      </c>
      <c r="D65" s="8"/>
      <c r="E65" s="18">
        <v>1</v>
      </c>
      <c r="F65" s="8"/>
      <c r="G65" s="25"/>
      <c r="H65" s="24">
        <v>1</v>
      </c>
      <c r="I65" s="25">
        <v>3</v>
      </c>
      <c r="J65" s="55">
        <f t="shared" si="3"/>
        <v>3</v>
      </c>
      <c r="K65" s="8"/>
      <c r="L65" s="8"/>
      <c r="M65" s="8">
        <v>1</v>
      </c>
      <c r="N65" s="25"/>
      <c r="O65" s="66" t="s">
        <v>124</v>
      </c>
      <c r="P65" s="2" t="s">
        <v>43</v>
      </c>
      <c r="Q65" s="46"/>
      <c r="R65" s="116" t="s">
        <v>77</v>
      </c>
      <c r="S65" s="27">
        <v>46167</v>
      </c>
      <c r="T65" t="s">
        <v>45</v>
      </c>
      <c r="U65" s="2" t="s">
        <v>43</v>
      </c>
    </row>
    <row r="66" spans="1:21">
      <c r="A66" s="54">
        <f t="shared" si="2"/>
        <v>65</v>
      </c>
      <c r="B66" s="152" t="s">
        <v>7</v>
      </c>
      <c r="C66" s="10" t="s">
        <v>127</v>
      </c>
      <c r="D66" s="8"/>
      <c r="E66" s="18">
        <v>1</v>
      </c>
      <c r="F66" s="8"/>
      <c r="G66" s="25"/>
      <c r="H66" s="24">
        <v>1</v>
      </c>
      <c r="I66" s="25">
        <v>3</v>
      </c>
      <c r="J66" s="55">
        <f t="shared" si="3"/>
        <v>3</v>
      </c>
      <c r="K66" s="8"/>
      <c r="L66" s="8"/>
      <c r="M66" s="68">
        <v>1</v>
      </c>
      <c r="N66" s="42"/>
      <c r="O66" s="45" t="s">
        <v>57</v>
      </c>
      <c r="P66" s="12" t="s">
        <v>43</v>
      </c>
      <c r="Q66" s="46"/>
      <c r="R66" s="116" t="s">
        <v>77</v>
      </c>
      <c r="S66" s="27">
        <v>46167</v>
      </c>
      <c r="T66" t="s">
        <v>45</v>
      </c>
      <c r="U66" s="12" t="s">
        <v>64</v>
      </c>
    </row>
    <row r="67" spans="1:21">
      <c r="A67" s="54">
        <f t="shared" si="2"/>
        <v>66</v>
      </c>
      <c r="B67" s="152" t="s">
        <v>7</v>
      </c>
      <c r="C67" s="10" t="s">
        <v>128</v>
      </c>
      <c r="D67" s="8"/>
      <c r="E67" s="18">
        <v>1</v>
      </c>
      <c r="F67" s="8"/>
      <c r="G67" s="25"/>
      <c r="H67" s="24">
        <v>1</v>
      </c>
      <c r="I67" s="25">
        <v>3</v>
      </c>
      <c r="J67" s="55">
        <f t="shared" si="3"/>
        <v>3</v>
      </c>
      <c r="K67" s="8"/>
      <c r="L67" s="8"/>
      <c r="M67" s="8">
        <v>1</v>
      </c>
      <c r="N67" s="25"/>
      <c r="O67" s="45" t="s">
        <v>85</v>
      </c>
      <c r="P67" s="12" t="s">
        <v>43</v>
      </c>
      <c r="Q67" s="46"/>
      <c r="R67" s="116" t="s">
        <v>77</v>
      </c>
      <c r="S67" s="27">
        <v>46167</v>
      </c>
      <c r="T67" t="s">
        <v>45</v>
      </c>
      <c r="U67" s="12" t="s">
        <v>64</v>
      </c>
    </row>
    <row r="68" spans="1:21">
      <c r="A68" s="54">
        <f t="shared" si="2"/>
        <v>67</v>
      </c>
      <c r="B68" s="152" t="s">
        <v>7</v>
      </c>
      <c r="C68" s="10" t="s">
        <v>129</v>
      </c>
      <c r="D68" s="8"/>
      <c r="E68" s="18">
        <v>1</v>
      </c>
      <c r="F68" s="8"/>
      <c r="G68" s="25"/>
      <c r="H68" s="24">
        <v>1</v>
      </c>
      <c r="I68" s="25">
        <v>2</v>
      </c>
      <c r="J68" s="55">
        <f t="shared" si="3"/>
        <v>2</v>
      </c>
      <c r="K68" s="8"/>
      <c r="L68" s="8"/>
      <c r="M68" s="8">
        <v>1</v>
      </c>
      <c r="N68" s="25"/>
      <c r="O68" s="45" t="s">
        <v>92</v>
      </c>
      <c r="P68" s="12" t="s">
        <v>43</v>
      </c>
      <c r="Q68" s="46"/>
      <c r="R68" s="116" t="s">
        <v>77</v>
      </c>
      <c r="S68" s="27">
        <v>46167</v>
      </c>
      <c r="T68" t="s">
        <v>45</v>
      </c>
      <c r="U68" s="12" t="s">
        <v>43</v>
      </c>
    </row>
    <row r="69" spans="1:21" ht="45">
      <c r="A69" s="54">
        <f t="shared" si="2"/>
        <v>68</v>
      </c>
      <c r="B69" s="152" t="s">
        <v>3</v>
      </c>
      <c r="C69" s="13" t="s">
        <v>130</v>
      </c>
      <c r="D69" s="8"/>
      <c r="E69" s="18">
        <v>1</v>
      </c>
      <c r="F69" s="8">
        <v>5</v>
      </c>
      <c r="G69" s="8">
        <v>2</v>
      </c>
      <c r="H69" s="24">
        <v>1</v>
      </c>
      <c r="I69" s="25">
        <v>3</v>
      </c>
      <c r="J69" s="55">
        <f t="shared" si="3"/>
        <v>3</v>
      </c>
      <c r="K69" s="8"/>
      <c r="L69" s="8">
        <v>1</v>
      </c>
      <c r="M69" s="8"/>
      <c r="N69" s="8">
        <v>1</v>
      </c>
      <c r="O69" s="45" t="s">
        <v>85</v>
      </c>
      <c r="P69" s="2" t="s">
        <v>43</v>
      </c>
      <c r="Q69" s="46"/>
      <c r="R69" s="116" t="s">
        <v>99</v>
      </c>
      <c r="S69" s="27">
        <v>46167</v>
      </c>
      <c r="T69" t="s">
        <v>45</v>
      </c>
      <c r="U69" s="2" t="s">
        <v>43</v>
      </c>
    </row>
    <row r="70" spans="1:21" ht="45">
      <c r="A70" s="54">
        <f t="shared" si="2"/>
        <v>69</v>
      </c>
      <c r="B70" s="152" t="s">
        <v>8</v>
      </c>
      <c r="C70" s="13" t="s">
        <v>131</v>
      </c>
      <c r="D70" s="8"/>
      <c r="E70" s="18">
        <v>1</v>
      </c>
      <c r="F70" s="8"/>
      <c r="G70" s="25"/>
      <c r="H70" s="24">
        <v>1</v>
      </c>
      <c r="I70" s="25">
        <v>3</v>
      </c>
      <c r="J70" s="55">
        <f t="shared" si="3"/>
        <v>3</v>
      </c>
      <c r="K70" s="8"/>
      <c r="L70" s="8"/>
      <c r="M70" s="8">
        <v>1</v>
      </c>
      <c r="N70" s="25"/>
      <c r="O70" s="45" t="s">
        <v>85</v>
      </c>
      <c r="P70" s="2" t="s">
        <v>43</v>
      </c>
      <c r="Q70" s="46"/>
      <c r="R70" s="116" t="s">
        <v>99</v>
      </c>
      <c r="S70" s="27">
        <v>46167</v>
      </c>
      <c r="T70" t="s">
        <v>45</v>
      </c>
      <c r="U70" s="2" t="s">
        <v>43</v>
      </c>
    </row>
    <row r="71" spans="1:21" ht="30">
      <c r="A71" s="54">
        <f t="shared" si="2"/>
        <v>70</v>
      </c>
      <c r="B71" s="152" t="s">
        <v>10</v>
      </c>
      <c r="C71" s="14" t="s">
        <v>132</v>
      </c>
      <c r="D71" s="8"/>
      <c r="E71" s="18">
        <v>1</v>
      </c>
      <c r="F71" s="8"/>
      <c r="G71" s="25"/>
      <c r="H71" s="24">
        <v>1</v>
      </c>
      <c r="I71" s="25">
        <v>4</v>
      </c>
      <c r="J71" s="55">
        <f t="shared" si="3"/>
        <v>4</v>
      </c>
      <c r="K71" s="8">
        <v>1</v>
      </c>
      <c r="L71" s="8"/>
      <c r="M71" s="68">
        <v>1</v>
      </c>
      <c r="N71" s="42"/>
      <c r="O71" s="66" t="s">
        <v>42</v>
      </c>
      <c r="P71" s="2" t="s">
        <v>43</v>
      </c>
      <c r="Q71" s="46"/>
      <c r="R71" s="14" t="s">
        <v>55</v>
      </c>
      <c r="S71" s="27">
        <v>46168</v>
      </c>
      <c r="T71" t="s">
        <v>45</v>
      </c>
      <c r="U71" s="2" t="s">
        <v>43</v>
      </c>
    </row>
    <row r="72" spans="1:21" ht="30">
      <c r="A72" s="54">
        <f t="shared" si="2"/>
        <v>71</v>
      </c>
      <c r="B72" s="152" t="s">
        <v>9</v>
      </c>
      <c r="C72" s="14" t="s">
        <v>133</v>
      </c>
      <c r="D72" s="8"/>
      <c r="E72" s="18">
        <v>1</v>
      </c>
      <c r="F72" s="8">
        <v>7</v>
      </c>
      <c r="G72" s="8">
        <v>2</v>
      </c>
      <c r="H72" s="24">
        <v>1</v>
      </c>
      <c r="I72" s="25">
        <v>3</v>
      </c>
      <c r="J72" s="55">
        <f t="shared" si="3"/>
        <v>3</v>
      </c>
      <c r="K72" s="8"/>
      <c r="L72" s="8"/>
      <c r="M72" s="8"/>
      <c r="N72" s="8">
        <v>1</v>
      </c>
      <c r="O72" s="66" t="s">
        <v>42</v>
      </c>
      <c r="P72" s="2" t="s">
        <v>43</v>
      </c>
      <c r="Q72" s="46"/>
      <c r="R72" s="14" t="s">
        <v>55</v>
      </c>
      <c r="S72" s="27">
        <v>46168</v>
      </c>
      <c r="T72" t="s">
        <v>45</v>
      </c>
      <c r="U72" s="2" t="s">
        <v>43</v>
      </c>
    </row>
    <row r="73" spans="1:21" ht="30">
      <c r="A73" s="54">
        <f t="shared" si="2"/>
        <v>72</v>
      </c>
      <c r="B73" s="152" t="s">
        <v>8</v>
      </c>
      <c r="C73" s="14" t="s">
        <v>134</v>
      </c>
      <c r="D73" s="8"/>
      <c r="E73" s="18">
        <v>1</v>
      </c>
      <c r="F73" s="8"/>
      <c r="G73" s="25"/>
      <c r="H73" s="24">
        <v>1</v>
      </c>
      <c r="I73" s="25">
        <v>2</v>
      </c>
      <c r="J73" s="55">
        <f t="shared" si="3"/>
        <v>2</v>
      </c>
      <c r="K73" s="8"/>
      <c r="L73" s="8"/>
      <c r="M73" s="68">
        <v>1</v>
      </c>
      <c r="N73" s="42"/>
      <c r="O73" s="66" t="s">
        <v>42</v>
      </c>
      <c r="P73" s="2" t="s">
        <v>43</v>
      </c>
      <c r="Q73" s="46"/>
      <c r="R73" s="14" t="s">
        <v>55</v>
      </c>
      <c r="S73" s="27">
        <v>46168</v>
      </c>
      <c r="T73" t="s">
        <v>45</v>
      </c>
      <c r="U73" s="2" t="s">
        <v>43</v>
      </c>
    </row>
    <row r="74" spans="1:21" ht="45">
      <c r="A74" s="54">
        <f t="shared" si="2"/>
        <v>73</v>
      </c>
      <c r="B74" s="152" t="s">
        <v>9</v>
      </c>
      <c r="C74" s="13" t="s">
        <v>135</v>
      </c>
      <c r="D74" s="8"/>
      <c r="E74" s="18">
        <v>1</v>
      </c>
      <c r="F74" s="8">
        <v>5</v>
      </c>
      <c r="G74" s="8">
        <v>2</v>
      </c>
      <c r="H74" s="24">
        <v>1</v>
      </c>
      <c r="I74" s="25">
        <v>3</v>
      </c>
      <c r="J74" s="55">
        <f t="shared" si="3"/>
        <v>3</v>
      </c>
      <c r="K74" s="8"/>
      <c r="L74" s="8"/>
      <c r="M74" s="8"/>
      <c r="N74" s="8">
        <v>1</v>
      </c>
      <c r="O74" s="66" t="s">
        <v>136</v>
      </c>
      <c r="P74" s="2" t="s">
        <v>43</v>
      </c>
      <c r="Q74" s="46"/>
      <c r="R74" s="14" t="s">
        <v>55</v>
      </c>
      <c r="S74" s="27">
        <v>46168</v>
      </c>
      <c r="T74" t="s">
        <v>45</v>
      </c>
      <c r="U74" s="2" t="s">
        <v>43</v>
      </c>
    </row>
    <row r="75" spans="1:21" ht="30">
      <c r="A75" s="54">
        <f t="shared" si="2"/>
        <v>74</v>
      </c>
      <c r="B75" s="152" t="s">
        <v>10</v>
      </c>
      <c r="C75" s="13" t="s">
        <v>137</v>
      </c>
      <c r="D75" s="8"/>
      <c r="E75" s="18">
        <v>1</v>
      </c>
      <c r="F75" s="8"/>
      <c r="G75" s="25"/>
      <c r="H75" s="24">
        <v>1</v>
      </c>
      <c r="I75" s="25">
        <v>4</v>
      </c>
      <c r="J75" s="55">
        <f t="shared" si="3"/>
        <v>4</v>
      </c>
      <c r="K75" s="8">
        <v>1</v>
      </c>
      <c r="L75" s="8"/>
      <c r="M75" s="8"/>
      <c r="N75" s="8">
        <v>1</v>
      </c>
      <c r="O75" s="45" t="s">
        <v>57</v>
      </c>
      <c r="P75" s="2" t="s">
        <v>43</v>
      </c>
      <c r="Q75" s="46"/>
      <c r="R75" s="116" t="s">
        <v>77</v>
      </c>
      <c r="S75" s="27">
        <v>46168</v>
      </c>
      <c r="T75" t="s">
        <v>45</v>
      </c>
      <c r="U75" s="2" t="s">
        <v>43</v>
      </c>
    </row>
    <row r="76" spans="1:21">
      <c r="A76" s="54">
        <f t="shared" si="2"/>
        <v>75</v>
      </c>
      <c r="B76" s="152" t="s">
        <v>2</v>
      </c>
      <c r="C76" s="14" t="s">
        <v>138</v>
      </c>
      <c r="D76" s="8"/>
      <c r="E76" s="18">
        <v>1</v>
      </c>
      <c r="F76" s="8"/>
      <c r="G76" s="25"/>
      <c r="H76" s="24">
        <v>1</v>
      </c>
      <c r="I76" s="25">
        <v>3</v>
      </c>
      <c r="J76" s="55">
        <f t="shared" si="3"/>
        <v>3</v>
      </c>
      <c r="K76" s="8"/>
      <c r="L76" s="8"/>
      <c r="M76" s="8">
        <v>1</v>
      </c>
      <c r="N76" s="25"/>
      <c r="O76" s="45" t="s">
        <v>57</v>
      </c>
      <c r="P76" s="12" t="s">
        <v>43</v>
      </c>
      <c r="Q76" s="46"/>
      <c r="R76" s="116" t="s">
        <v>44</v>
      </c>
      <c r="S76" s="27">
        <v>46168</v>
      </c>
      <c r="T76" t="s">
        <v>45</v>
      </c>
      <c r="U76" s="12" t="s">
        <v>43</v>
      </c>
    </row>
    <row r="77" spans="1:21">
      <c r="A77" s="54">
        <f t="shared" si="2"/>
        <v>76</v>
      </c>
      <c r="B77" s="152" t="s">
        <v>7</v>
      </c>
      <c r="C77" s="14" t="s">
        <v>139</v>
      </c>
      <c r="D77" s="8"/>
      <c r="E77" s="18">
        <v>1</v>
      </c>
      <c r="F77" s="8"/>
      <c r="G77" s="25"/>
      <c r="H77" s="24">
        <v>1</v>
      </c>
      <c r="I77" s="25">
        <v>3</v>
      </c>
      <c r="J77" s="55">
        <f t="shared" si="3"/>
        <v>3</v>
      </c>
      <c r="K77" s="8"/>
      <c r="L77" s="8"/>
      <c r="M77" s="8">
        <v>1</v>
      </c>
      <c r="N77" s="25"/>
      <c r="O77" s="66" t="s">
        <v>66</v>
      </c>
      <c r="P77" s="12" t="s">
        <v>43</v>
      </c>
      <c r="Q77" s="46"/>
      <c r="R77" s="116" t="s">
        <v>44</v>
      </c>
      <c r="S77" s="27">
        <v>46168</v>
      </c>
      <c r="T77" t="s">
        <v>45</v>
      </c>
      <c r="U77" s="12" t="s">
        <v>43</v>
      </c>
    </row>
    <row r="78" spans="1:21">
      <c r="A78" s="54">
        <f t="shared" ref="A78:A141" si="4">A77+1</f>
        <v>77</v>
      </c>
      <c r="B78" s="152" t="s">
        <v>5</v>
      </c>
      <c r="C78" s="14" t="s">
        <v>140</v>
      </c>
      <c r="D78" s="8"/>
      <c r="E78" s="18">
        <v>1</v>
      </c>
      <c r="F78" s="8">
        <v>2</v>
      </c>
      <c r="G78" s="25"/>
      <c r="H78" s="24">
        <v>1</v>
      </c>
      <c r="I78" s="25">
        <v>4</v>
      </c>
      <c r="J78" s="55">
        <f t="shared" ref="J78:J141" si="5">I78*H78</f>
        <v>4</v>
      </c>
      <c r="K78" s="8">
        <v>1</v>
      </c>
      <c r="L78" s="8"/>
      <c r="M78" s="8"/>
      <c r="N78" s="8">
        <v>1</v>
      </c>
      <c r="O78" s="66" t="s">
        <v>124</v>
      </c>
      <c r="P78" s="2" t="s">
        <v>43</v>
      </c>
      <c r="Q78" s="46"/>
      <c r="R78" s="116" t="s">
        <v>99</v>
      </c>
      <c r="S78" s="27">
        <v>46168</v>
      </c>
      <c r="T78" t="s">
        <v>45</v>
      </c>
      <c r="U78" s="2" t="s">
        <v>43</v>
      </c>
    </row>
    <row r="79" spans="1:21">
      <c r="A79" s="54">
        <f t="shared" si="4"/>
        <v>78</v>
      </c>
      <c r="B79" s="152" t="s">
        <v>3</v>
      </c>
      <c r="C79" s="13" t="s">
        <v>141</v>
      </c>
      <c r="D79" s="8"/>
      <c r="E79" s="18">
        <v>1</v>
      </c>
      <c r="F79" s="8">
        <v>4</v>
      </c>
      <c r="G79" s="8">
        <v>4</v>
      </c>
      <c r="H79" s="24">
        <v>1</v>
      </c>
      <c r="I79" s="25">
        <v>3</v>
      </c>
      <c r="J79" s="55">
        <f t="shared" si="5"/>
        <v>3</v>
      </c>
      <c r="K79" s="8"/>
      <c r="L79" s="8"/>
      <c r="M79" s="8"/>
      <c r="N79" s="8">
        <v>1</v>
      </c>
      <c r="O79" s="66" t="s">
        <v>42</v>
      </c>
      <c r="P79" s="2" t="s">
        <v>43</v>
      </c>
      <c r="Q79" s="46"/>
      <c r="R79" s="116" t="s">
        <v>44</v>
      </c>
      <c r="S79" s="27">
        <v>46168</v>
      </c>
      <c r="T79" t="s">
        <v>45</v>
      </c>
      <c r="U79" s="2" t="s">
        <v>43</v>
      </c>
    </row>
    <row r="80" spans="1:21">
      <c r="A80" s="54">
        <f t="shared" si="4"/>
        <v>79</v>
      </c>
      <c r="B80" s="152" t="s">
        <v>6</v>
      </c>
      <c r="C80" s="13" t="s">
        <v>142</v>
      </c>
      <c r="D80" s="8"/>
      <c r="E80" s="18">
        <v>1</v>
      </c>
      <c r="F80" s="8"/>
      <c r="G80" s="25"/>
      <c r="H80" s="24">
        <v>1</v>
      </c>
      <c r="I80" s="25">
        <v>3</v>
      </c>
      <c r="J80" s="55">
        <f t="shared" si="5"/>
        <v>3</v>
      </c>
      <c r="K80" s="8"/>
      <c r="L80" s="8"/>
      <c r="M80" s="8">
        <v>1</v>
      </c>
      <c r="N80" s="25"/>
      <c r="O80" s="66" t="s">
        <v>42</v>
      </c>
      <c r="P80" s="2" t="s">
        <v>43</v>
      </c>
      <c r="Q80" s="46"/>
      <c r="R80" s="116" t="s">
        <v>44</v>
      </c>
      <c r="S80" s="27">
        <v>46168</v>
      </c>
      <c r="T80" t="s">
        <v>45</v>
      </c>
      <c r="U80" s="2" t="s">
        <v>43</v>
      </c>
    </row>
    <row r="81" spans="1:21">
      <c r="A81" s="54">
        <f t="shared" si="4"/>
        <v>80</v>
      </c>
      <c r="B81" s="152" t="s">
        <v>5</v>
      </c>
      <c r="C81" s="14" t="s">
        <v>143</v>
      </c>
      <c r="D81" s="8"/>
      <c r="E81" s="18">
        <v>1</v>
      </c>
      <c r="F81" s="8"/>
      <c r="G81" s="25"/>
      <c r="H81" s="24">
        <v>1</v>
      </c>
      <c r="I81" s="25">
        <v>3</v>
      </c>
      <c r="J81" s="55">
        <f t="shared" si="5"/>
        <v>3</v>
      </c>
      <c r="K81" s="8"/>
      <c r="L81" s="8"/>
      <c r="M81" s="8">
        <v>1</v>
      </c>
      <c r="N81" s="25"/>
      <c r="O81" s="66" t="s">
        <v>42</v>
      </c>
      <c r="P81" s="2" t="s">
        <v>43</v>
      </c>
      <c r="Q81" s="46"/>
      <c r="R81" s="116" t="s">
        <v>44</v>
      </c>
      <c r="S81" s="27">
        <v>46168</v>
      </c>
      <c r="T81" t="s">
        <v>45</v>
      </c>
      <c r="U81" s="2" t="s">
        <v>43</v>
      </c>
    </row>
    <row r="82" spans="1:21" ht="30">
      <c r="A82" s="54">
        <f t="shared" si="4"/>
        <v>81</v>
      </c>
      <c r="B82" s="152" t="s">
        <v>4</v>
      </c>
      <c r="C82" s="14" t="s">
        <v>144</v>
      </c>
      <c r="D82" s="8"/>
      <c r="E82" s="18">
        <v>1</v>
      </c>
      <c r="F82" s="8">
        <v>4</v>
      </c>
      <c r="G82" s="8">
        <v>2</v>
      </c>
      <c r="H82" s="24">
        <v>1</v>
      </c>
      <c r="I82" s="25">
        <v>3</v>
      </c>
      <c r="J82" s="55">
        <f t="shared" si="5"/>
        <v>3</v>
      </c>
      <c r="K82" s="8"/>
      <c r="L82" s="8"/>
      <c r="M82" s="8"/>
      <c r="N82" s="8">
        <v>1</v>
      </c>
      <c r="O82" s="45" t="s">
        <v>57</v>
      </c>
      <c r="P82" s="2" t="s">
        <v>43</v>
      </c>
      <c r="Q82" s="46"/>
      <c r="R82" s="14" t="s">
        <v>55</v>
      </c>
      <c r="S82" s="27">
        <v>46168</v>
      </c>
      <c r="T82" t="s">
        <v>45</v>
      </c>
      <c r="U82" s="2" t="s">
        <v>43</v>
      </c>
    </row>
    <row r="83" spans="1:21">
      <c r="A83" s="54">
        <f t="shared" si="4"/>
        <v>82</v>
      </c>
      <c r="B83" s="152" t="s">
        <v>6</v>
      </c>
      <c r="C83" s="13" t="s">
        <v>145</v>
      </c>
      <c r="D83" s="8"/>
      <c r="E83" s="18">
        <v>1</v>
      </c>
      <c r="F83" s="8">
        <v>12</v>
      </c>
      <c r="G83" s="8">
        <v>2</v>
      </c>
      <c r="H83" s="24">
        <v>1</v>
      </c>
      <c r="I83" s="25">
        <v>3</v>
      </c>
      <c r="J83" s="55">
        <f t="shared" si="5"/>
        <v>3</v>
      </c>
      <c r="K83" s="8"/>
      <c r="L83" s="8"/>
      <c r="M83" s="8"/>
      <c r="N83" s="8">
        <v>1</v>
      </c>
      <c r="O83" s="66" t="s">
        <v>42</v>
      </c>
      <c r="P83" s="2" t="s">
        <v>43</v>
      </c>
      <c r="Q83" s="46"/>
      <c r="R83" s="116" t="s">
        <v>44</v>
      </c>
      <c r="S83" s="27">
        <v>46168</v>
      </c>
      <c r="T83" t="s">
        <v>45</v>
      </c>
      <c r="U83" s="2" t="s">
        <v>43</v>
      </c>
    </row>
    <row r="84" spans="1:21">
      <c r="A84" s="54">
        <f t="shared" si="4"/>
        <v>83</v>
      </c>
      <c r="B84" s="152" t="s">
        <v>2</v>
      </c>
      <c r="C84" s="14" t="s">
        <v>146</v>
      </c>
      <c r="D84" s="8"/>
      <c r="E84" s="18">
        <v>1</v>
      </c>
      <c r="F84" s="8"/>
      <c r="G84" s="25"/>
      <c r="H84" s="24">
        <v>1</v>
      </c>
      <c r="I84" s="25">
        <v>2</v>
      </c>
      <c r="J84" s="55">
        <f t="shared" si="5"/>
        <v>2</v>
      </c>
      <c r="K84" s="8"/>
      <c r="L84" s="8"/>
      <c r="M84" s="8">
        <v>1</v>
      </c>
      <c r="N84" s="25"/>
      <c r="O84" s="66" t="s">
        <v>42</v>
      </c>
      <c r="P84" s="2" t="s">
        <v>43</v>
      </c>
      <c r="Q84" s="46"/>
      <c r="R84" s="116" t="s">
        <v>44</v>
      </c>
      <c r="S84" s="27">
        <v>46168</v>
      </c>
      <c r="T84" t="s">
        <v>45</v>
      </c>
      <c r="U84" s="2" t="s">
        <v>43</v>
      </c>
    </row>
    <row r="85" spans="1:21">
      <c r="A85" s="54">
        <f t="shared" si="4"/>
        <v>84</v>
      </c>
      <c r="B85" s="152" t="s">
        <v>11</v>
      </c>
      <c r="C85" s="14" t="s">
        <v>147</v>
      </c>
      <c r="D85" s="8"/>
      <c r="E85" s="18">
        <v>1</v>
      </c>
      <c r="F85" s="8">
        <v>12</v>
      </c>
      <c r="G85" s="8">
        <v>1</v>
      </c>
      <c r="H85" s="24">
        <v>1</v>
      </c>
      <c r="I85" s="25">
        <v>4</v>
      </c>
      <c r="J85" s="55">
        <f t="shared" si="5"/>
        <v>4</v>
      </c>
      <c r="K85" s="8">
        <v>1</v>
      </c>
      <c r="L85" s="8"/>
      <c r="M85" s="8"/>
      <c r="N85" s="8">
        <v>1</v>
      </c>
      <c r="O85" s="66" t="s">
        <v>42</v>
      </c>
      <c r="P85" s="2" t="s">
        <v>43</v>
      </c>
      <c r="Q85" s="46"/>
      <c r="R85" s="116" t="s">
        <v>44</v>
      </c>
      <c r="S85" s="27">
        <v>46168</v>
      </c>
      <c r="T85" t="s">
        <v>45</v>
      </c>
      <c r="U85" s="2" t="s">
        <v>43</v>
      </c>
    </row>
    <row r="86" spans="1:21" ht="30">
      <c r="A86" s="54">
        <f t="shared" si="4"/>
        <v>85</v>
      </c>
      <c r="B86" s="152" t="s">
        <v>8</v>
      </c>
      <c r="C86" s="13" t="s">
        <v>148</v>
      </c>
      <c r="D86" s="8"/>
      <c r="E86" s="18">
        <v>1</v>
      </c>
      <c r="F86" s="8"/>
      <c r="G86" s="25"/>
      <c r="H86" s="24">
        <v>1</v>
      </c>
      <c r="I86" s="25">
        <v>2</v>
      </c>
      <c r="J86" s="55">
        <f t="shared" si="5"/>
        <v>2</v>
      </c>
      <c r="K86" s="8"/>
      <c r="L86" s="8"/>
      <c r="M86" s="8">
        <v>1</v>
      </c>
      <c r="N86" s="25"/>
      <c r="O86" s="66" t="s">
        <v>124</v>
      </c>
      <c r="P86" s="2" t="s">
        <v>43</v>
      </c>
      <c r="Q86" s="46"/>
      <c r="R86" s="116" t="s">
        <v>77</v>
      </c>
      <c r="S86" s="27">
        <v>46168</v>
      </c>
      <c r="T86" t="s">
        <v>45</v>
      </c>
      <c r="U86" s="2" t="s">
        <v>43</v>
      </c>
    </row>
    <row r="87" spans="1:21" ht="30">
      <c r="A87" s="54">
        <f t="shared" si="4"/>
        <v>86</v>
      </c>
      <c r="B87" s="152" t="s">
        <v>8</v>
      </c>
      <c r="C87" s="13" t="s">
        <v>149</v>
      </c>
      <c r="D87" s="8"/>
      <c r="E87" s="18">
        <v>1</v>
      </c>
      <c r="F87" s="8">
        <v>15</v>
      </c>
      <c r="G87" s="8">
        <v>2</v>
      </c>
      <c r="H87" s="24">
        <v>1</v>
      </c>
      <c r="I87" s="25">
        <v>3</v>
      </c>
      <c r="J87" s="55">
        <f t="shared" si="5"/>
        <v>3</v>
      </c>
      <c r="K87" s="8"/>
      <c r="L87" s="8"/>
      <c r="M87" s="8"/>
      <c r="N87" s="8">
        <v>1</v>
      </c>
      <c r="O87" s="66" t="s">
        <v>69</v>
      </c>
      <c r="P87" s="2" t="s">
        <v>43</v>
      </c>
      <c r="Q87" s="46"/>
      <c r="R87" s="116" t="s">
        <v>77</v>
      </c>
      <c r="S87" s="27">
        <v>46168</v>
      </c>
      <c r="T87" t="s">
        <v>45</v>
      </c>
      <c r="U87" s="2" t="s">
        <v>43</v>
      </c>
    </row>
    <row r="88" spans="1:21" ht="30">
      <c r="A88" s="54">
        <f t="shared" si="4"/>
        <v>87</v>
      </c>
      <c r="B88" s="152" t="s">
        <v>8</v>
      </c>
      <c r="C88" s="13" t="s">
        <v>150</v>
      </c>
      <c r="D88" s="8"/>
      <c r="E88" s="18">
        <v>1</v>
      </c>
      <c r="F88" s="8">
        <v>1</v>
      </c>
      <c r="G88" s="8">
        <v>20</v>
      </c>
      <c r="H88" s="24">
        <v>1</v>
      </c>
      <c r="I88" s="25">
        <v>3</v>
      </c>
      <c r="J88" s="55">
        <f t="shared" si="5"/>
        <v>3</v>
      </c>
      <c r="K88" s="8"/>
      <c r="L88" s="8"/>
      <c r="M88" s="8"/>
      <c r="N88" s="8">
        <v>1</v>
      </c>
      <c r="O88" s="66" t="s">
        <v>42</v>
      </c>
      <c r="P88" s="2" t="s">
        <v>43</v>
      </c>
      <c r="Q88" s="46"/>
      <c r="R88" s="116" t="s">
        <v>77</v>
      </c>
      <c r="S88" s="27">
        <v>46168</v>
      </c>
      <c r="T88" t="s">
        <v>45</v>
      </c>
      <c r="U88" s="2" t="s">
        <v>43</v>
      </c>
    </row>
    <row r="89" spans="1:21">
      <c r="A89" s="54">
        <f t="shared" si="4"/>
        <v>88</v>
      </c>
      <c r="B89" s="152" t="s">
        <v>2</v>
      </c>
      <c r="C89" s="51" t="s">
        <v>151</v>
      </c>
      <c r="D89" s="8"/>
      <c r="E89" s="8">
        <v>1</v>
      </c>
      <c r="F89" s="15">
        <v>7</v>
      </c>
      <c r="G89" s="8">
        <v>2</v>
      </c>
      <c r="H89" s="24">
        <v>1</v>
      </c>
      <c r="I89" s="8">
        <v>3</v>
      </c>
      <c r="J89" s="55">
        <f t="shared" si="5"/>
        <v>3</v>
      </c>
      <c r="K89" s="8"/>
      <c r="L89" s="8"/>
      <c r="M89" s="8"/>
      <c r="N89" s="8">
        <v>1</v>
      </c>
      <c r="O89" s="117" t="s">
        <v>108</v>
      </c>
      <c r="P89" s="2" t="s">
        <v>43</v>
      </c>
      <c r="Q89" s="8"/>
      <c r="R89" s="116" t="s">
        <v>77</v>
      </c>
      <c r="S89" s="27">
        <v>46169</v>
      </c>
      <c r="T89" t="s">
        <v>45</v>
      </c>
      <c r="U89" s="2" t="s">
        <v>43</v>
      </c>
    </row>
    <row r="90" spans="1:21">
      <c r="A90" s="54">
        <f t="shared" si="4"/>
        <v>89</v>
      </c>
      <c r="B90" s="152" t="s">
        <v>3</v>
      </c>
      <c r="C90" s="17" t="s">
        <v>152</v>
      </c>
      <c r="D90" s="8"/>
      <c r="E90" s="8"/>
      <c r="F90" s="8"/>
      <c r="G90" s="8"/>
      <c r="H90" s="69">
        <v>1</v>
      </c>
      <c r="I90" s="8">
        <v>2</v>
      </c>
      <c r="J90" s="55">
        <f t="shared" si="5"/>
        <v>2</v>
      </c>
      <c r="K90" s="8"/>
      <c r="L90" s="8"/>
      <c r="M90" s="8">
        <v>1</v>
      </c>
      <c r="N90" s="25"/>
      <c r="O90" s="45" t="s">
        <v>85</v>
      </c>
      <c r="P90" s="2" t="s">
        <v>43</v>
      </c>
      <c r="Q90" s="8"/>
      <c r="R90" s="116" t="s">
        <v>77</v>
      </c>
      <c r="S90" s="27">
        <v>46169</v>
      </c>
      <c r="T90" t="s">
        <v>45</v>
      </c>
      <c r="U90" s="2" t="s">
        <v>43</v>
      </c>
    </row>
    <row r="91" spans="1:21">
      <c r="A91" s="54">
        <f t="shared" si="4"/>
        <v>90</v>
      </c>
      <c r="B91" s="152" t="s">
        <v>3</v>
      </c>
      <c r="C91" s="17" t="s">
        <v>153</v>
      </c>
      <c r="D91" s="8"/>
      <c r="E91" s="8"/>
      <c r="F91" s="8"/>
      <c r="G91" s="8"/>
      <c r="H91" s="69">
        <v>1</v>
      </c>
      <c r="I91" s="8">
        <v>3</v>
      </c>
      <c r="J91" s="55">
        <f t="shared" si="5"/>
        <v>3</v>
      </c>
      <c r="K91" s="8"/>
      <c r="L91" s="8"/>
      <c r="M91" s="8">
        <v>1</v>
      </c>
      <c r="N91" s="8"/>
      <c r="O91" s="117" t="s">
        <v>108</v>
      </c>
      <c r="P91" s="2" t="s">
        <v>43</v>
      </c>
      <c r="Q91" s="8"/>
      <c r="R91" s="116" t="s">
        <v>77</v>
      </c>
      <c r="S91" s="27">
        <v>46169</v>
      </c>
      <c r="T91" t="s">
        <v>45</v>
      </c>
      <c r="U91" s="2" t="s">
        <v>43</v>
      </c>
    </row>
    <row r="92" spans="1:21">
      <c r="A92" s="54">
        <f t="shared" si="4"/>
        <v>91</v>
      </c>
      <c r="B92" s="152" t="s">
        <v>9</v>
      </c>
      <c r="C92" s="52" t="s">
        <v>154</v>
      </c>
      <c r="D92" s="8"/>
      <c r="E92" s="8">
        <v>1</v>
      </c>
      <c r="F92" s="8">
        <v>39</v>
      </c>
      <c r="G92" s="8">
        <v>30</v>
      </c>
      <c r="H92" s="8">
        <v>1</v>
      </c>
      <c r="I92" s="8">
        <v>3</v>
      </c>
      <c r="J92" s="55">
        <f t="shared" si="5"/>
        <v>3</v>
      </c>
      <c r="K92" s="8"/>
      <c r="L92" s="8"/>
      <c r="M92" s="8"/>
      <c r="N92" s="8">
        <v>1</v>
      </c>
      <c r="O92" s="45" t="s">
        <v>57</v>
      </c>
      <c r="P92" s="2" t="s">
        <v>43</v>
      </c>
      <c r="Q92" s="8"/>
      <c r="R92" s="116" t="s">
        <v>44</v>
      </c>
      <c r="S92" s="27">
        <v>46169</v>
      </c>
      <c r="T92" t="s">
        <v>45</v>
      </c>
      <c r="U92" s="2" t="s">
        <v>43</v>
      </c>
    </row>
    <row r="93" spans="1:21">
      <c r="A93" s="54">
        <f t="shared" si="4"/>
        <v>92</v>
      </c>
      <c r="B93" s="152" t="s">
        <v>2</v>
      </c>
      <c r="C93" s="52" t="s">
        <v>155</v>
      </c>
      <c r="D93" s="8"/>
      <c r="E93" s="8">
        <v>1</v>
      </c>
      <c r="F93" s="8">
        <v>0</v>
      </c>
      <c r="G93" s="8">
        <v>0</v>
      </c>
      <c r="H93" s="8">
        <v>1</v>
      </c>
      <c r="I93" s="8">
        <v>3</v>
      </c>
      <c r="J93" s="55">
        <f t="shared" si="5"/>
        <v>3</v>
      </c>
      <c r="K93" s="8"/>
      <c r="L93" s="8"/>
      <c r="M93" s="8"/>
      <c r="N93" s="8">
        <v>1</v>
      </c>
      <c r="O93" s="8" t="s">
        <v>42</v>
      </c>
      <c r="P93" s="2" t="s">
        <v>43</v>
      </c>
      <c r="Q93" s="8"/>
      <c r="R93" s="116" t="s">
        <v>44</v>
      </c>
      <c r="S93" s="27">
        <v>46169</v>
      </c>
      <c r="T93" t="s">
        <v>45</v>
      </c>
      <c r="U93" s="2" t="s">
        <v>43</v>
      </c>
    </row>
    <row r="94" spans="1:21">
      <c r="A94" s="54">
        <f t="shared" si="4"/>
        <v>93</v>
      </c>
      <c r="B94" s="152" t="s">
        <v>2</v>
      </c>
      <c r="C94" s="52" t="s">
        <v>156</v>
      </c>
      <c r="D94" s="8"/>
      <c r="E94" s="8">
        <v>1</v>
      </c>
      <c r="F94" s="8"/>
      <c r="G94" s="8"/>
      <c r="H94" s="8">
        <v>1</v>
      </c>
      <c r="I94" s="8">
        <v>3</v>
      </c>
      <c r="J94" s="55">
        <f t="shared" si="5"/>
        <v>3</v>
      </c>
      <c r="K94" s="8"/>
      <c r="L94" s="8"/>
      <c r="M94" s="8">
        <v>1</v>
      </c>
      <c r="N94" s="8"/>
      <c r="O94" s="8" t="s">
        <v>42</v>
      </c>
      <c r="P94" s="2" t="s">
        <v>43</v>
      </c>
      <c r="Q94" s="8"/>
      <c r="R94" s="116" t="s">
        <v>44</v>
      </c>
      <c r="S94" s="27">
        <v>46169</v>
      </c>
      <c r="T94" t="s">
        <v>45</v>
      </c>
      <c r="U94" s="2" t="s">
        <v>43</v>
      </c>
    </row>
    <row r="95" spans="1:21">
      <c r="A95" s="54">
        <f t="shared" si="4"/>
        <v>94</v>
      </c>
      <c r="B95" s="152" t="s">
        <v>16</v>
      </c>
      <c r="C95" s="17" t="s">
        <v>157</v>
      </c>
      <c r="D95" s="8"/>
      <c r="E95" s="8">
        <v>1</v>
      </c>
      <c r="F95" s="8">
        <v>8</v>
      </c>
      <c r="G95" s="8">
        <v>1</v>
      </c>
      <c r="H95" s="8">
        <v>1</v>
      </c>
      <c r="I95" s="8">
        <v>1</v>
      </c>
      <c r="J95" s="55">
        <f t="shared" si="5"/>
        <v>1</v>
      </c>
      <c r="K95" s="8"/>
      <c r="L95" s="8"/>
      <c r="M95" s="8"/>
      <c r="N95" s="8">
        <v>1</v>
      </c>
      <c r="O95" s="45" t="s">
        <v>57</v>
      </c>
      <c r="P95" s="2" t="s">
        <v>43</v>
      </c>
      <c r="Q95" s="8"/>
      <c r="R95" s="15" t="s">
        <v>55</v>
      </c>
      <c r="S95" s="27">
        <v>46169</v>
      </c>
      <c r="T95" t="s">
        <v>45</v>
      </c>
      <c r="U95" s="2" t="s">
        <v>43</v>
      </c>
    </row>
    <row r="96" spans="1:21">
      <c r="A96" s="54">
        <f t="shared" si="4"/>
        <v>95</v>
      </c>
      <c r="B96" s="152" t="s">
        <v>3</v>
      </c>
      <c r="C96" s="17" t="s">
        <v>158</v>
      </c>
      <c r="D96" s="8"/>
      <c r="E96" s="8">
        <v>1</v>
      </c>
      <c r="F96" s="8">
        <v>15</v>
      </c>
      <c r="G96" s="8">
        <v>1</v>
      </c>
      <c r="H96" s="8">
        <v>1</v>
      </c>
      <c r="I96" s="8">
        <v>1</v>
      </c>
      <c r="J96" s="55">
        <f t="shared" si="5"/>
        <v>1</v>
      </c>
      <c r="K96" s="8"/>
      <c r="L96" s="8">
        <v>1</v>
      </c>
      <c r="M96" s="8"/>
      <c r="N96" s="8">
        <v>1</v>
      </c>
      <c r="O96" s="45" t="s">
        <v>57</v>
      </c>
      <c r="P96" s="2" t="s">
        <v>43</v>
      </c>
      <c r="Q96" s="8"/>
      <c r="R96" s="16" t="s">
        <v>55</v>
      </c>
      <c r="S96" s="27">
        <v>46169</v>
      </c>
      <c r="T96" t="s">
        <v>45</v>
      </c>
      <c r="U96" s="2" t="s">
        <v>43</v>
      </c>
    </row>
    <row r="97" spans="1:21">
      <c r="A97" s="54">
        <f t="shared" si="4"/>
        <v>96</v>
      </c>
      <c r="B97" s="152" t="s">
        <v>6</v>
      </c>
      <c r="C97" s="17" t="s">
        <v>159</v>
      </c>
      <c r="D97" s="8"/>
      <c r="E97" s="8">
        <v>1</v>
      </c>
      <c r="F97" s="8"/>
      <c r="G97" s="8"/>
      <c r="H97" s="8">
        <v>1</v>
      </c>
      <c r="I97" s="8">
        <v>4</v>
      </c>
      <c r="J97" s="55">
        <f t="shared" si="5"/>
        <v>4</v>
      </c>
      <c r="K97" s="8">
        <v>1</v>
      </c>
      <c r="L97" s="8"/>
      <c r="M97" s="8">
        <v>1</v>
      </c>
      <c r="N97" s="25"/>
      <c r="O97" s="45" t="s">
        <v>57</v>
      </c>
      <c r="P97" s="2" t="s">
        <v>43</v>
      </c>
      <c r="Q97" s="8"/>
      <c r="R97" s="16" t="s">
        <v>55</v>
      </c>
      <c r="S97" s="27">
        <v>46169</v>
      </c>
      <c r="T97" t="s">
        <v>45</v>
      </c>
      <c r="U97" s="2" t="s">
        <v>43</v>
      </c>
    </row>
    <row r="98" spans="1:21">
      <c r="A98" s="54">
        <f t="shared" si="4"/>
        <v>97</v>
      </c>
      <c r="B98" s="152" t="s">
        <v>5</v>
      </c>
      <c r="C98" s="52" t="s">
        <v>160</v>
      </c>
      <c r="D98" s="8"/>
      <c r="E98" s="8">
        <v>1</v>
      </c>
      <c r="F98" s="8"/>
      <c r="G98" s="8"/>
      <c r="H98" s="8">
        <v>1</v>
      </c>
      <c r="I98" s="8">
        <v>3</v>
      </c>
      <c r="J98" s="55">
        <f t="shared" si="5"/>
        <v>3</v>
      </c>
      <c r="K98" s="8"/>
      <c r="L98" s="8"/>
      <c r="M98" s="8">
        <v>1</v>
      </c>
      <c r="N98" s="25"/>
      <c r="O98" s="45" t="s">
        <v>72</v>
      </c>
      <c r="P98" s="2" t="s">
        <v>43</v>
      </c>
      <c r="Q98" s="8"/>
      <c r="R98" t="s">
        <v>97</v>
      </c>
      <c r="S98" s="27">
        <v>46169</v>
      </c>
      <c r="T98" t="s">
        <v>45</v>
      </c>
      <c r="U98" s="2" t="s">
        <v>43</v>
      </c>
    </row>
    <row r="99" spans="1:21">
      <c r="A99" s="54">
        <f t="shared" si="4"/>
        <v>98</v>
      </c>
      <c r="B99" s="152" t="s">
        <v>7</v>
      </c>
      <c r="C99" s="17" t="s">
        <v>161</v>
      </c>
      <c r="D99" s="8"/>
      <c r="E99" s="8">
        <v>1</v>
      </c>
      <c r="F99" s="8">
        <v>10</v>
      </c>
      <c r="G99" s="8">
        <v>2</v>
      </c>
      <c r="H99" s="8">
        <v>1</v>
      </c>
      <c r="I99" s="8">
        <v>1</v>
      </c>
      <c r="J99" s="55">
        <f t="shared" si="5"/>
        <v>1</v>
      </c>
      <c r="K99" s="8"/>
      <c r="L99" s="8"/>
      <c r="M99" s="8"/>
      <c r="N99" s="8">
        <v>1</v>
      </c>
      <c r="O99" s="45" t="s">
        <v>85</v>
      </c>
      <c r="P99" s="93" t="s">
        <v>43</v>
      </c>
      <c r="Q99" s="8"/>
      <c r="R99" s="116" t="s">
        <v>99</v>
      </c>
      <c r="S99" s="27">
        <v>46169</v>
      </c>
      <c r="T99" t="s">
        <v>45</v>
      </c>
      <c r="U99" s="2" t="s">
        <v>43</v>
      </c>
    </row>
    <row r="100" spans="1:21">
      <c r="A100" s="54">
        <f t="shared" si="4"/>
        <v>99</v>
      </c>
      <c r="B100" s="152" t="s">
        <v>8</v>
      </c>
      <c r="C100" s="17" t="s">
        <v>162</v>
      </c>
      <c r="D100" s="8"/>
      <c r="E100" s="8">
        <v>1</v>
      </c>
      <c r="F100" s="8"/>
      <c r="G100" s="8"/>
      <c r="H100" s="8">
        <v>1</v>
      </c>
      <c r="I100" s="8">
        <v>4</v>
      </c>
      <c r="J100" s="55">
        <f t="shared" si="5"/>
        <v>4</v>
      </c>
      <c r="K100" s="8">
        <v>1</v>
      </c>
      <c r="L100" s="8"/>
      <c r="M100" s="8">
        <v>1</v>
      </c>
      <c r="N100" s="8"/>
      <c r="O100" s="117" t="s">
        <v>108</v>
      </c>
      <c r="P100" s="2" t="s">
        <v>43</v>
      </c>
      <c r="Q100" s="8"/>
      <c r="R100" s="116" t="s">
        <v>99</v>
      </c>
      <c r="S100" s="27">
        <v>46169</v>
      </c>
      <c r="T100" t="s">
        <v>45</v>
      </c>
      <c r="U100" s="2" t="s">
        <v>43</v>
      </c>
    </row>
    <row r="101" spans="1:21">
      <c r="A101" s="54">
        <f t="shared" si="4"/>
        <v>100</v>
      </c>
      <c r="B101" s="152" t="s">
        <v>5</v>
      </c>
      <c r="C101" s="17" t="s">
        <v>163</v>
      </c>
      <c r="D101" s="8"/>
      <c r="E101" s="8">
        <v>1</v>
      </c>
      <c r="F101" s="8">
        <v>10</v>
      </c>
      <c r="G101" s="8">
        <v>1</v>
      </c>
      <c r="H101" s="8">
        <v>1</v>
      </c>
      <c r="I101" s="8">
        <v>3</v>
      </c>
      <c r="J101" s="55">
        <f t="shared" si="5"/>
        <v>3</v>
      </c>
      <c r="K101" s="8"/>
      <c r="L101" s="8"/>
      <c r="M101" s="8"/>
      <c r="N101" s="8">
        <v>1</v>
      </c>
      <c r="O101" s="117" t="s">
        <v>108</v>
      </c>
      <c r="P101" s="2" t="s">
        <v>43</v>
      </c>
      <c r="Q101" s="8"/>
      <c r="R101" s="116" t="s">
        <v>99</v>
      </c>
      <c r="S101" s="27">
        <v>46169</v>
      </c>
      <c r="T101" t="s">
        <v>45</v>
      </c>
      <c r="U101" s="2" t="s">
        <v>43</v>
      </c>
    </row>
    <row r="102" spans="1:21">
      <c r="A102" s="54">
        <f t="shared" si="4"/>
        <v>101</v>
      </c>
      <c r="B102" s="152" t="s">
        <v>2</v>
      </c>
      <c r="C102" s="13" t="s">
        <v>164</v>
      </c>
      <c r="D102" s="8"/>
      <c r="E102" s="8">
        <v>1</v>
      </c>
      <c r="F102" s="8">
        <v>22</v>
      </c>
      <c r="G102" s="8">
        <v>4</v>
      </c>
      <c r="H102" s="8">
        <v>1</v>
      </c>
      <c r="I102" s="8">
        <v>3</v>
      </c>
      <c r="J102" s="55">
        <f t="shared" si="5"/>
        <v>3</v>
      </c>
      <c r="K102" s="8"/>
      <c r="L102" s="8"/>
      <c r="M102" s="8"/>
      <c r="N102" s="8">
        <v>1</v>
      </c>
      <c r="O102" s="8" t="s">
        <v>42</v>
      </c>
      <c r="P102" s="2" t="s">
        <v>43</v>
      </c>
      <c r="Q102" s="8"/>
      <c r="R102" s="116" t="s">
        <v>44</v>
      </c>
      <c r="S102" s="27">
        <v>46169</v>
      </c>
      <c r="T102" t="s">
        <v>45</v>
      </c>
      <c r="U102" s="2" t="s">
        <v>43</v>
      </c>
    </row>
    <row r="103" spans="1:21">
      <c r="A103" s="54">
        <f t="shared" si="4"/>
        <v>102</v>
      </c>
      <c r="B103" s="152" t="s">
        <v>9</v>
      </c>
      <c r="C103" s="18" t="s">
        <v>165</v>
      </c>
      <c r="D103" s="8"/>
      <c r="E103" s="8">
        <v>1</v>
      </c>
      <c r="F103" s="8">
        <v>35</v>
      </c>
      <c r="G103" s="8">
        <v>6</v>
      </c>
      <c r="H103" s="8">
        <v>1</v>
      </c>
      <c r="I103" s="8">
        <v>3</v>
      </c>
      <c r="J103" s="55">
        <f t="shared" si="5"/>
        <v>3</v>
      </c>
      <c r="K103" s="8"/>
      <c r="L103" s="8"/>
      <c r="M103" s="8"/>
      <c r="N103" s="8">
        <v>1</v>
      </c>
      <c r="O103" s="8" t="s">
        <v>42</v>
      </c>
      <c r="P103" s="93" t="s">
        <v>43</v>
      </c>
      <c r="Q103" s="8"/>
      <c r="R103" s="99" t="s">
        <v>55</v>
      </c>
      <c r="S103" s="27">
        <v>46170</v>
      </c>
      <c r="T103" t="s">
        <v>45</v>
      </c>
      <c r="U103" s="2" t="s">
        <v>43</v>
      </c>
    </row>
    <row r="104" spans="1:21">
      <c r="A104" s="54">
        <f t="shared" si="4"/>
        <v>103</v>
      </c>
      <c r="B104" s="152" t="s">
        <v>3</v>
      </c>
      <c r="C104" s="18" t="s">
        <v>166</v>
      </c>
      <c r="D104" s="8"/>
      <c r="E104" s="8">
        <v>1</v>
      </c>
      <c r="F104" s="8">
        <v>13</v>
      </c>
      <c r="G104" s="8">
        <v>2</v>
      </c>
      <c r="H104" s="8">
        <v>1</v>
      </c>
      <c r="I104" s="8">
        <v>3</v>
      </c>
      <c r="J104" s="55">
        <f t="shared" si="5"/>
        <v>3</v>
      </c>
      <c r="K104" s="8"/>
      <c r="L104" s="8"/>
      <c r="M104" s="8"/>
      <c r="N104" s="8">
        <v>1</v>
      </c>
      <c r="O104" s="8" t="s">
        <v>42</v>
      </c>
      <c r="P104" s="2" t="s">
        <v>43</v>
      </c>
      <c r="Q104" s="8"/>
      <c r="R104" s="99" t="s">
        <v>55</v>
      </c>
      <c r="S104" s="27">
        <v>46170</v>
      </c>
      <c r="T104" t="s">
        <v>45</v>
      </c>
      <c r="U104" s="2" t="s">
        <v>43</v>
      </c>
    </row>
    <row r="105" spans="1:21">
      <c r="A105" s="54">
        <f t="shared" si="4"/>
        <v>104</v>
      </c>
      <c r="B105" s="152" t="s">
        <v>5</v>
      </c>
      <c r="C105" s="9" t="s">
        <v>167</v>
      </c>
      <c r="D105" s="8"/>
      <c r="E105" s="8">
        <v>1</v>
      </c>
      <c r="F105" s="8"/>
      <c r="G105" s="8"/>
      <c r="H105" s="8">
        <v>1</v>
      </c>
      <c r="I105" s="8">
        <v>3</v>
      </c>
      <c r="J105" s="55">
        <f t="shared" si="5"/>
        <v>3</v>
      </c>
      <c r="K105" s="8"/>
      <c r="L105" s="8"/>
      <c r="M105" s="8">
        <v>1</v>
      </c>
      <c r="N105" s="8"/>
      <c r="O105" s="8" t="s">
        <v>82</v>
      </c>
      <c r="P105" s="2" t="s">
        <v>43</v>
      </c>
      <c r="Q105" s="8"/>
      <c r="R105" s="116" t="s">
        <v>44</v>
      </c>
      <c r="S105" s="27">
        <v>46170</v>
      </c>
      <c r="T105" t="s">
        <v>45</v>
      </c>
      <c r="U105" s="2" t="s">
        <v>43</v>
      </c>
    </row>
    <row r="106" spans="1:21">
      <c r="A106" s="54">
        <f t="shared" si="4"/>
        <v>105</v>
      </c>
      <c r="B106" s="152" t="s">
        <v>6</v>
      </c>
      <c r="C106" s="11" t="s">
        <v>168</v>
      </c>
      <c r="D106" s="8"/>
      <c r="E106" s="8">
        <v>1</v>
      </c>
      <c r="F106" s="8"/>
      <c r="G106" s="8"/>
      <c r="H106" s="8">
        <v>1</v>
      </c>
      <c r="I106" s="8">
        <v>3</v>
      </c>
      <c r="J106" s="55">
        <f t="shared" si="5"/>
        <v>3</v>
      </c>
      <c r="K106" s="8"/>
      <c r="L106" s="8"/>
      <c r="M106" s="8">
        <v>1</v>
      </c>
      <c r="N106" s="8"/>
      <c r="O106" s="8" t="s">
        <v>42</v>
      </c>
      <c r="P106" s="2" t="s">
        <v>43</v>
      </c>
      <c r="Q106" s="8"/>
      <c r="R106" s="99" t="s">
        <v>55</v>
      </c>
      <c r="S106" s="27">
        <v>46170</v>
      </c>
      <c r="T106" t="s">
        <v>45</v>
      </c>
      <c r="U106" s="2" t="s">
        <v>43</v>
      </c>
    </row>
    <row r="107" spans="1:21">
      <c r="A107" s="54">
        <f t="shared" si="4"/>
        <v>106</v>
      </c>
      <c r="B107" s="152" t="s">
        <v>4</v>
      </c>
      <c r="C107" s="10" t="s">
        <v>169</v>
      </c>
      <c r="D107" s="8"/>
      <c r="E107" s="8">
        <v>1</v>
      </c>
      <c r="F107" s="8">
        <v>3</v>
      </c>
      <c r="G107" s="8">
        <v>1</v>
      </c>
      <c r="H107" s="8">
        <v>1</v>
      </c>
      <c r="I107" s="8">
        <v>3</v>
      </c>
      <c r="J107" s="55">
        <f t="shared" si="5"/>
        <v>3</v>
      </c>
      <c r="K107" s="8"/>
      <c r="L107" s="8"/>
      <c r="M107" s="8"/>
      <c r="N107" s="8">
        <v>1</v>
      </c>
      <c r="O107" s="8" t="s">
        <v>42</v>
      </c>
      <c r="P107" s="2" t="s">
        <v>43</v>
      </c>
      <c r="Q107" s="8"/>
      <c r="R107" s="116" t="s">
        <v>44</v>
      </c>
      <c r="S107" s="27">
        <v>46170</v>
      </c>
      <c r="T107" t="s">
        <v>45</v>
      </c>
      <c r="U107" s="2" t="s">
        <v>43</v>
      </c>
    </row>
    <row r="108" spans="1:21">
      <c r="A108" s="54">
        <f t="shared" si="4"/>
        <v>107</v>
      </c>
      <c r="B108" s="152" t="s">
        <v>6</v>
      </c>
      <c r="C108" s="11" t="s">
        <v>170</v>
      </c>
      <c r="D108" s="8"/>
      <c r="E108" s="8">
        <v>1</v>
      </c>
      <c r="F108" s="8">
        <v>8</v>
      </c>
      <c r="G108" s="8">
        <v>3</v>
      </c>
      <c r="H108" s="8">
        <v>1</v>
      </c>
      <c r="I108" s="8">
        <v>3</v>
      </c>
      <c r="J108" s="55">
        <f t="shared" si="5"/>
        <v>3</v>
      </c>
      <c r="K108" s="8"/>
      <c r="L108" s="8"/>
      <c r="M108" s="8"/>
      <c r="N108" s="8">
        <v>1</v>
      </c>
      <c r="O108" s="45" t="s">
        <v>57</v>
      </c>
      <c r="P108" s="2" t="s">
        <v>43</v>
      </c>
      <c r="Q108" s="8"/>
      <c r="R108" s="116" t="s">
        <v>44</v>
      </c>
      <c r="S108" s="27">
        <v>46170</v>
      </c>
      <c r="T108" t="s">
        <v>45</v>
      </c>
      <c r="U108" s="2" t="s">
        <v>43</v>
      </c>
    </row>
    <row r="109" spans="1:21">
      <c r="A109" s="54">
        <f t="shared" si="4"/>
        <v>108</v>
      </c>
      <c r="B109" s="152" t="s">
        <v>2</v>
      </c>
      <c r="C109" s="11" t="s">
        <v>171</v>
      </c>
      <c r="D109" s="8"/>
      <c r="E109" s="8">
        <v>1</v>
      </c>
      <c r="F109" s="8"/>
      <c r="G109" s="8"/>
      <c r="H109" s="8">
        <v>1</v>
      </c>
      <c r="I109" s="8">
        <v>3</v>
      </c>
      <c r="J109" s="55">
        <f t="shared" si="5"/>
        <v>3</v>
      </c>
      <c r="K109" s="8"/>
      <c r="L109" s="8"/>
      <c r="M109" s="8"/>
      <c r="N109" s="8"/>
      <c r="O109" s="45" t="s">
        <v>57</v>
      </c>
      <c r="P109" s="93" t="s">
        <v>43</v>
      </c>
      <c r="Q109" s="8"/>
      <c r="R109" s="116" t="s">
        <v>44</v>
      </c>
      <c r="S109" s="27">
        <v>46170</v>
      </c>
      <c r="T109" t="s">
        <v>45</v>
      </c>
      <c r="U109" s="2" t="s">
        <v>43</v>
      </c>
    </row>
    <row r="110" spans="1:21">
      <c r="A110" s="54">
        <f t="shared" si="4"/>
        <v>109</v>
      </c>
      <c r="B110" s="152" t="s">
        <v>3</v>
      </c>
      <c r="C110" s="10" t="s">
        <v>172</v>
      </c>
      <c r="D110" s="8"/>
      <c r="E110" s="8">
        <v>1</v>
      </c>
      <c r="F110" s="8"/>
      <c r="G110" s="8"/>
      <c r="H110" s="8">
        <v>1</v>
      </c>
      <c r="I110" s="8">
        <v>3</v>
      </c>
      <c r="J110" s="55">
        <f t="shared" si="5"/>
        <v>3</v>
      </c>
      <c r="K110" s="8"/>
      <c r="L110" s="8"/>
      <c r="M110" s="8"/>
      <c r="N110" s="8"/>
      <c r="O110" s="45" t="s">
        <v>57</v>
      </c>
      <c r="P110" s="8" t="s">
        <v>43</v>
      </c>
      <c r="Q110" s="8"/>
      <c r="R110" s="116" t="s">
        <v>44</v>
      </c>
      <c r="S110" s="27">
        <v>46170</v>
      </c>
      <c r="T110" t="s">
        <v>45</v>
      </c>
      <c r="U110" s="2" t="s">
        <v>43</v>
      </c>
    </row>
    <row r="111" spans="1:21">
      <c r="A111" s="54">
        <f t="shared" si="4"/>
        <v>110</v>
      </c>
      <c r="B111" s="152" t="s">
        <v>7</v>
      </c>
      <c r="C111" s="11" t="s">
        <v>173</v>
      </c>
      <c r="D111" s="8"/>
      <c r="E111" s="8">
        <v>1</v>
      </c>
      <c r="F111" s="8"/>
      <c r="G111" s="8"/>
      <c r="H111" s="8">
        <v>1</v>
      </c>
      <c r="I111" s="8">
        <v>2</v>
      </c>
      <c r="J111" s="55">
        <f t="shared" si="5"/>
        <v>2</v>
      </c>
      <c r="K111" s="8"/>
      <c r="L111" s="8"/>
      <c r="M111" s="8"/>
      <c r="N111" s="8"/>
      <c r="O111" s="8" t="s">
        <v>42</v>
      </c>
      <c r="P111" s="2" t="s">
        <v>43</v>
      </c>
      <c r="Q111" s="8"/>
      <c r="R111" s="116" t="s">
        <v>44</v>
      </c>
      <c r="S111" s="27">
        <v>46170</v>
      </c>
      <c r="T111" t="s">
        <v>45</v>
      </c>
      <c r="U111" s="2" t="s">
        <v>43</v>
      </c>
    </row>
    <row r="112" spans="1:21">
      <c r="A112" s="54">
        <f t="shared" si="4"/>
        <v>111</v>
      </c>
      <c r="B112" s="152" t="s">
        <v>13</v>
      </c>
      <c r="C112" s="10" t="s">
        <v>174</v>
      </c>
      <c r="D112" s="8"/>
      <c r="E112" s="8">
        <v>1</v>
      </c>
      <c r="F112" s="8"/>
      <c r="G112" s="8"/>
      <c r="H112" s="8">
        <v>1</v>
      </c>
      <c r="I112" s="8">
        <v>3</v>
      </c>
      <c r="J112" s="55">
        <f t="shared" si="5"/>
        <v>3</v>
      </c>
      <c r="K112" s="8"/>
      <c r="L112" s="8"/>
      <c r="M112" s="8">
        <v>1</v>
      </c>
      <c r="N112" s="25"/>
      <c r="O112" s="67" t="s">
        <v>69</v>
      </c>
      <c r="P112" s="8" t="s">
        <v>43</v>
      </c>
      <c r="Q112" s="8"/>
      <c r="R112" s="116" t="s">
        <v>99</v>
      </c>
      <c r="S112" s="27">
        <v>46170</v>
      </c>
      <c r="T112" t="s">
        <v>45</v>
      </c>
      <c r="U112" s="8" t="s">
        <v>64</v>
      </c>
    </row>
    <row r="113" spans="1:21">
      <c r="A113" s="54">
        <f t="shared" si="4"/>
        <v>112</v>
      </c>
      <c r="B113" s="152" t="s">
        <v>3</v>
      </c>
      <c r="C113" s="18" t="s">
        <v>175</v>
      </c>
      <c r="D113" s="8"/>
      <c r="E113" s="8">
        <v>1</v>
      </c>
      <c r="F113" s="8"/>
      <c r="G113" s="8"/>
      <c r="H113" s="8">
        <v>1</v>
      </c>
      <c r="I113" s="8">
        <v>2</v>
      </c>
      <c r="J113" s="55">
        <f t="shared" si="5"/>
        <v>2</v>
      </c>
      <c r="K113" s="8"/>
      <c r="L113" s="8"/>
      <c r="M113" s="8"/>
      <c r="N113" s="8">
        <v>1</v>
      </c>
      <c r="O113" s="45" t="s">
        <v>42</v>
      </c>
      <c r="P113" s="2" t="s">
        <v>43</v>
      </c>
      <c r="Q113" s="8"/>
      <c r="R113" s="116" t="s">
        <v>44</v>
      </c>
      <c r="S113" s="27">
        <v>46170</v>
      </c>
      <c r="T113" t="s">
        <v>45</v>
      </c>
      <c r="U113" s="2" t="s">
        <v>43</v>
      </c>
    </row>
    <row r="114" spans="1:21">
      <c r="A114" s="54">
        <f t="shared" si="4"/>
        <v>113</v>
      </c>
      <c r="B114" s="152" t="s">
        <v>13</v>
      </c>
      <c r="C114" s="23" t="s">
        <v>176</v>
      </c>
      <c r="D114" s="8"/>
      <c r="E114" s="8">
        <v>1</v>
      </c>
      <c r="F114" s="8"/>
      <c r="G114" s="8"/>
      <c r="H114" s="8">
        <v>1</v>
      </c>
      <c r="I114" s="8">
        <v>2</v>
      </c>
      <c r="J114" s="55">
        <f t="shared" si="5"/>
        <v>2</v>
      </c>
      <c r="K114" s="8"/>
      <c r="L114" s="8"/>
      <c r="M114" s="8">
        <v>1</v>
      </c>
      <c r="N114" s="25"/>
      <c r="O114" s="118" t="s">
        <v>69</v>
      </c>
      <c r="P114" s="2" t="s">
        <v>43</v>
      </c>
      <c r="Q114" s="8" t="s">
        <v>177</v>
      </c>
      <c r="R114" s="116" t="s">
        <v>44</v>
      </c>
      <c r="S114" s="27">
        <v>46170</v>
      </c>
      <c r="T114" t="s">
        <v>45</v>
      </c>
      <c r="U114" s="8" t="s">
        <v>64</v>
      </c>
    </row>
    <row r="115" spans="1:21">
      <c r="A115" s="54">
        <f t="shared" si="4"/>
        <v>114</v>
      </c>
      <c r="B115" s="152" t="s">
        <v>2</v>
      </c>
      <c r="C115" s="51" t="s">
        <v>178</v>
      </c>
      <c r="D115" s="8"/>
      <c r="E115" s="8">
        <v>1</v>
      </c>
      <c r="F115" s="8">
        <v>16</v>
      </c>
      <c r="G115" s="8">
        <v>5</v>
      </c>
      <c r="H115" s="8">
        <v>1</v>
      </c>
      <c r="I115" s="8">
        <v>3</v>
      </c>
      <c r="J115" s="55">
        <f t="shared" si="5"/>
        <v>3</v>
      </c>
      <c r="K115" s="8"/>
      <c r="L115" s="8"/>
      <c r="M115" s="8"/>
      <c r="N115" s="8">
        <v>1</v>
      </c>
      <c r="O115" s="15" t="s">
        <v>42</v>
      </c>
      <c r="P115" s="8" t="s">
        <v>43</v>
      </c>
      <c r="Q115" s="8"/>
      <c r="R115" s="116" t="s">
        <v>44</v>
      </c>
      <c r="S115" s="27">
        <v>46170</v>
      </c>
      <c r="T115" t="s">
        <v>45</v>
      </c>
      <c r="U115" s="2" t="s">
        <v>43</v>
      </c>
    </row>
    <row r="116" spans="1:21">
      <c r="A116" s="54">
        <f t="shared" si="4"/>
        <v>115</v>
      </c>
      <c r="B116" s="152" t="s">
        <v>3</v>
      </c>
      <c r="C116" s="17" t="s">
        <v>179</v>
      </c>
      <c r="D116" s="8"/>
      <c r="E116" s="8">
        <v>1</v>
      </c>
      <c r="F116" s="8">
        <v>17</v>
      </c>
      <c r="G116" s="8">
        <v>3</v>
      </c>
      <c r="H116" s="8">
        <v>1</v>
      </c>
      <c r="I116" s="8">
        <v>3</v>
      </c>
      <c r="J116" s="55">
        <f t="shared" si="5"/>
        <v>3</v>
      </c>
      <c r="K116" s="8"/>
      <c r="L116" s="8"/>
      <c r="M116" s="8"/>
      <c r="N116" s="8">
        <v>1</v>
      </c>
      <c r="O116" s="8"/>
      <c r="P116" s="8" t="s">
        <v>43</v>
      </c>
      <c r="Q116" s="8"/>
      <c r="R116" s="116" t="s">
        <v>44</v>
      </c>
      <c r="S116" s="27">
        <v>46171</v>
      </c>
      <c r="T116" t="s">
        <v>45</v>
      </c>
      <c r="U116" s="2" t="s">
        <v>43</v>
      </c>
    </row>
    <row r="117" spans="1:21">
      <c r="A117" s="54">
        <f t="shared" si="4"/>
        <v>116</v>
      </c>
      <c r="B117" s="152" t="s">
        <v>10</v>
      </c>
      <c r="C117" s="17" t="s">
        <v>180</v>
      </c>
      <c r="D117" s="8"/>
      <c r="E117" s="8">
        <v>1</v>
      </c>
      <c r="F117" s="8"/>
      <c r="G117" s="8"/>
      <c r="H117" s="8">
        <v>1</v>
      </c>
      <c r="I117" s="8">
        <v>4</v>
      </c>
      <c r="J117" s="55">
        <f t="shared" si="5"/>
        <v>4</v>
      </c>
      <c r="K117" s="8">
        <v>1</v>
      </c>
      <c r="L117" s="8"/>
      <c r="M117" s="8">
        <v>1</v>
      </c>
      <c r="N117" s="8"/>
      <c r="O117" s="8" t="s">
        <v>42</v>
      </c>
      <c r="P117" s="2" t="s">
        <v>43</v>
      </c>
      <c r="Q117" s="8"/>
      <c r="R117" s="116" t="s">
        <v>44</v>
      </c>
      <c r="S117" s="27">
        <v>46171</v>
      </c>
      <c r="T117" t="s">
        <v>45</v>
      </c>
      <c r="U117" s="8" t="s">
        <v>43</v>
      </c>
    </row>
    <row r="118" spans="1:21">
      <c r="A118" s="54">
        <f t="shared" si="4"/>
        <v>117</v>
      </c>
      <c r="B118" s="152" t="s">
        <v>5</v>
      </c>
      <c r="C118" s="23" t="s">
        <v>181</v>
      </c>
      <c r="D118" s="8"/>
      <c r="E118" s="8">
        <v>1</v>
      </c>
      <c r="F118" s="8"/>
      <c r="G118" s="8"/>
      <c r="H118" s="8">
        <v>1</v>
      </c>
      <c r="I118" s="8">
        <v>3</v>
      </c>
      <c r="J118" s="55">
        <f t="shared" si="5"/>
        <v>3</v>
      </c>
      <c r="K118" s="8"/>
      <c r="L118" s="8"/>
      <c r="M118" s="8">
        <v>1</v>
      </c>
      <c r="N118" s="25"/>
      <c r="O118" s="45" t="s">
        <v>57</v>
      </c>
      <c r="P118" s="2" t="s">
        <v>43</v>
      </c>
      <c r="Q118" s="8"/>
      <c r="R118" s="116" t="s">
        <v>44</v>
      </c>
      <c r="S118" s="27">
        <v>46171</v>
      </c>
      <c r="T118" t="s">
        <v>45</v>
      </c>
      <c r="U118" s="8" t="s">
        <v>43</v>
      </c>
    </row>
    <row r="119" spans="1:21">
      <c r="A119" s="54">
        <f t="shared" si="4"/>
        <v>118</v>
      </c>
      <c r="B119" s="152" t="s">
        <v>4</v>
      </c>
      <c r="C119" s="11" t="s">
        <v>182</v>
      </c>
      <c r="D119" s="8"/>
      <c r="E119" s="8">
        <v>1</v>
      </c>
      <c r="F119" s="8">
        <v>15</v>
      </c>
      <c r="G119" s="8">
        <v>1</v>
      </c>
      <c r="H119" s="8">
        <v>1</v>
      </c>
      <c r="I119" s="8">
        <v>3</v>
      </c>
      <c r="J119" s="55">
        <f t="shared" si="5"/>
        <v>3</v>
      </c>
      <c r="K119" s="8"/>
      <c r="L119" s="8"/>
      <c r="M119" s="8"/>
      <c r="N119" s="8">
        <v>1</v>
      </c>
      <c r="O119" s="8" t="s">
        <v>42</v>
      </c>
      <c r="P119" s="2" t="s">
        <v>43</v>
      </c>
      <c r="Q119" s="8"/>
      <c r="R119" s="116" t="s">
        <v>77</v>
      </c>
      <c r="S119" s="27">
        <v>46171</v>
      </c>
      <c r="T119" t="s">
        <v>45</v>
      </c>
      <c r="U119" s="2" t="s">
        <v>43</v>
      </c>
    </row>
    <row r="120" spans="1:21">
      <c r="A120" s="54">
        <f t="shared" si="4"/>
        <v>119</v>
      </c>
      <c r="B120" s="152" t="s">
        <v>8</v>
      </c>
      <c r="C120" s="10" t="s">
        <v>183</v>
      </c>
      <c r="D120" s="8"/>
      <c r="E120" s="8">
        <v>1</v>
      </c>
      <c r="F120" s="8"/>
      <c r="G120" s="8"/>
      <c r="H120" s="8">
        <v>1</v>
      </c>
      <c r="I120" s="8">
        <v>1</v>
      </c>
      <c r="J120" s="55">
        <f t="shared" si="5"/>
        <v>1</v>
      </c>
      <c r="K120" s="8"/>
      <c r="L120" s="8"/>
      <c r="M120" s="8">
        <v>1</v>
      </c>
      <c r="N120" s="8"/>
      <c r="O120" s="8" t="s">
        <v>42</v>
      </c>
      <c r="P120" s="2" t="s">
        <v>43</v>
      </c>
      <c r="Q120" s="8"/>
      <c r="R120" s="116" t="s">
        <v>77</v>
      </c>
      <c r="S120" s="27">
        <v>46171</v>
      </c>
      <c r="T120" t="s">
        <v>45</v>
      </c>
      <c r="U120" s="2" t="s">
        <v>43</v>
      </c>
    </row>
    <row r="121" spans="1:21">
      <c r="A121" s="54">
        <f t="shared" si="4"/>
        <v>120</v>
      </c>
      <c r="B121" s="152" t="s">
        <v>2</v>
      </c>
      <c r="C121" s="11" t="s">
        <v>184</v>
      </c>
      <c r="D121" s="8"/>
      <c r="E121" s="8">
        <v>1</v>
      </c>
      <c r="F121" s="8"/>
      <c r="G121" s="8"/>
      <c r="H121" s="8">
        <v>1</v>
      </c>
      <c r="I121" s="8">
        <v>3</v>
      </c>
      <c r="J121" s="55">
        <f t="shared" si="5"/>
        <v>3</v>
      </c>
      <c r="K121" s="8"/>
      <c r="L121" s="8"/>
      <c r="M121" s="8">
        <v>1</v>
      </c>
      <c r="N121" s="25"/>
      <c r="O121" s="45" t="s">
        <v>85</v>
      </c>
      <c r="P121" s="2" t="s">
        <v>43</v>
      </c>
      <c r="Q121" s="8"/>
      <c r="R121" s="116" t="s">
        <v>77</v>
      </c>
      <c r="S121" s="27">
        <v>46171</v>
      </c>
      <c r="T121" t="s">
        <v>45</v>
      </c>
      <c r="U121" s="2" t="s">
        <v>43</v>
      </c>
    </row>
    <row r="122" spans="1:21">
      <c r="A122" s="54">
        <f t="shared" si="4"/>
        <v>121</v>
      </c>
      <c r="B122" s="152" t="s">
        <v>2</v>
      </c>
      <c r="C122" s="11" t="s">
        <v>185</v>
      </c>
      <c r="D122" s="8">
        <v>1</v>
      </c>
      <c r="E122" s="8"/>
      <c r="F122" s="8"/>
      <c r="G122" s="8"/>
      <c r="H122" s="8">
        <v>1</v>
      </c>
      <c r="I122" s="8">
        <v>1</v>
      </c>
      <c r="J122" s="55">
        <f t="shared" si="5"/>
        <v>1</v>
      </c>
      <c r="K122" s="8"/>
      <c r="L122" s="8"/>
      <c r="M122" s="8">
        <v>1</v>
      </c>
      <c r="N122" s="8"/>
      <c r="O122" s="45" t="s">
        <v>85</v>
      </c>
      <c r="P122" s="2" t="s">
        <v>43</v>
      </c>
      <c r="Q122" s="8"/>
      <c r="R122" s="116" t="s">
        <v>99</v>
      </c>
      <c r="S122" s="27">
        <v>46171</v>
      </c>
      <c r="T122" t="s">
        <v>45</v>
      </c>
      <c r="U122" s="2" t="s">
        <v>43</v>
      </c>
    </row>
    <row r="123" spans="1:21">
      <c r="A123" s="54">
        <f t="shared" si="4"/>
        <v>122</v>
      </c>
      <c r="B123" s="152" t="s">
        <v>2</v>
      </c>
      <c r="C123" s="10" t="s">
        <v>186</v>
      </c>
      <c r="D123" s="8">
        <v>1</v>
      </c>
      <c r="E123" s="8"/>
      <c r="F123" s="8"/>
      <c r="G123" s="8"/>
      <c r="H123" s="8">
        <v>1</v>
      </c>
      <c r="I123" s="8">
        <v>2</v>
      </c>
      <c r="J123" s="55">
        <f t="shared" si="5"/>
        <v>2</v>
      </c>
      <c r="K123" s="8"/>
      <c r="L123" s="8"/>
      <c r="M123" s="8">
        <v>1</v>
      </c>
      <c r="N123" s="25"/>
      <c r="O123" s="45" t="s">
        <v>92</v>
      </c>
      <c r="P123" s="93" t="s">
        <v>43</v>
      </c>
      <c r="Q123" s="8"/>
      <c r="R123" t="s">
        <v>97</v>
      </c>
      <c r="S123" s="27">
        <v>46171</v>
      </c>
      <c r="T123" t="s">
        <v>45</v>
      </c>
      <c r="U123" s="2" t="s">
        <v>43</v>
      </c>
    </row>
    <row r="124" spans="1:21">
      <c r="A124" s="54">
        <f t="shared" si="4"/>
        <v>123</v>
      </c>
      <c r="B124" s="152" t="s">
        <v>3</v>
      </c>
      <c r="C124" s="11" t="s">
        <v>187</v>
      </c>
      <c r="D124" s="8"/>
      <c r="E124" s="8">
        <v>1</v>
      </c>
      <c r="F124" s="8"/>
      <c r="G124" s="8"/>
      <c r="H124" s="8">
        <v>1</v>
      </c>
      <c r="I124" s="8">
        <v>1</v>
      </c>
      <c r="J124" s="55">
        <f t="shared" si="5"/>
        <v>1</v>
      </c>
      <c r="K124" s="8"/>
      <c r="L124" s="8"/>
      <c r="M124" s="8">
        <v>1</v>
      </c>
      <c r="N124" s="25"/>
      <c r="O124" s="45" t="s">
        <v>57</v>
      </c>
      <c r="P124" s="2" t="s">
        <v>43</v>
      </c>
      <c r="Q124" s="8"/>
      <c r="R124" s="116" t="s">
        <v>44</v>
      </c>
      <c r="S124" s="27">
        <v>46171</v>
      </c>
      <c r="T124" t="s">
        <v>45</v>
      </c>
      <c r="U124" s="2" t="s">
        <v>43</v>
      </c>
    </row>
    <row r="125" spans="1:21">
      <c r="A125" s="54">
        <f t="shared" si="4"/>
        <v>124</v>
      </c>
      <c r="B125" s="152" t="s">
        <v>7</v>
      </c>
      <c r="C125" s="10" t="s">
        <v>188</v>
      </c>
      <c r="D125" s="8">
        <v>1</v>
      </c>
      <c r="E125" s="8"/>
      <c r="F125" s="8"/>
      <c r="G125" s="8"/>
      <c r="H125" s="8">
        <v>1</v>
      </c>
      <c r="I125" s="8">
        <v>3</v>
      </c>
      <c r="J125" s="55">
        <f t="shared" si="5"/>
        <v>3</v>
      </c>
      <c r="K125" s="8"/>
      <c r="L125" s="8"/>
      <c r="M125" s="8">
        <v>1</v>
      </c>
      <c r="N125" s="8"/>
      <c r="O125" s="8" t="s">
        <v>69</v>
      </c>
      <c r="P125" s="2" t="s">
        <v>43</v>
      </c>
      <c r="Q125" s="8"/>
      <c r="R125" t="s">
        <v>97</v>
      </c>
      <c r="S125" s="27">
        <v>46171</v>
      </c>
      <c r="T125" t="s">
        <v>45</v>
      </c>
      <c r="U125" s="2" t="s">
        <v>43</v>
      </c>
    </row>
    <row r="126" spans="1:21" ht="26.25">
      <c r="A126" s="54">
        <f t="shared" si="4"/>
        <v>125</v>
      </c>
      <c r="B126" s="152" t="s">
        <v>7</v>
      </c>
      <c r="C126" s="18" t="s">
        <v>189</v>
      </c>
      <c r="D126" s="8"/>
      <c r="E126" s="8">
        <v>1</v>
      </c>
      <c r="F126" s="8"/>
      <c r="G126" s="8"/>
      <c r="H126" s="8">
        <v>1</v>
      </c>
      <c r="I126" s="8">
        <v>3</v>
      </c>
      <c r="J126" s="55">
        <f t="shared" si="5"/>
        <v>3</v>
      </c>
      <c r="K126" s="8"/>
      <c r="L126" s="8"/>
      <c r="M126" s="8">
        <v>1</v>
      </c>
      <c r="N126" s="25"/>
      <c r="O126" s="45" t="s">
        <v>92</v>
      </c>
      <c r="P126" s="2" t="s">
        <v>43</v>
      </c>
      <c r="Q126" s="8"/>
      <c r="R126" s="116" t="s">
        <v>44</v>
      </c>
      <c r="S126" s="27">
        <v>46171</v>
      </c>
      <c r="T126" t="s">
        <v>45</v>
      </c>
      <c r="U126" s="2" t="s">
        <v>43</v>
      </c>
    </row>
    <row r="127" spans="1:21">
      <c r="A127" s="54">
        <f t="shared" si="4"/>
        <v>126</v>
      </c>
      <c r="B127" s="152" t="s">
        <v>5</v>
      </c>
      <c r="C127" s="23" t="s">
        <v>190</v>
      </c>
      <c r="D127" s="8"/>
      <c r="E127" s="8">
        <v>1</v>
      </c>
      <c r="F127" s="8"/>
      <c r="G127" s="8"/>
      <c r="H127" s="8">
        <v>1</v>
      </c>
      <c r="I127" s="8">
        <v>2</v>
      </c>
      <c r="J127" s="55">
        <f t="shared" si="5"/>
        <v>2</v>
      </c>
      <c r="K127" s="8"/>
      <c r="L127" s="8"/>
      <c r="M127" s="8">
        <v>1</v>
      </c>
      <c r="N127" s="25"/>
      <c r="O127" s="45" t="s">
        <v>72</v>
      </c>
      <c r="P127" s="2" t="s">
        <v>43</v>
      </c>
      <c r="Q127" s="8"/>
      <c r="R127" s="116" t="s">
        <v>44</v>
      </c>
      <c r="S127" s="27">
        <v>46171</v>
      </c>
      <c r="T127" t="s">
        <v>45</v>
      </c>
      <c r="U127" s="2" t="s">
        <v>43</v>
      </c>
    </row>
    <row r="128" spans="1:21">
      <c r="A128" s="54">
        <f t="shared" si="4"/>
        <v>127</v>
      </c>
      <c r="B128" s="152" t="s">
        <v>8</v>
      </c>
      <c r="C128" s="51" t="s">
        <v>191</v>
      </c>
      <c r="D128" s="8"/>
      <c r="E128" s="8">
        <v>1</v>
      </c>
      <c r="F128" s="8"/>
      <c r="G128" s="8"/>
      <c r="H128" s="8">
        <v>1</v>
      </c>
      <c r="I128" s="8">
        <v>3</v>
      </c>
      <c r="J128" s="55">
        <f t="shared" si="5"/>
        <v>3</v>
      </c>
      <c r="K128" s="8"/>
      <c r="L128" s="8"/>
      <c r="M128" s="8">
        <v>1</v>
      </c>
      <c r="N128" s="8"/>
      <c r="O128" s="22" t="s">
        <v>42</v>
      </c>
      <c r="P128" s="2" t="s">
        <v>43</v>
      </c>
      <c r="Q128" s="8"/>
      <c r="R128" s="116" t="s">
        <v>44</v>
      </c>
      <c r="S128" s="27">
        <v>46171</v>
      </c>
      <c r="T128" t="s">
        <v>45</v>
      </c>
      <c r="U128" s="2" t="s">
        <v>43</v>
      </c>
    </row>
    <row r="129" spans="1:21">
      <c r="A129" s="54">
        <f t="shared" si="4"/>
        <v>128</v>
      </c>
      <c r="B129" s="152" t="s">
        <v>7</v>
      </c>
      <c r="C129" s="23" t="s">
        <v>192</v>
      </c>
      <c r="D129" s="8"/>
      <c r="E129" s="8">
        <v>1</v>
      </c>
      <c r="F129" s="8"/>
      <c r="G129" s="8"/>
      <c r="H129" s="8">
        <v>1</v>
      </c>
      <c r="I129" s="8">
        <v>2</v>
      </c>
      <c r="J129" s="55">
        <f t="shared" si="5"/>
        <v>2</v>
      </c>
      <c r="K129" s="8"/>
      <c r="L129" s="8"/>
      <c r="M129" s="8">
        <v>1</v>
      </c>
      <c r="N129" s="8"/>
      <c r="O129" s="8" t="s">
        <v>42</v>
      </c>
      <c r="P129" s="2" t="s">
        <v>43</v>
      </c>
      <c r="Q129" s="8"/>
      <c r="R129" s="116" t="s">
        <v>44</v>
      </c>
      <c r="S129" s="27">
        <v>46171</v>
      </c>
      <c r="T129" t="s">
        <v>45</v>
      </c>
      <c r="U129" s="2" t="s">
        <v>43</v>
      </c>
    </row>
    <row r="130" spans="1:21">
      <c r="A130" s="54">
        <f t="shared" si="4"/>
        <v>129</v>
      </c>
      <c r="B130" s="152" t="s">
        <v>3</v>
      </c>
      <c r="C130" s="51" t="s">
        <v>193</v>
      </c>
      <c r="D130" s="8"/>
      <c r="E130" s="8">
        <v>1</v>
      </c>
      <c r="F130" s="8">
        <v>16</v>
      </c>
      <c r="G130" s="8">
        <v>1</v>
      </c>
      <c r="H130" s="8">
        <v>1</v>
      </c>
      <c r="I130" s="8">
        <v>1</v>
      </c>
      <c r="J130" s="55">
        <f t="shared" si="5"/>
        <v>1</v>
      </c>
      <c r="K130" s="8"/>
      <c r="L130" s="8">
        <v>1</v>
      </c>
      <c r="M130" s="8"/>
      <c r="N130" s="8">
        <v>1</v>
      </c>
      <c r="O130" s="8" t="s">
        <v>42</v>
      </c>
      <c r="P130" s="93" t="s">
        <v>43</v>
      </c>
      <c r="Q130" s="8"/>
      <c r="R130" s="116" t="s">
        <v>44</v>
      </c>
      <c r="S130" s="27">
        <v>46171</v>
      </c>
      <c r="T130" t="s">
        <v>45</v>
      </c>
      <c r="U130" s="2" t="s">
        <v>43</v>
      </c>
    </row>
    <row r="131" spans="1:21">
      <c r="A131" s="54">
        <f t="shared" si="4"/>
        <v>130</v>
      </c>
      <c r="B131" s="152" t="s">
        <v>4</v>
      </c>
      <c r="C131" s="17" t="s">
        <v>194</v>
      </c>
      <c r="D131" s="8"/>
      <c r="E131" s="8">
        <v>1</v>
      </c>
      <c r="F131" s="8">
        <v>6</v>
      </c>
      <c r="G131" s="8">
        <v>1</v>
      </c>
      <c r="H131" s="8">
        <v>1</v>
      </c>
      <c r="I131" s="8">
        <v>3</v>
      </c>
      <c r="J131" s="55">
        <f t="shared" si="5"/>
        <v>3</v>
      </c>
      <c r="K131" s="8"/>
      <c r="L131" s="8"/>
      <c r="M131" s="8"/>
      <c r="N131" s="8">
        <v>1</v>
      </c>
      <c r="O131" s="45" t="s">
        <v>57</v>
      </c>
      <c r="P131" s="8" t="s">
        <v>43</v>
      </c>
      <c r="Q131" s="8"/>
      <c r="R131" s="99" t="s">
        <v>55</v>
      </c>
      <c r="S131" s="27">
        <v>46171</v>
      </c>
      <c r="T131" t="s">
        <v>45</v>
      </c>
      <c r="U131" s="2" t="s">
        <v>43</v>
      </c>
    </row>
    <row r="132" spans="1:21">
      <c r="A132" s="54">
        <f t="shared" si="4"/>
        <v>131</v>
      </c>
      <c r="B132" s="152" t="s">
        <v>2</v>
      </c>
      <c r="C132" s="18" t="s">
        <v>195</v>
      </c>
      <c r="D132" s="8"/>
      <c r="E132" s="8">
        <v>1</v>
      </c>
      <c r="F132" s="8"/>
      <c r="G132" s="8"/>
      <c r="H132" s="8">
        <v>1</v>
      </c>
      <c r="I132" s="8">
        <v>3</v>
      </c>
      <c r="J132" s="55">
        <f t="shared" si="5"/>
        <v>3</v>
      </c>
      <c r="K132" s="8"/>
      <c r="L132" s="8"/>
      <c r="M132" s="8">
        <v>1</v>
      </c>
      <c r="N132" s="8"/>
      <c r="O132" s="8" t="s">
        <v>42</v>
      </c>
      <c r="P132" s="2" t="s">
        <v>43</v>
      </c>
      <c r="Q132" s="8"/>
      <c r="R132" s="116" t="s">
        <v>44</v>
      </c>
      <c r="S132" s="27">
        <v>46171</v>
      </c>
      <c r="T132" t="s">
        <v>45</v>
      </c>
      <c r="U132" s="2" t="s">
        <v>43</v>
      </c>
    </row>
    <row r="133" spans="1:21">
      <c r="A133" s="54">
        <f t="shared" si="4"/>
        <v>132</v>
      </c>
      <c r="B133" s="152" t="s">
        <v>4</v>
      </c>
      <c r="C133" s="18" t="s">
        <v>196</v>
      </c>
      <c r="D133" s="8"/>
      <c r="E133" s="8">
        <v>1</v>
      </c>
      <c r="F133" s="8"/>
      <c r="G133" s="8"/>
      <c r="H133" s="8">
        <v>1</v>
      </c>
      <c r="I133" s="8">
        <v>2</v>
      </c>
      <c r="J133" s="55">
        <f t="shared" si="5"/>
        <v>2</v>
      </c>
      <c r="K133" s="8"/>
      <c r="L133" s="8"/>
      <c r="M133" s="8">
        <v>1</v>
      </c>
      <c r="N133" s="25"/>
      <c r="O133" s="66" t="s">
        <v>108</v>
      </c>
      <c r="P133" s="2" t="s">
        <v>43</v>
      </c>
      <c r="Q133" s="8"/>
      <c r="R133" s="116" t="s">
        <v>99</v>
      </c>
      <c r="S133" s="27">
        <v>46171</v>
      </c>
      <c r="T133" t="s">
        <v>45</v>
      </c>
      <c r="U133" s="8" t="s">
        <v>43</v>
      </c>
    </row>
    <row r="134" spans="1:21">
      <c r="A134" s="54">
        <f t="shared" si="4"/>
        <v>133</v>
      </c>
      <c r="B134" s="152" t="s">
        <v>5</v>
      </c>
      <c r="C134" s="13" t="s">
        <v>197</v>
      </c>
      <c r="D134" s="8"/>
      <c r="E134" s="18">
        <v>1</v>
      </c>
      <c r="F134" s="8"/>
      <c r="G134" s="25"/>
      <c r="H134" s="24">
        <v>1</v>
      </c>
      <c r="I134" s="25">
        <v>3</v>
      </c>
      <c r="J134" s="55">
        <f t="shared" si="5"/>
        <v>3</v>
      </c>
      <c r="K134" s="8"/>
      <c r="L134" s="8"/>
      <c r="M134" s="8">
        <v>1</v>
      </c>
      <c r="N134" s="8"/>
      <c r="O134" s="117" t="s">
        <v>108</v>
      </c>
      <c r="P134" s="2" t="s">
        <v>43</v>
      </c>
      <c r="Q134" s="8"/>
      <c r="R134" s="116" t="s">
        <v>99</v>
      </c>
      <c r="S134" s="27">
        <v>46172</v>
      </c>
      <c r="T134" t="s">
        <v>45</v>
      </c>
      <c r="U134" s="2" t="s">
        <v>43</v>
      </c>
    </row>
    <row r="135" spans="1:21">
      <c r="A135" s="54">
        <f t="shared" si="4"/>
        <v>134</v>
      </c>
      <c r="B135" s="152" t="s">
        <v>3</v>
      </c>
      <c r="C135" s="13" t="s">
        <v>198</v>
      </c>
      <c r="D135" s="8"/>
      <c r="E135" s="18">
        <v>1</v>
      </c>
      <c r="F135" s="8">
        <v>10</v>
      </c>
      <c r="G135" s="8">
        <v>2</v>
      </c>
      <c r="H135" s="24">
        <v>2</v>
      </c>
      <c r="I135" s="25">
        <v>1</v>
      </c>
      <c r="J135" s="55">
        <f t="shared" si="5"/>
        <v>2</v>
      </c>
      <c r="K135" s="8"/>
      <c r="L135" s="8">
        <v>1</v>
      </c>
      <c r="M135" s="8"/>
      <c r="N135" s="8">
        <v>1</v>
      </c>
      <c r="O135" s="117" t="s">
        <v>108</v>
      </c>
      <c r="P135" s="2" t="s">
        <v>43</v>
      </c>
      <c r="Q135" s="8"/>
      <c r="R135" s="116" t="s">
        <v>99</v>
      </c>
      <c r="S135" s="27">
        <v>46172</v>
      </c>
      <c r="T135" t="s">
        <v>45</v>
      </c>
      <c r="U135" s="2" t="s">
        <v>43</v>
      </c>
    </row>
    <row r="136" spans="1:21">
      <c r="A136" s="54">
        <f t="shared" si="4"/>
        <v>135</v>
      </c>
      <c r="B136" s="152" t="s">
        <v>2</v>
      </c>
      <c r="C136" s="23" t="s">
        <v>199</v>
      </c>
      <c r="D136" s="8"/>
      <c r="E136" s="8">
        <v>1</v>
      </c>
      <c r="F136" s="22"/>
      <c r="G136" s="22"/>
      <c r="H136" s="8">
        <v>1</v>
      </c>
      <c r="I136" s="8">
        <v>3</v>
      </c>
      <c r="J136" s="55">
        <f t="shared" si="5"/>
        <v>3</v>
      </c>
      <c r="K136" s="8"/>
      <c r="L136" s="8"/>
      <c r="M136" s="8">
        <v>1</v>
      </c>
      <c r="N136" s="25"/>
      <c r="O136" s="45" t="s">
        <v>57</v>
      </c>
      <c r="P136" s="2" t="s">
        <v>43</v>
      </c>
      <c r="Q136" s="8"/>
      <c r="R136" s="21" t="s">
        <v>55</v>
      </c>
      <c r="S136" s="27">
        <v>46172</v>
      </c>
      <c r="T136" t="s">
        <v>45</v>
      </c>
      <c r="U136" s="2" t="s">
        <v>43</v>
      </c>
    </row>
    <row r="137" spans="1:21">
      <c r="A137" s="54">
        <f t="shared" si="4"/>
        <v>136</v>
      </c>
      <c r="B137" s="152" t="s">
        <v>7</v>
      </c>
      <c r="C137" s="11" t="s">
        <v>200</v>
      </c>
      <c r="D137" s="8"/>
      <c r="E137" s="8">
        <v>1</v>
      </c>
      <c r="F137" s="20">
        <v>7</v>
      </c>
      <c r="G137" s="20">
        <v>3</v>
      </c>
      <c r="H137" s="8">
        <v>1</v>
      </c>
      <c r="I137" s="8">
        <v>3</v>
      </c>
      <c r="J137" s="55">
        <f t="shared" si="5"/>
        <v>3</v>
      </c>
      <c r="K137" s="8"/>
      <c r="L137" s="8"/>
      <c r="M137" s="8">
        <v>1</v>
      </c>
      <c r="N137" s="8"/>
      <c r="O137" s="19" t="s">
        <v>42</v>
      </c>
      <c r="P137" s="8" t="s">
        <v>43</v>
      </c>
      <c r="Q137" s="8"/>
      <c r="R137" s="116" t="s">
        <v>44</v>
      </c>
      <c r="S137" s="27">
        <v>46172</v>
      </c>
      <c r="T137" t="s">
        <v>45</v>
      </c>
      <c r="U137" s="2" t="s">
        <v>43</v>
      </c>
    </row>
    <row r="138" spans="1:21">
      <c r="A138" s="54">
        <f t="shared" si="4"/>
        <v>137</v>
      </c>
      <c r="B138" s="152" t="s">
        <v>6</v>
      </c>
      <c r="C138" s="10" t="s">
        <v>201</v>
      </c>
      <c r="D138" s="8"/>
      <c r="E138" s="8">
        <v>1</v>
      </c>
      <c r="F138" s="21"/>
      <c r="G138" s="21"/>
      <c r="H138" s="8">
        <v>1</v>
      </c>
      <c r="I138" s="8">
        <v>2</v>
      </c>
      <c r="J138" s="55">
        <f t="shared" si="5"/>
        <v>2</v>
      </c>
      <c r="K138" s="8"/>
      <c r="L138" s="8"/>
      <c r="M138" s="8"/>
      <c r="N138" s="8">
        <v>1</v>
      </c>
      <c r="O138" s="45" t="s">
        <v>57</v>
      </c>
      <c r="P138" s="2" t="s">
        <v>43</v>
      </c>
      <c r="Q138" s="8"/>
      <c r="R138" s="99" t="s">
        <v>55</v>
      </c>
      <c r="S138" s="27">
        <v>46172</v>
      </c>
      <c r="T138" t="s">
        <v>45</v>
      </c>
      <c r="U138" s="2" t="s">
        <v>43</v>
      </c>
    </row>
    <row r="139" spans="1:21">
      <c r="A139" s="54">
        <f t="shared" si="4"/>
        <v>138</v>
      </c>
      <c r="B139" s="152" t="s">
        <v>4</v>
      </c>
      <c r="C139" s="11" t="s">
        <v>202</v>
      </c>
      <c r="D139" s="8"/>
      <c r="E139" s="8">
        <v>1</v>
      </c>
      <c r="F139" s="20"/>
      <c r="G139" s="20"/>
      <c r="H139" s="8">
        <v>1</v>
      </c>
      <c r="I139" s="8">
        <v>3</v>
      </c>
      <c r="J139" s="55">
        <f t="shared" si="5"/>
        <v>3</v>
      </c>
      <c r="K139" s="8"/>
      <c r="L139" s="8"/>
      <c r="M139" s="8">
        <v>1</v>
      </c>
      <c r="N139" s="25"/>
      <c r="O139" s="66" t="s">
        <v>108</v>
      </c>
      <c r="P139" s="2" t="s">
        <v>43</v>
      </c>
      <c r="Q139" s="8"/>
      <c r="R139" s="116" t="s">
        <v>99</v>
      </c>
      <c r="S139" s="27">
        <v>46172</v>
      </c>
      <c r="T139" t="s">
        <v>45</v>
      </c>
      <c r="U139" s="8" t="s">
        <v>64</v>
      </c>
    </row>
    <row r="140" spans="1:21">
      <c r="A140" s="54">
        <f t="shared" si="4"/>
        <v>139</v>
      </c>
      <c r="B140" s="152" t="s">
        <v>5</v>
      </c>
      <c r="C140" s="10" t="s">
        <v>203</v>
      </c>
      <c r="D140" s="8"/>
      <c r="E140" s="8">
        <v>1</v>
      </c>
      <c r="F140" s="21"/>
      <c r="G140" s="21"/>
      <c r="H140" s="8">
        <v>1</v>
      </c>
      <c r="I140" s="8">
        <v>4</v>
      </c>
      <c r="J140" s="55">
        <f t="shared" si="5"/>
        <v>4</v>
      </c>
      <c r="K140" s="8">
        <v>1</v>
      </c>
      <c r="L140" s="8"/>
      <c r="M140" s="8">
        <v>1</v>
      </c>
      <c r="N140" s="8"/>
      <c r="O140" s="117" t="s">
        <v>108</v>
      </c>
      <c r="P140" s="2" t="s">
        <v>43</v>
      </c>
      <c r="Q140" s="8"/>
      <c r="R140" s="116" t="s">
        <v>99</v>
      </c>
      <c r="S140" s="27">
        <v>46172</v>
      </c>
      <c r="T140" t="s">
        <v>45</v>
      </c>
      <c r="U140" s="2" t="s">
        <v>43</v>
      </c>
    </row>
    <row r="141" spans="1:21">
      <c r="A141" s="54">
        <f t="shared" si="4"/>
        <v>140</v>
      </c>
      <c r="B141" s="152" t="s">
        <v>2</v>
      </c>
      <c r="C141" s="11" t="s">
        <v>204</v>
      </c>
      <c r="D141" s="8"/>
      <c r="E141" s="8">
        <v>1</v>
      </c>
      <c r="F141" s="20">
        <v>30</v>
      </c>
      <c r="G141" s="20">
        <v>4</v>
      </c>
      <c r="H141" s="8">
        <v>1</v>
      </c>
      <c r="I141" s="8">
        <v>3</v>
      </c>
      <c r="J141" s="55">
        <f t="shared" si="5"/>
        <v>3</v>
      </c>
      <c r="K141" s="8"/>
      <c r="L141" s="8"/>
      <c r="M141" s="8"/>
      <c r="N141" s="8"/>
      <c r="O141" s="45" t="s">
        <v>57</v>
      </c>
      <c r="P141" s="2" t="s">
        <v>43</v>
      </c>
      <c r="Q141" s="8"/>
      <c r="R141" s="116" t="s">
        <v>44</v>
      </c>
      <c r="S141" s="27">
        <v>46172</v>
      </c>
      <c r="T141" t="s">
        <v>45</v>
      </c>
      <c r="U141" s="2" t="s">
        <v>43</v>
      </c>
    </row>
    <row r="142" spans="1:21">
      <c r="A142" s="54">
        <f t="shared" ref="A142:A205" si="6">A141+1</f>
        <v>141</v>
      </c>
      <c r="B142" s="152" t="s">
        <v>4</v>
      </c>
      <c r="C142" s="10" t="s">
        <v>205</v>
      </c>
      <c r="D142" s="8"/>
      <c r="E142" s="8">
        <v>1</v>
      </c>
      <c r="F142" s="21">
        <v>0</v>
      </c>
      <c r="G142" s="21">
        <v>2</v>
      </c>
      <c r="H142" s="8">
        <v>1</v>
      </c>
      <c r="I142" s="8">
        <v>4</v>
      </c>
      <c r="J142" s="55">
        <f t="shared" ref="J142:J205" si="7">I142*H142</f>
        <v>4</v>
      </c>
      <c r="K142" s="8">
        <v>1</v>
      </c>
      <c r="L142" s="8"/>
      <c r="M142" s="8">
        <v>1</v>
      </c>
      <c r="N142" s="8"/>
      <c r="O142" s="117" t="s">
        <v>108</v>
      </c>
      <c r="P142" s="2" t="s">
        <v>43</v>
      </c>
      <c r="Q142" s="8"/>
      <c r="R142" s="116" t="s">
        <v>99</v>
      </c>
      <c r="S142" s="27">
        <v>46172</v>
      </c>
      <c r="T142" t="s">
        <v>45</v>
      </c>
      <c r="U142" s="2" t="s">
        <v>43</v>
      </c>
    </row>
    <row r="143" spans="1:21">
      <c r="A143" s="54">
        <f t="shared" si="6"/>
        <v>142</v>
      </c>
      <c r="B143" s="152" t="s">
        <v>11</v>
      </c>
      <c r="C143" s="11" t="s">
        <v>206</v>
      </c>
      <c r="D143" s="8"/>
      <c r="E143" s="8">
        <v>1</v>
      </c>
      <c r="F143" s="20">
        <v>15</v>
      </c>
      <c r="G143" s="20">
        <v>1</v>
      </c>
      <c r="H143" s="8">
        <v>1</v>
      </c>
      <c r="I143" s="8">
        <v>4</v>
      </c>
      <c r="J143" s="55">
        <f t="shared" si="7"/>
        <v>4</v>
      </c>
      <c r="K143" s="8"/>
      <c r="L143" s="8"/>
      <c r="M143" s="8"/>
      <c r="N143" s="8">
        <v>1</v>
      </c>
      <c r="O143" s="20" t="s">
        <v>42</v>
      </c>
      <c r="P143" s="2" t="s">
        <v>43</v>
      </c>
      <c r="Q143" s="8"/>
      <c r="R143" s="116" t="s">
        <v>44</v>
      </c>
      <c r="S143" s="27">
        <v>46172</v>
      </c>
      <c r="T143" t="s">
        <v>45</v>
      </c>
      <c r="U143" s="2" t="s">
        <v>43</v>
      </c>
    </row>
    <row r="144" spans="1:21">
      <c r="A144" s="54">
        <f t="shared" si="6"/>
        <v>143</v>
      </c>
      <c r="B144" s="152" t="s">
        <v>15</v>
      </c>
      <c r="C144" s="10" t="s">
        <v>207</v>
      </c>
      <c r="D144" s="8"/>
      <c r="E144" s="8">
        <v>1</v>
      </c>
      <c r="F144" s="8"/>
      <c r="G144" s="8"/>
      <c r="H144" s="8">
        <v>1</v>
      </c>
      <c r="I144" s="8">
        <v>3</v>
      </c>
      <c r="J144" s="55">
        <f t="shared" si="7"/>
        <v>3</v>
      </c>
      <c r="K144" s="8"/>
      <c r="L144" s="8"/>
      <c r="M144" s="8"/>
      <c r="N144" s="8">
        <v>1</v>
      </c>
      <c r="O144" s="45" t="s">
        <v>57</v>
      </c>
      <c r="P144" s="2" t="s">
        <v>43</v>
      </c>
      <c r="Q144" s="8"/>
      <c r="R144" s="99" t="s">
        <v>55</v>
      </c>
      <c r="S144" s="27">
        <v>46172</v>
      </c>
      <c r="T144" t="s">
        <v>45</v>
      </c>
      <c r="U144" s="2" t="s">
        <v>43</v>
      </c>
    </row>
    <row r="145" spans="1:21">
      <c r="A145" s="54">
        <f t="shared" si="6"/>
        <v>144</v>
      </c>
      <c r="B145" s="152" t="s">
        <v>12</v>
      </c>
      <c r="C145" s="11" t="s">
        <v>208</v>
      </c>
      <c r="D145" s="8"/>
      <c r="E145" s="8">
        <v>1</v>
      </c>
      <c r="F145" s="8"/>
      <c r="G145" s="8"/>
      <c r="H145" s="8">
        <v>1</v>
      </c>
      <c r="I145" s="8">
        <v>3</v>
      </c>
      <c r="J145" s="55">
        <f t="shared" si="7"/>
        <v>3</v>
      </c>
      <c r="K145" s="8"/>
      <c r="L145" s="8"/>
      <c r="M145" s="8">
        <v>1</v>
      </c>
      <c r="N145" s="8"/>
      <c r="O145" s="117" t="s">
        <v>108</v>
      </c>
      <c r="P145" s="2" t="s">
        <v>43</v>
      </c>
      <c r="Q145" s="8"/>
      <c r="R145" s="116" t="s">
        <v>99</v>
      </c>
      <c r="S145" s="27">
        <v>46172</v>
      </c>
      <c r="T145" t="s">
        <v>45</v>
      </c>
      <c r="U145" s="2" t="s">
        <v>43</v>
      </c>
    </row>
    <row r="146" spans="1:21">
      <c r="A146" s="54">
        <f t="shared" si="6"/>
        <v>145</v>
      </c>
      <c r="B146" s="152" t="s">
        <v>5</v>
      </c>
      <c r="C146" s="10" t="s">
        <v>209</v>
      </c>
      <c r="D146" s="8"/>
      <c r="E146" s="8">
        <v>1</v>
      </c>
      <c r="F146" s="8"/>
      <c r="G146" s="8"/>
      <c r="H146" s="8">
        <v>1</v>
      </c>
      <c r="I146" s="8">
        <v>4</v>
      </c>
      <c r="J146" s="55">
        <f t="shared" si="7"/>
        <v>4</v>
      </c>
      <c r="K146" s="8">
        <v>1</v>
      </c>
      <c r="L146" s="8"/>
      <c r="M146" s="8">
        <v>1</v>
      </c>
      <c r="N146" s="25"/>
      <c r="O146" s="45" t="s">
        <v>92</v>
      </c>
      <c r="P146" s="2" t="s">
        <v>43</v>
      </c>
      <c r="Q146" s="8"/>
      <c r="R146" s="116" t="s">
        <v>99</v>
      </c>
      <c r="S146" s="27">
        <v>46172</v>
      </c>
      <c r="T146" t="s">
        <v>45</v>
      </c>
      <c r="U146" s="2" t="s">
        <v>43</v>
      </c>
    </row>
    <row r="147" spans="1:21">
      <c r="A147" s="54">
        <f t="shared" si="6"/>
        <v>146</v>
      </c>
      <c r="B147" s="152" t="s">
        <v>4</v>
      </c>
      <c r="C147" s="10" t="s">
        <v>210</v>
      </c>
      <c r="D147" s="8"/>
      <c r="E147" s="8">
        <v>1</v>
      </c>
      <c r="F147" s="8">
        <v>8</v>
      </c>
      <c r="G147" s="8">
        <v>1</v>
      </c>
      <c r="H147" s="8">
        <v>1</v>
      </c>
      <c r="I147" s="8">
        <v>2</v>
      </c>
      <c r="J147" s="55">
        <f t="shared" si="7"/>
        <v>2</v>
      </c>
      <c r="K147" s="8"/>
      <c r="L147" s="8"/>
      <c r="M147" s="8">
        <v>1</v>
      </c>
      <c r="N147" s="25"/>
      <c r="O147" s="45" t="s">
        <v>85</v>
      </c>
      <c r="P147" s="2" t="s">
        <v>43</v>
      </c>
      <c r="Q147" s="8"/>
      <c r="R147" s="116" t="s">
        <v>99</v>
      </c>
      <c r="S147" s="27">
        <v>46172</v>
      </c>
      <c r="T147" t="s">
        <v>45</v>
      </c>
      <c r="U147" s="2" t="s">
        <v>43</v>
      </c>
    </row>
    <row r="148" spans="1:21">
      <c r="A148" s="54">
        <f t="shared" si="6"/>
        <v>147</v>
      </c>
      <c r="B148" s="152" t="s">
        <v>3</v>
      </c>
      <c r="C148" s="11" t="s">
        <v>211</v>
      </c>
      <c r="D148" s="8"/>
      <c r="E148" s="8">
        <v>1</v>
      </c>
      <c r="F148" s="8">
        <v>8</v>
      </c>
      <c r="G148" s="8"/>
      <c r="H148" s="8"/>
      <c r="I148" s="8"/>
      <c r="J148" s="55">
        <f t="shared" si="7"/>
        <v>0</v>
      </c>
      <c r="K148" s="8"/>
      <c r="L148" s="8"/>
      <c r="M148" s="8"/>
      <c r="N148" s="8"/>
      <c r="O148" s="117" t="s">
        <v>108</v>
      </c>
      <c r="P148" s="8" t="s">
        <v>43</v>
      </c>
      <c r="Q148" s="8"/>
      <c r="R148" s="116" t="s">
        <v>99</v>
      </c>
      <c r="S148" s="27">
        <v>46172</v>
      </c>
      <c r="T148" t="s">
        <v>45</v>
      </c>
      <c r="U148" s="2" t="s">
        <v>43</v>
      </c>
    </row>
    <row r="149" spans="1:21">
      <c r="A149" s="54">
        <f t="shared" si="6"/>
        <v>148</v>
      </c>
      <c r="B149" s="152" t="s">
        <v>7</v>
      </c>
      <c r="C149" s="10" t="s">
        <v>212</v>
      </c>
      <c r="D149" s="8"/>
      <c r="E149" s="8">
        <v>1</v>
      </c>
      <c r="F149" s="8"/>
      <c r="G149" s="8"/>
      <c r="H149" s="8">
        <v>1</v>
      </c>
      <c r="I149" s="8">
        <v>3</v>
      </c>
      <c r="J149" s="55">
        <f t="shared" si="7"/>
        <v>3</v>
      </c>
      <c r="K149" s="8"/>
      <c r="L149" s="8"/>
      <c r="M149" s="8">
        <v>1</v>
      </c>
      <c r="N149" s="8"/>
      <c r="O149" s="117" t="s">
        <v>108</v>
      </c>
      <c r="P149" s="2" t="s">
        <v>43</v>
      </c>
      <c r="Q149" s="8"/>
      <c r="R149" s="116" t="s">
        <v>99</v>
      </c>
      <c r="S149" s="27">
        <v>46172</v>
      </c>
      <c r="T149" t="s">
        <v>45</v>
      </c>
      <c r="U149" s="2" t="s">
        <v>43</v>
      </c>
    </row>
    <row r="150" spans="1:21">
      <c r="A150" s="54">
        <f t="shared" si="6"/>
        <v>149</v>
      </c>
      <c r="B150" s="152" t="s">
        <v>10</v>
      </c>
      <c r="C150" s="10" t="s">
        <v>213</v>
      </c>
      <c r="D150" s="8"/>
      <c r="E150" s="8">
        <v>1</v>
      </c>
      <c r="F150" s="8"/>
      <c r="G150" s="8"/>
      <c r="H150" s="8">
        <v>1</v>
      </c>
      <c r="I150" s="8">
        <v>2</v>
      </c>
      <c r="J150" s="55">
        <f t="shared" si="7"/>
        <v>2</v>
      </c>
      <c r="K150" s="8"/>
      <c r="L150" s="8"/>
      <c r="M150" s="8">
        <v>1</v>
      </c>
      <c r="N150" s="25"/>
      <c r="O150" s="45" t="s">
        <v>57</v>
      </c>
      <c r="P150" s="2" t="s">
        <v>43</v>
      </c>
      <c r="Q150" s="8"/>
      <c r="R150" s="116" t="s">
        <v>44</v>
      </c>
      <c r="S150" s="27">
        <v>46172</v>
      </c>
      <c r="T150" t="s">
        <v>45</v>
      </c>
      <c r="U150" s="8" t="s">
        <v>64</v>
      </c>
    </row>
    <row r="151" spans="1:21">
      <c r="A151" s="54">
        <f t="shared" si="6"/>
        <v>150</v>
      </c>
      <c r="B151" s="152" t="s">
        <v>5</v>
      </c>
      <c r="C151" s="11" t="s">
        <v>214</v>
      </c>
      <c r="D151" s="8"/>
      <c r="E151" s="8">
        <v>1</v>
      </c>
      <c r="F151" s="8"/>
      <c r="G151" s="8"/>
      <c r="H151" s="8">
        <v>1</v>
      </c>
      <c r="I151" s="8">
        <v>4</v>
      </c>
      <c r="J151" s="55">
        <f t="shared" si="7"/>
        <v>4</v>
      </c>
      <c r="K151" s="8">
        <v>1</v>
      </c>
      <c r="L151" s="8"/>
      <c r="M151" s="8">
        <v>1</v>
      </c>
      <c r="N151" s="8"/>
      <c r="O151" s="117" t="s">
        <v>108</v>
      </c>
      <c r="P151" s="2" t="s">
        <v>43</v>
      </c>
      <c r="Q151" s="8"/>
      <c r="R151" s="116" t="s">
        <v>99</v>
      </c>
      <c r="S151" s="27">
        <v>46172</v>
      </c>
      <c r="T151" t="s">
        <v>45</v>
      </c>
      <c r="U151" s="2" t="s">
        <v>43</v>
      </c>
    </row>
    <row r="152" spans="1:21">
      <c r="A152" s="54">
        <f t="shared" si="6"/>
        <v>151</v>
      </c>
      <c r="B152" s="152" t="s">
        <v>4</v>
      </c>
      <c r="C152" s="11" t="s">
        <v>215</v>
      </c>
      <c r="D152" s="8"/>
      <c r="E152" s="8">
        <v>1</v>
      </c>
      <c r="F152" s="8">
        <v>3</v>
      </c>
      <c r="G152" s="8">
        <v>8</v>
      </c>
      <c r="H152" s="8">
        <v>1</v>
      </c>
      <c r="I152" s="8">
        <v>3</v>
      </c>
      <c r="J152" s="55">
        <f t="shared" si="7"/>
        <v>3</v>
      </c>
      <c r="K152" s="8"/>
      <c r="L152" s="8"/>
      <c r="M152" s="8"/>
      <c r="N152" s="8">
        <v>1</v>
      </c>
      <c r="O152" s="26" t="s">
        <v>42</v>
      </c>
      <c r="P152" s="8" t="s">
        <v>43</v>
      </c>
      <c r="Q152" s="8"/>
      <c r="R152" s="116" t="s">
        <v>77</v>
      </c>
      <c r="S152" s="27">
        <v>46172</v>
      </c>
      <c r="T152" t="s">
        <v>45</v>
      </c>
      <c r="U152" s="2" t="s">
        <v>43</v>
      </c>
    </row>
    <row r="153" spans="1:21">
      <c r="A153" s="54">
        <f t="shared" si="6"/>
        <v>152</v>
      </c>
      <c r="B153" s="152" t="s">
        <v>3</v>
      </c>
      <c r="C153" s="11" t="s">
        <v>216</v>
      </c>
      <c r="D153" s="8"/>
      <c r="E153" s="8">
        <v>1</v>
      </c>
      <c r="F153" s="8">
        <v>8</v>
      </c>
      <c r="G153" s="8">
        <v>1</v>
      </c>
      <c r="H153" s="8">
        <v>1</v>
      </c>
      <c r="I153" s="8">
        <v>3</v>
      </c>
      <c r="J153" s="55">
        <f t="shared" si="7"/>
        <v>3</v>
      </c>
      <c r="K153" s="8"/>
      <c r="L153" s="8"/>
      <c r="M153" s="8"/>
      <c r="N153" s="8">
        <v>1</v>
      </c>
      <c r="O153" s="26" t="s">
        <v>42</v>
      </c>
      <c r="P153" s="8" t="s">
        <v>43</v>
      </c>
      <c r="Q153" s="8"/>
      <c r="R153" s="116" t="s">
        <v>77</v>
      </c>
      <c r="S153" s="27">
        <v>46172</v>
      </c>
      <c r="T153" t="s">
        <v>45</v>
      </c>
      <c r="U153" s="2" t="s">
        <v>43</v>
      </c>
    </row>
    <row r="154" spans="1:21">
      <c r="A154" s="54">
        <f t="shared" si="6"/>
        <v>153</v>
      </c>
      <c r="B154" s="152" t="s">
        <v>10</v>
      </c>
      <c r="C154" s="18" t="s">
        <v>217</v>
      </c>
      <c r="D154" s="8"/>
      <c r="E154" s="8">
        <v>1</v>
      </c>
      <c r="F154" s="8"/>
      <c r="G154" s="8"/>
      <c r="H154" s="8">
        <v>1</v>
      </c>
      <c r="I154" s="8">
        <v>3</v>
      </c>
      <c r="J154" s="55">
        <f t="shared" si="7"/>
        <v>3</v>
      </c>
      <c r="K154" s="8"/>
      <c r="L154" s="8"/>
      <c r="M154" s="8">
        <v>1</v>
      </c>
      <c r="N154" s="8"/>
      <c r="O154" s="26" t="s">
        <v>124</v>
      </c>
      <c r="P154" s="8" t="s">
        <v>64</v>
      </c>
      <c r="Q154" s="8"/>
      <c r="R154" s="116" t="s">
        <v>77</v>
      </c>
      <c r="S154" s="27">
        <v>46172</v>
      </c>
      <c r="T154" t="s">
        <v>45</v>
      </c>
      <c r="U154" s="8" t="s">
        <v>64</v>
      </c>
    </row>
    <row r="155" spans="1:21">
      <c r="A155" s="54">
        <f t="shared" si="6"/>
        <v>154</v>
      </c>
      <c r="B155" s="152" t="s">
        <v>10</v>
      </c>
      <c r="C155" s="18" t="s">
        <v>218</v>
      </c>
      <c r="D155" s="8"/>
      <c r="E155" s="8">
        <v>1</v>
      </c>
      <c r="F155" s="8"/>
      <c r="G155" s="8"/>
      <c r="H155" s="8">
        <v>1</v>
      </c>
      <c r="I155" s="8">
        <v>3</v>
      </c>
      <c r="J155" s="55">
        <f t="shared" si="7"/>
        <v>3</v>
      </c>
      <c r="K155" s="8"/>
      <c r="L155" s="8"/>
      <c r="M155" s="8">
        <v>1</v>
      </c>
      <c r="N155" s="25"/>
      <c r="O155" s="45" t="s">
        <v>85</v>
      </c>
      <c r="P155" s="8" t="s">
        <v>43</v>
      </c>
      <c r="Q155" s="8"/>
      <c r="R155" s="116" t="s">
        <v>99</v>
      </c>
      <c r="S155" s="27">
        <v>46174</v>
      </c>
      <c r="T155" t="s">
        <v>219</v>
      </c>
      <c r="U155" s="8" t="s">
        <v>64</v>
      </c>
    </row>
    <row r="156" spans="1:21">
      <c r="A156" s="54">
        <f t="shared" si="6"/>
        <v>155</v>
      </c>
      <c r="B156" s="152" t="s">
        <v>10</v>
      </c>
      <c r="C156" s="18" t="s">
        <v>220</v>
      </c>
      <c r="D156" s="8"/>
      <c r="E156" s="8">
        <v>1</v>
      </c>
      <c r="F156" s="8"/>
      <c r="G156" s="8"/>
      <c r="H156" s="8">
        <v>1</v>
      </c>
      <c r="I156" s="8">
        <v>3</v>
      </c>
      <c r="J156" s="55">
        <f t="shared" si="7"/>
        <v>3</v>
      </c>
      <c r="K156" s="8"/>
      <c r="L156" s="8"/>
      <c r="M156" s="8">
        <v>1</v>
      </c>
      <c r="N156" s="25"/>
      <c r="O156" s="45" t="s">
        <v>85</v>
      </c>
      <c r="P156" s="8" t="s">
        <v>43</v>
      </c>
      <c r="Q156" s="8"/>
      <c r="R156" s="116" t="s">
        <v>44</v>
      </c>
      <c r="S156" s="27">
        <v>46174</v>
      </c>
      <c r="T156" t="s">
        <v>219</v>
      </c>
      <c r="U156" s="8" t="s">
        <v>64</v>
      </c>
    </row>
    <row r="157" spans="1:21">
      <c r="A157" s="54">
        <f t="shared" si="6"/>
        <v>156</v>
      </c>
      <c r="B157" s="152" t="s">
        <v>6</v>
      </c>
      <c r="C157" s="23" t="s">
        <v>221</v>
      </c>
      <c r="D157" s="8"/>
      <c r="E157" s="8">
        <v>1</v>
      </c>
      <c r="F157" s="8"/>
      <c r="G157" s="8"/>
      <c r="H157" s="8">
        <v>1</v>
      </c>
      <c r="I157" s="8">
        <v>1</v>
      </c>
      <c r="J157" s="55">
        <f t="shared" si="7"/>
        <v>1</v>
      </c>
      <c r="K157" s="8"/>
      <c r="L157" s="8"/>
      <c r="M157" s="8">
        <v>1</v>
      </c>
      <c r="N157" s="25"/>
      <c r="O157" s="66" t="s">
        <v>108</v>
      </c>
      <c r="P157" s="2" t="s">
        <v>43</v>
      </c>
      <c r="Q157" s="8"/>
      <c r="R157" s="116" t="s">
        <v>99</v>
      </c>
      <c r="S157" s="27">
        <v>46174</v>
      </c>
      <c r="T157" t="s">
        <v>219</v>
      </c>
      <c r="U157" s="8" t="s">
        <v>43</v>
      </c>
    </row>
    <row r="158" spans="1:21">
      <c r="A158" s="54">
        <f t="shared" si="6"/>
        <v>157</v>
      </c>
      <c r="B158" s="152" t="s">
        <v>7</v>
      </c>
      <c r="C158" s="11" t="s">
        <v>222</v>
      </c>
      <c r="D158" s="8"/>
      <c r="E158" s="8">
        <v>1</v>
      </c>
      <c r="F158" s="8"/>
      <c r="G158" s="8"/>
      <c r="H158" s="8">
        <v>1</v>
      </c>
      <c r="I158" s="8">
        <v>2</v>
      </c>
      <c r="J158" s="55">
        <f t="shared" si="7"/>
        <v>2</v>
      </c>
      <c r="K158" s="8"/>
      <c r="L158" s="8"/>
      <c r="M158" s="8">
        <v>1</v>
      </c>
      <c r="N158" s="8"/>
      <c r="O158" s="116" t="s">
        <v>69</v>
      </c>
      <c r="P158" s="2" t="s">
        <v>43</v>
      </c>
      <c r="Q158" s="8"/>
      <c r="R158" s="116" t="s">
        <v>77</v>
      </c>
      <c r="S158" s="27">
        <v>46174</v>
      </c>
      <c r="T158" t="s">
        <v>219</v>
      </c>
      <c r="U158" s="8" t="s">
        <v>64</v>
      </c>
    </row>
    <row r="159" spans="1:21">
      <c r="A159" s="54">
        <f t="shared" si="6"/>
        <v>158</v>
      </c>
      <c r="B159" s="152" t="s">
        <v>2</v>
      </c>
      <c r="C159" s="10" t="s">
        <v>223</v>
      </c>
      <c r="D159" s="8"/>
      <c r="E159" s="8">
        <v>1</v>
      </c>
      <c r="F159" s="8"/>
      <c r="G159" s="8"/>
      <c r="H159" s="8">
        <v>1</v>
      </c>
      <c r="I159" s="8">
        <v>2</v>
      </c>
      <c r="J159" s="55">
        <f t="shared" si="7"/>
        <v>2</v>
      </c>
      <c r="K159" s="8"/>
      <c r="L159" s="8"/>
      <c r="M159" s="8">
        <v>1</v>
      </c>
      <c r="N159" s="8"/>
      <c r="O159" s="117" t="s">
        <v>108</v>
      </c>
      <c r="P159" s="8" t="s">
        <v>43</v>
      </c>
      <c r="Q159" s="8"/>
      <c r="R159" s="116" t="s">
        <v>44</v>
      </c>
      <c r="S159" s="27">
        <v>46174</v>
      </c>
      <c r="T159" t="s">
        <v>219</v>
      </c>
      <c r="U159" s="2" t="s">
        <v>43</v>
      </c>
    </row>
    <row r="160" spans="1:21" ht="26.25">
      <c r="A160" s="54">
        <f t="shared" si="6"/>
        <v>159</v>
      </c>
      <c r="B160" s="152" t="s">
        <v>3</v>
      </c>
      <c r="C160" s="11" t="s">
        <v>224</v>
      </c>
      <c r="D160" s="8"/>
      <c r="E160" s="8">
        <v>1</v>
      </c>
      <c r="F160" s="8">
        <v>3</v>
      </c>
      <c r="G160" s="8">
        <v>2</v>
      </c>
      <c r="H160" s="8">
        <v>1</v>
      </c>
      <c r="I160" s="8">
        <v>2</v>
      </c>
      <c r="J160" s="55">
        <f t="shared" si="7"/>
        <v>2</v>
      </c>
      <c r="K160" s="8"/>
      <c r="L160" s="8"/>
      <c r="M160" s="8"/>
      <c r="N160" s="8">
        <v>1</v>
      </c>
      <c r="O160" s="45" t="s">
        <v>57</v>
      </c>
      <c r="P160" s="2" t="s">
        <v>43</v>
      </c>
      <c r="Q160" s="8"/>
      <c r="R160" s="99" t="s">
        <v>55</v>
      </c>
      <c r="S160" s="27">
        <v>46174</v>
      </c>
      <c r="T160" t="s">
        <v>219</v>
      </c>
      <c r="U160" s="2" t="s">
        <v>43</v>
      </c>
    </row>
    <row r="161" spans="1:21">
      <c r="A161" s="54">
        <f t="shared" si="6"/>
        <v>160</v>
      </c>
      <c r="B161" s="152" t="s">
        <v>2</v>
      </c>
      <c r="C161" s="10" t="s">
        <v>225</v>
      </c>
      <c r="D161" s="8"/>
      <c r="E161" s="8">
        <v>1</v>
      </c>
      <c r="F161" s="8"/>
      <c r="G161" s="8"/>
      <c r="H161" s="8">
        <v>1</v>
      </c>
      <c r="I161" s="8">
        <v>3</v>
      </c>
      <c r="J161" s="55">
        <f t="shared" si="7"/>
        <v>3</v>
      </c>
      <c r="K161" s="8"/>
      <c r="L161" s="8"/>
      <c r="M161" s="8">
        <v>1</v>
      </c>
      <c r="N161" s="25"/>
      <c r="O161" s="118" t="s">
        <v>69</v>
      </c>
      <c r="P161" s="8" t="s">
        <v>43</v>
      </c>
      <c r="Q161" s="8"/>
      <c r="R161" s="21" t="s">
        <v>55</v>
      </c>
      <c r="S161" s="27">
        <v>46174</v>
      </c>
      <c r="T161" t="s">
        <v>219</v>
      </c>
      <c r="U161" s="8" t="s">
        <v>43</v>
      </c>
    </row>
    <row r="162" spans="1:21">
      <c r="A162" s="54">
        <f t="shared" si="6"/>
        <v>161</v>
      </c>
      <c r="B162" s="152" t="s">
        <v>3</v>
      </c>
      <c r="C162" s="11" t="s">
        <v>226</v>
      </c>
      <c r="D162" s="8"/>
      <c r="E162" s="8">
        <v>1</v>
      </c>
      <c r="F162" s="8"/>
      <c r="G162" s="8"/>
      <c r="H162" s="8">
        <v>1</v>
      </c>
      <c r="I162" s="8">
        <v>3</v>
      </c>
      <c r="J162" s="55">
        <f t="shared" si="7"/>
        <v>3</v>
      </c>
      <c r="K162" s="8"/>
      <c r="L162" s="8"/>
      <c r="M162" s="8"/>
      <c r="N162" s="8">
        <v>1</v>
      </c>
      <c r="O162" s="45" t="s">
        <v>57</v>
      </c>
      <c r="P162" s="2" t="s">
        <v>43</v>
      </c>
      <c r="Q162" s="8"/>
      <c r="R162" s="99" t="s">
        <v>55</v>
      </c>
      <c r="S162" s="27">
        <v>46174</v>
      </c>
      <c r="T162" t="s">
        <v>219</v>
      </c>
      <c r="U162" s="2" t="s">
        <v>43</v>
      </c>
    </row>
    <row r="163" spans="1:21">
      <c r="A163" s="54">
        <f t="shared" si="6"/>
        <v>162</v>
      </c>
      <c r="B163" s="152" t="s">
        <v>6</v>
      </c>
      <c r="C163" s="10" t="s">
        <v>227</v>
      </c>
      <c r="D163" s="8"/>
      <c r="E163" s="8">
        <v>1</v>
      </c>
      <c r="F163" s="8"/>
      <c r="G163" s="8"/>
      <c r="H163" s="8">
        <v>1</v>
      </c>
      <c r="I163" s="8">
        <v>2</v>
      </c>
      <c r="J163" s="55">
        <f t="shared" si="7"/>
        <v>2</v>
      </c>
      <c r="K163" s="8"/>
      <c r="L163" s="8"/>
      <c r="M163" s="8">
        <v>1</v>
      </c>
      <c r="N163" s="8"/>
      <c r="O163" s="22" t="s">
        <v>42</v>
      </c>
      <c r="P163" s="8" t="s">
        <v>43</v>
      </c>
      <c r="Q163" s="8"/>
      <c r="R163" s="99" t="s">
        <v>55</v>
      </c>
      <c r="S163" s="27">
        <v>46174</v>
      </c>
      <c r="T163" t="s">
        <v>219</v>
      </c>
      <c r="U163" s="8" t="s">
        <v>43</v>
      </c>
    </row>
    <row r="164" spans="1:21">
      <c r="A164" s="54">
        <f t="shared" si="6"/>
        <v>163</v>
      </c>
      <c r="B164" s="152" t="s">
        <v>3</v>
      </c>
      <c r="C164" s="10" t="s">
        <v>228</v>
      </c>
      <c r="D164" s="8"/>
      <c r="E164" s="8">
        <v>1</v>
      </c>
      <c r="F164" s="8">
        <v>2</v>
      </c>
      <c r="G164" s="8">
        <v>2</v>
      </c>
      <c r="H164" s="8">
        <v>1</v>
      </c>
      <c r="I164" s="8">
        <v>3</v>
      </c>
      <c r="J164" s="55">
        <f t="shared" si="7"/>
        <v>3</v>
      </c>
      <c r="K164" s="8"/>
      <c r="L164" s="8"/>
      <c r="M164" s="8"/>
      <c r="N164" s="8">
        <v>1</v>
      </c>
      <c r="O164" s="45" t="s">
        <v>85</v>
      </c>
      <c r="P164" s="2" t="s">
        <v>43</v>
      </c>
      <c r="Q164" s="8"/>
      <c r="R164" s="116" t="s">
        <v>99</v>
      </c>
      <c r="S164" s="27">
        <v>46174</v>
      </c>
      <c r="T164" t="s">
        <v>219</v>
      </c>
      <c r="U164" s="2" t="s">
        <v>43</v>
      </c>
    </row>
    <row r="165" spans="1:21">
      <c r="A165" s="54">
        <f t="shared" si="6"/>
        <v>164</v>
      </c>
      <c r="B165" s="152" t="s">
        <v>7</v>
      </c>
      <c r="C165" s="11" t="s">
        <v>229</v>
      </c>
      <c r="D165" s="8"/>
      <c r="E165" s="8">
        <v>1</v>
      </c>
      <c r="F165" s="8"/>
      <c r="G165" s="8"/>
      <c r="H165" s="8">
        <v>1</v>
      </c>
      <c r="I165" s="8">
        <v>2</v>
      </c>
      <c r="J165" s="55">
        <f t="shared" si="7"/>
        <v>2</v>
      </c>
      <c r="K165" s="8"/>
      <c r="L165" s="8"/>
      <c r="M165" s="8">
        <v>1</v>
      </c>
      <c r="N165" s="8"/>
      <c r="O165" s="26" t="s">
        <v>60</v>
      </c>
      <c r="P165" s="2" t="s">
        <v>43</v>
      </c>
      <c r="Q165" s="8"/>
      <c r="R165" s="116" t="s">
        <v>44</v>
      </c>
      <c r="S165" s="27">
        <v>46174</v>
      </c>
      <c r="T165" t="s">
        <v>219</v>
      </c>
      <c r="U165" s="8" t="s">
        <v>43</v>
      </c>
    </row>
    <row r="166" spans="1:21">
      <c r="A166" s="54">
        <f t="shared" si="6"/>
        <v>165</v>
      </c>
      <c r="B166" s="152" t="s">
        <v>16</v>
      </c>
      <c r="C166" s="10" t="s">
        <v>230</v>
      </c>
      <c r="D166" s="8"/>
      <c r="E166" s="8">
        <v>1</v>
      </c>
      <c r="F166" s="8">
        <v>1</v>
      </c>
      <c r="G166" s="8">
        <v>9</v>
      </c>
      <c r="H166" s="8">
        <v>1</v>
      </c>
      <c r="I166" s="8">
        <v>1</v>
      </c>
      <c r="J166" s="55">
        <f t="shared" si="7"/>
        <v>1</v>
      </c>
      <c r="K166" s="8"/>
      <c r="L166" s="8"/>
      <c r="M166" s="8"/>
      <c r="N166" s="8">
        <v>1</v>
      </c>
      <c r="O166" s="8" t="s">
        <v>231</v>
      </c>
      <c r="P166" s="2" t="s">
        <v>43</v>
      </c>
      <c r="Q166" s="8"/>
      <c r="R166" s="116" t="s">
        <v>99</v>
      </c>
      <c r="S166" s="27">
        <v>46174</v>
      </c>
      <c r="T166" t="s">
        <v>219</v>
      </c>
      <c r="U166" s="2" t="s">
        <v>43</v>
      </c>
    </row>
    <row r="167" spans="1:21">
      <c r="A167" s="54">
        <f t="shared" si="6"/>
        <v>166</v>
      </c>
      <c r="B167" s="152" t="s">
        <v>2</v>
      </c>
      <c r="C167" s="10" t="s">
        <v>232</v>
      </c>
      <c r="D167" s="8"/>
      <c r="E167" s="8">
        <v>1</v>
      </c>
      <c r="F167" s="8">
        <v>2</v>
      </c>
      <c r="G167" s="8">
        <v>1</v>
      </c>
      <c r="H167" s="8">
        <v>1</v>
      </c>
      <c r="I167" s="8">
        <v>3</v>
      </c>
      <c r="J167" s="55">
        <f t="shared" si="7"/>
        <v>3</v>
      </c>
      <c r="K167" s="8"/>
      <c r="L167" s="8"/>
      <c r="M167" s="8"/>
      <c r="N167" s="8">
        <v>1</v>
      </c>
      <c r="O167" s="45" t="s">
        <v>72</v>
      </c>
      <c r="P167" s="8" t="s">
        <v>43</v>
      </c>
      <c r="Q167" s="8"/>
      <c r="R167" s="116" t="s">
        <v>44</v>
      </c>
      <c r="S167" s="27">
        <v>46174</v>
      </c>
      <c r="T167" t="s">
        <v>219</v>
      </c>
      <c r="U167" s="2" t="s">
        <v>43</v>
      </c>
    </row>
    <row r="168" spans="1:21">
      <c r="A168" s="54">
        <f t="shared" si="6"/>
        <v>167</v>
      </c>
      <c r="B168" s="152" t="s">
        <v>5</v>
      </c>
      <c r="C168" s="10" t="s">
        <v>233</v>
      </c>
      <c r="D168" s="8"/>
      <c r="E168" s="8">
        <v>1</v>
      </c>
      <c r="F168" s="8">
        <v>3</v>
      </c>
      <c r="G168" s="8">
        <v>1</v>
      </c>
      <c r="H168" s="8">
        <v>1</v>
      </c>
      <c r="I168" s="8">
        <v>3</v>
      </c>
      <c r="J168" s="55">
        <f t="shared" si="7"/>
        <v>3</v>
      </c>
      <c r="K168" s="8"/>
      <c r="L168" s="8"/>
      <c r="M168" s="8"/>
      <c r="N168" s="8">
        <v>1</v>
      </c>
      <c r="O168" s="45" t="s">
        <v>85</v>
      </c>
      <c r="P168" s="2" t="s">
        <v>43</v>
      </c>
      <c r="Q168" s="8"/>
      <c r="R168" s="116" t="s">
        <v>99</v>
      </c>
      <c r="S168" s="27">
        <v>46174</v>
      </c>
      <c r="T168" t="s">
        <v>219</v>
      </c>
      <c r="U168" s="2" t="s">
        <v>43</v>
      </c>
    </row>
    <row r="169" spans="1:21">
      <c r="A169" s="54">
        <f t="shared" si="6"/>
        <v>168</v>
      </c>
      <c r="B169" s="152" t="s">
        <v>2</v>
      </c>
      <c r="C169" s="11" t="s">
        <v>234</v>
      </c>
      <c r="D169" s="8"/>
      <c r="E169" s="8">
        <v>1</v>
      </c>
      <c r="F169" s="8"/>
      <c r="G169" s="8"/>
      <c r="H169" s="8">
        <v>1</v>
      </c>
      <c r="I169" s="8">
        <v>3</v>
      </c>
      <c r="J169" s="55">
        <f t="shared" si="7"/>
        <v>3</v>
      </c>
      <c r="K169" s="8"/>
      <c r="L169" s="8"/>
      <c r="M169" s="8">
        <v>1</v>
      </c>
      <c r="N169" s="25"/>
      <c r="O169" s="45" t="s">
        <v>57</v>
      </c>
      <c r="P169" s="8" t="s">
        <v>43</v>
      </c>
      <c r="Q169" s="8"/>
      <c r="R169" s="21" t="s">
        <v>55</v>
      </c>
      <c r="S169" s="27">
        <v>46174</v>
      </c>
      <c r="T169" t="s">
        <v>219</v>
      </c>
      <c r="U169" s="8" t="s">
        <v>43</v>
      </c>
    </row>
    <row r="170" spans="1:21">
      <c r="A170" s="54">
        <f t="shared" si="6"/>
        <v>169</v>
      </c>
      <c r="B170" s="152" t="s">
        <v>6</v>
      </c>
      <c r="C170" s="10" t="s">
        <v>235</v>
      </c>
      <c r="D170" s="8"/>
      <c r="E170" s="8">
        <v>1</v>
      </c>
      <c r="F170" s="8"/>
      <c r="G170" s="8"/>
      <c r="H170" s="8">
        <v>1</v>
      </c>
      <c r="I170" s="8">
        <v>4</v>
      </c>
      <c r="J170" s="55">
        <f t="shared" si="7"/>
        <v>4</v>
      </c>
      <c r="K170" s="8">
        <v>1</v>
      </c>
      <c r="L170" s="8"/>
      <c r="M170" s="8">
        <v>1</v>
      </c>
      <c r="N170" s="8"/>
      <c r="O170" s="22" t="s">
        <v>124</v>
      </c>
      <c r="P170" s="8" t="s">
        <v>43</v>
      </c>
      <c r="Q170" s="8"/>
      <c r="R170" s="116" t="s">
        <v>99</v>
      </c>
      <c r="S170" s="27">
        <v>46174</v>
      </c>
      <c r="T170" t="s">
        <v>219</v>
      </c>
      <c r="U170" s="2" t="s">
        <v>43</v>
      </c>
    </row>
    <row r="171" spans="1:21">
      <c r="A171" s="54">
        <f t="shared" si="6"/>
        <v>170</v>
      </c>
      <c r="B171" s="152" t="s">
        <v>10</v>
      </c>
      <c r="C171" s="10" t="s">
        <v>236</v>
      </c>
      <c r="D171" s="8"/>
      <c r="E171" s="8">
        <v>1</v>
      </c>
      <c r="F171" s="8"/>
      <c r="G171" s="8"/>
      <c r="H171" s="8">
        <v>1</v>
      </c>
      <c r="I171" s="8">
        <v>3</v>
      </c>
      <c r="J171" s="55">
        <f t="shared" si="7"/>
        <v>3</v>
      </c>
      <c r="K171" s="8"/>
      <c r="L171" s="8"/>
      <c r="M171" s="8">
        <v>1</v>
      </c>
      <c r="N171" s="25"/>
      <c r="O171" s="45" t="s">
        <v>57</v>
      </c>
      <c r="P171" s="8" t="s">
        <v>43</v>
      </c>
      <c r="Q171" s="8"/>
      <c r="R171" s="21" t="s">
        <v>55</v>
      </c>
      <c r="S171" s="27">
        <v>46174</v>
      </c>
      <c r="T171" t="s">
        <v>219</v>
      </c>
      <c r="U171" s="8" t="s">
        <v>43</v>
      </c>
    </row>
    <row r="172" spans="1:21">
      <c r="A172" s="54">
        <f t="shared" si="6"/>
        <v>171</v>
      </c>
      <c r="B172" s="152" t="s">
        <v>8</v>
      </c>
      <c r="C172" s="10" t="s">
        <v>237</v>
      </c>
      <c r="D172" s="8"/>
      <c r="E172" s="8">
        <v>1</v>
      </c>
      <c r="F172" s="8"/>
      <c r="G172" s="8"/>
      <c r="H172" s="8">
        <v>1</v>
      </c>
      <c r="I172" s="8">
        <v>3</v>
      </c>
      <c r="J172" s="55">
        <f t="shared" si="7"/>
        <v>3</v>
      </c>
      <c r="K172" s="8"/>
      <c r="L172" s="8"/>
      <c r="M172" s="8">
        <v>1</v>
      </c>
      <c r="N172" s="25"/>
      <c r="O172" s="66" t="s">
        <v>108</v>
      </c>
      <c r="P172" s="2" t="s">
        <v>43</v>
      </c>
      <c r="Q172" s="8"/>
      <c r="R172" s="116" t="s">
        <v>99</v>
      </c>
      <c r="S172" s="27">
        <v>46174</v>
      </c>
      <c r="T172" t="s">
        <v>219</v>
      </c>
      <c r="U172" s="8" t="s">
        <v>43</v>
      </c>
    </row>
    <row r="173" spans="1:21">
      <c r="A173" s="54">
        <f t="shared" si="6"/>
        <v>172</v>
      </c>
      <c r="B173" s="152" t="s">
        <v>8</v>
      </c>
      <c r="C173" s="10" t="s">
        <v>238</v>
      </c>
      <c r="D173" s="8"/>
      <c r="E173" s="8">
        <v>1</v>
      </c>
      <c r="F173" s="8"/>
      <c r="G173" s="8"/>
      <c r="H173" s="8">
        <v>1</v>
      </c>
      <c r="I173" s="8">
        <v>2</v>
      </c>
      <c r="J173" s="55">
        <f t="shared" si="7"/>
        <v>2</v>
      </c>
      <c r="K173" s="8"/>
      <c r="L173" s="8"/>
      <c r="M173" s="8">
        <v>1</v>
      </c>
      <c r="N173" s="25"/>
      <c r="O173" s="45" t="s">
        <v>57</v>
      </c>
      <c r="P173" s="8" t="s">
        <v>43</v>
      </c>
      <c r="Q173" s="8"/>
      <c r="R173" s="99" t="s">
        <v>55</v>
      </c>
      <c r="S173" s="27">
        <v>46174</v>
      </c>
      <c r="T173" t="s">
        <v>219</v>
      </c>
      <c r="U173" s="8" t="s">
        <v>64</v>
      </c>
    </row>
    <row r="174" spans="1:21">
      <c r="A174" s="54">
        <f t="shared" si="6"/>
        <v>173</v>
      </c>
      <c r="B174" s="152" t="s">
        <v>5</v>
      </c>
      <c r="C174" s="9" t="s">
        <v>239</v>
      </c>
      <c r="D174" s="8"/>
      <c r="E174" s="8">
        <v>1</v>
      </c>
      <c r="F174" s="8"/>
      <c r="G174" s="8"/>
      <c r="H174" s="8">
        <v>1</v>
      </c>
      <c r="I174" s="8">
        <v>2</v>
      </c>
      <c r="J174" s="55">
        <f t="shared" si="7"/>
        <v>2</v>
      </c>
      <c r="K174" s="8"/>
      <c r="L174" s="8"/>
      <c r="M174" s="8">
        <v>1</v>
      </c>
      <c r="N174" s="8"/>
      <c r="O174" s="45" t="s">
        <v>72</v>
      </c>
      <c r="P174" s="2" t="s">
        <v>43</v>
      </c>
      <c r="Q174" s="8"/>
      <c r="R174" s="116" t="s">
        <v>44</v>
      </c>
      <c r="S174" s="27">
        <v>46174</v>
      </c>
      <c r="T174" t="s">
        <v>219</v>
      </c>
      <c r="U174" s="2" t="s">
        <v>43</v>
      </c>
    </row>
    <row r="175" spans="1:21">
      <c r="A175" s="54">
        <f t="shared" si="6"/>
        <v>174</v>
      </c>
      <c r="B175" s="152" t="s">
        <v>10</v>
      </c>
      <c r="C175" s="11" t="s">
        <v>240</v>
      </c>
      <c r="D175" s="8"/>
      <c r="E175" s="8">
        <v>1</v>
      </c>
      <c r="F175" s="8"/>
      <c r="G175" s="8"/>
      <c r="H175" s="8">
        <v>1</v>
      </c>
      <c r="I175" s="8">
        <v>2</v>
      </c>
      <c r="J175" s="55">
        <f t="shared" si="7"/>
        <v>2</v>
      </c>
      <c r="K175" s="8"/>
      <c r="L175" s="8"/>
      <c r="M175" s="8">
        <v>1</v>
      </c>
      <c r="N175" s="8"/>
      <c r="O175" s="19" t="s">
        <v>60</v>
      </c>
      <c r="P175" s="8" t="s">
        <v>64</v>
      </c>
      <c r="Q175" s="8"/>
      <c r="R175" s="116" t="s">
        <v>44</v>
      </c>
      <c r="S175" s="27">
        <v>46174</v>
      </c>
      <c r="T175" t="s">
        <v>219</v>
      </c>
      <c r="U175" s="8" t="s">
        <v>64</v>
      </c>
    </row>
    <row r="176" spans="1:21">
      <c r="A176" s="54">
        <f t="shared" si="6"/>
        <v>175</v>
      </c>
      <c r="B176" s="152" t="s">
        <v>4</v>
      </c>
      <c r="C176" s="10" t="s">
        <v>241</v>
      </c>
      <c r="D176" s="8"/>
      <c r="E176" s="8">
        <v>1</v>
      </c>
      <c r="F176" s="8"/>
      <c r="G176" s="8"/>
      <c r="H176" s="8">
        <v>1</v>
      </c>
      <c r="I176" s="8">
        <v>2</v>
      </c>
      <c r="J176" s="55">
        <f t="shared" si="7"/>
        <v>2</v>
      </c>
      <c r="K176" s="39"/>
      <c r="L176" s="8"/>
      <c r="M176" s="8">
        <v>1</v>
      </c>
      <c r="N176" s="25"/>
      <c r="O176" s="45" t="s">
        <v>57</v>
      </c>
      <c r="P176" s="8" t="s">
        <v>43</v>
      </c>
      <c r="Q176" s="8"/>
      <c r="R176" s="21" t="s">
        <v>55</v>
      </c>
      <c r="S176" s="27">
        <v>46174</v>
      </c>
      <c r="T176" t="s">
        <v>219</v>
      </c>
      <c r="U176" s="2" t="s">
        <v>43</v>
      </c>
    </row>
    <row r="177" spans="1:21">
      <c r="A177" s="54">
        <f t="shared" si="6"/>
        <v>176</v>
      </c>
      <c r="B177" s="152" t="s">
        <v>7</v>
      </c>
      <c r="C177" s="10" t="s">
        <v>242</v>
      </c>
      <c r="D177" s="8"/>
      <c r="E177" s="8">
        <v>1</v>
      </c>
      <c r="F177" s="8"/>
      <c r="G177" s="8"/>
      <c r="H177" s="8">
        <v>1</v>
      </c>
      <c r="I177" s="8">
        <v>1</v>
      </c>
      <c r="J177" s="55">
        <f t="shared" si="7"/>
        <v>1</v>
      </c>
      <c r="K177" s="40"/>
      <c r="L177" s="8"/>
      <c r="M177" s="8">
        <v>1</v>
      </c>
      <c r="N177" s="25"/>
      <c r="O177" s="66" t="s">
        <v>85</v>
      </c>
      <c r="P177" s="2" t="s">
        <v>43</v>
      </c>
      <c r="Q177" s="8"/>
      <c r="R177" s="21" t="s">
        <v>55</v>
      </c>
      <c r="S177" s="27">
        <v>46174</v>
      </c>
      <c r="T177" t="s">
        <v>219</v>
      </c>
      <c r="U177" s="8" t="s">
        <v>64</v>
      </c>
    </row>
    <row r="178" spans="1:21">
      <c r="A178" s="54">
        <f t="shared" si="6"/>
        <v>177</v>
      </c>
      <c r="B178" s="152" t="s">
        <v>5</v>
      </c>
      <c r="C178" s="10" t="s">
        <v>243</v>
      </c>
      <c r="D178" s="8"/>
      <c r="E178" s="18">
        <v>1</v>
      </c>
      <c r="G178" s="81"/>
      <c r="H178" s="24">
        <v>1</v>
      </c>
      <c r="I178" s="25">
        <v>3</v>
      </c>
      <c r="J178" s="55">
        <f t="shared" si="7"/>
        <v>3</v>
      </c>
      <c r="K178" s="40"/>
      <c r="L178" s="41"/>
      <c r="M178" s="42">
        <v>1</v>
      </c>
      <c r="N178" s="43"/>
      <c r="O178" s="45" t="s">
        <v>85</v>
      </c>
      <c r="P178" s="2" t="s">
        <v>43</v>
      </c>
      <c r="Q178" s="8"/>
      <c r="R178" s="116" t="s">
        <v>77</v>
      </c>
      <c r="S178" s="27">
        <v>46175</v>
      </c>
      <c r="T178" t="s">
        <v>219</v>
      </c>
      <c r="U178" s="8" t="s">
        <v>64</v>
      </c>
    </row>
    <row r="179" spans="1:21">
      <c r="A179" s="54">
        <f t="shared" si="6"/>
        <v>178</v>
      </c>
      <c r="B179" s="152" t="s">
        <v>6</v>
      </c>
      <c r="C179" s="10" t="s">
        <v>244</v>
      </c>
      <c r="D179" s="8"/>
      <c r="E179" s="18">
        <v>1</v>
      </c>
      <c r="F179" s="82"/>
      <c r="G179" s="83"/>
      <c r="H179" s="24">
        <v>1</v>
      </c>
      <c r="I179" s="25">
        <v>3</v>
      </c>
      <c r="J179" s="55">
        <f t="shared" si="7"/>
        <v>3</v>
      </c>
      <c r="K179" s="40"/>
      <c r="L179" s="44"/>
      <c r="M179" s="42">
        <v>1</v>
      </c>
      <c r="N179" s="45"/>
      <c r="O179" s="117" t="s">
        <v>108</v>
      </c>
      <c r="P179" s="8" t="s">
        <v>43</v>
      </c>
      <c r="Q179" s="8"/>
      <c r="R179" s="116" t="s">
        <v>99</v>
      </c>
      <c r="S179" s="27">
        <v>46175</v>
      </c>
      <c r="T179" t="s">
        <v>219</v>
      </c>
      <c r="U179" s="2" t="s">
        <v>43</v>
      </c>
    </row>
    <row r="180" spans="1:21">
      <c r="A180" s="54">
        <f t="shared" si="6"/>
        <v>179</v>
      </c>
      <c r="B180" s="152" t="s">
        <v>3</v>
      </c>
      <c r="C180" s="84" t="s">
        <v>245</v>
      </c>
      <c r="D180" s="8"/>
      <c r="E180" s="8">
        <v>1</v>
      </c>
      <c r="F180" s="85">
        <v>15</v>
      </c>
      <c r="G180" s="85">
        <v>2</v>
      </c>
      <c r="H180" s="8">
        <v>1</v>
      </c>
      <c r="I180" s="8">
        <v>1</v>
      </c>
      <c r="J180" s="55">
        <f t="shared" si="7"/>
        <v>1</v>
      </c>
      <c r="K180" s="8"/>
      <c r="L180" s="8">
        <v>1</v>
      </c>
      <c r="M180" s="8"/>
      <c r="N180" s="8">
        <v>1</v>
      </c>
      <c r="O180" s="45" t="s">
        <v>57</v>
      </c>
      <c r="P180" s="8" t="s">
        <v>43</v>
      </c>
      <c r="Q180" s="8"/>
      <c r="R180" s="116" t="s">
        <v>44</v>
      </c>
      <c r="S180" s="27">
        <v>46175</v>
      </c>
      <c r="T180" t="s">
        <v>219</v>
      </c>
      <c r="U180" s="2" t="s">
        <v>43</v>
      </c>
    </row>
    <row r="181" spans="1:21">
      <c r="A181" s="54">
        <f t="shared" si="6"/>
        <v>180</v>
      </c>
      <c r="B181" s="152" t="s">
        <v>12</v>
      </c>
      <c r="C181" s="51" t="s">
        <v>246</v>
      </c>
      <c r="D181" s="8"/>
      <c r="E181" s="8">
        <v>1</v>
      </c>
      <c r="F181" s="8"/>
      <c r="G181" s="15"/>
      <c r="H181" s="8">
        <v>1</v>
      </c>
      <c r="I181" s="8">
        <v>4</v>
      </c>
      <c r="J181" s="55">
        <f t="shared" si="7"/>
        <v>4</v>
      </c>
      <c r="K181" s="8">
        <v>1</v>
      </c>
      <c r="L181" s="8"/>
      <c r="M181" s="8">
        <v>1</v>
      </c>
      <c r="N181" s="8"/>
      <c r="O181" s="118" t="s">
        <v>69</v>
      </c>
      <c r="P181" s="2" t="s">
        <v>64</v>
      </c>
      <c r="Q181" s="8" t="s">
        <v>177</v>
      </c>
      <c r="R181" s="116" t="s">
        <v>44</v>
      </c>
      <c r="S181" s="27">
        <v>46175</v>
      </c>
      <c r="T181" t="s">
        <v>219</v>
      </c>
      <c r="U181" s="8" t="s">
        <v>64</v>
      </c>
    </row>
    <row r="182" spans="1:21" ht="30">
      <c r="A182" s="54">
        <f t="shared" si="6"/>
        <v>181</v>
      </c>
      <c r="B182" s="152" t="s">
        <v>5</v>
      </c>
      <c r="C182" s="84" t="s">
        <v>247</v>
      </c>
      <c r="D182" s="8"/>
      <c r="E182" s="8">
        <v>1</v>
      </c>
      <c r="F182" s="85">
        <v>6</v>
      </c>
      <c r="G182" s="85">
        <v>3</v>
      </c>
      <c r="H182" s="8">
        <v>1</v>
      </c>
      <c r="I182" s="8">
        <v>3</v>
      </c>
      <c r="J182" s="55">
        <f t="shared" si="7"/>
        <v>3</v>
      </c>
      <c r="K182" s="8"/>
      <c r="L182" s="8"/>
      <c r="M182" s="8">
        <v>1</v>
      </c>
      <c r="N182" s="8"/>
      <c r="O182" s="118" t="s">
        <v>69</v>
      </c>
      <c r="P182" s="2" t="s">
        <v>64</v>
      </c>
      <c r="Q182" s="8" t="s">
        <v>248</v>
      </c>
      <c r="R182" s="116" t="s">
        <v>99</v>
      </c>
      <c r="S182" s="27">
        <v>46175</v>
      </c>
      <c r="T182" t="s">
        <v>219</v>
      </c>
      <c r="U182" s="8" t="s">
        <v>64</v>
      </c>
    </row>
    <row r="183" spans="1:21">
      <c r="A183" s="54">
        <f t="shared" si="6"/>
        <v>182</v>
      </c>
      <c r="B183" s="152" t="s">
        <v>5</v>
      </c>
      <c r="C183" s="51" t="s">
        <v>249</v>
      </c>
      <c r="D183" s="8"/>
      <c r="E183" s="8">
        <v>1</v>
      </c>
      <c r="F183" s="8"/>
      <c r="G183" s="15"/>
      <c r="H183" s="8">
        <v>1</v>
      </c>
      <c r="I183" s="8">
        <v>4</v>
      </c>
      <c r="J183" s="55">
        <f t="shared" si="7"/>
        <v>4</v>
      </c>
      <c r="K183" s="8">
        <v>1</v>
      </c>
      <c r="L183" s="8"/>
      <c r="M183" s="8">
        <v>1</v>
      </c>
      <c r="N183" s="8"/>
      <c r="O183" s="15" t="s">
        <v>42</v>
      </c>
      <c r="P183" s="2" t="s">
        <v>43</v>
      </c>
      <c r="Q183" s="8"/>
      <c r="R183" s="116" t="s">
        <v>44</v>
      </c>
      <c r="S183" s="27">
        <v>46175</v>
      </c>
      <c r="T183" t="s">
        <v>219</v>
      </c>
      <c r="U183" s="2" t="s">
        <v>43</v>
      </c>
    </row>
    <row r="184" spans="1:21">
      <c r="A184" s="54">
        <f t="shared" si="6"/>
        <v>183</v>
      </c>
      <c r="B184" s="152" t="s">
        <v>3</v>
      </c>
      <c r="C184" s="84" t="s">
        <v>250</v>
      </c>
      <c r="D184" s="8"/>
      <c r="E184" s="8">
        <v>1</v>
      </c>
      <c r="F184" s="85">
        <v>3</v>
      </c>
      <c r="G184" s="85">
        <v>2</v>
      </c>
      <c r="H184" s="8">
        <v>1</v>
      </c>
      <c r="I184" s="8">
        <v>3</v>
      </c>
      <c r="J184" s="55">
        <f t="shared" si="7"/>
        <v>3</v>
      </c>
      <c r="K184" s="8"/>
      <c r="L184" s="8">
        <v>1</v>
      </c>
      <c r="M184" s="8"/>
      <c r="N184" s="8">
        <v>1</v>
      </c>
      <c r="O184" s="45" t="s">
        <v>85</v>
      </c>
      <c r="P184" s="2" t="s">
        <v>43</v>
      </c>
      <c r="Q184" s="8"/>
      <c r="R184" s="85" t="s">
        <v>55</v>
      </c>
      <c r="S184" s="27">
        <v>46175</v>
      </c>
      <c r="T184" t="s">
        <v>219</v>
      </c>
      <c r="U184" s="2" t="s">
        <v>43</v>
      </c>
    </row>
    <row r="185" spans="1:21">
      <c r="A185" s="54">
        <f t="shared" si="6"/>
        <v>184</v>
      </c>
      <c r="B185" s="152" t="s">
        <v>5</v>
      </c>
      <c r="C185" s="51" t="s">
        <v>251</v>
      </c>
      <c r="D185" s="8"/>
      <c r="E185" s="8">
        <v>1</v>
      </c>
      <c r="F185" s="8"/>
      <c r="G185" s="15"/>
      <c r="H185" s="8">
        <v>1</v>
      </c>
      <c r="I185" s="8">
        <v>4</v>
      </c>
      <c r="J185" s="55">
        <f t="shared" si="7"/>
        <v>4</v>
      </c>
      <c r="K185" s="8">
        <v>1</v>
      </c>
      <c r="L185" s="8"/>
      <c r="M185" s="8">
        <v>1</v>
      </c>
      <c r="N185" s="8"/>
      <c r="O185" s="45" t="s">
        <v>57</v>
      </c>
      <c r="P185" s="2" t="s">
        <v>43</v>
      </c>
      <c r="Q185" s="8"/>
      <c r="R185" s="116" t="s">
        <v>44</v>
      </c>
      <c r="S185" s="27">
        <v>46175</v>
      </c>
      <c r="T185" t="s">
        <v>219</v>
      </c>
      <c r="U185" s="2" t="s">
        <v>43</v>
      </c>
    </row>
    <row r="186" spans="1:21">
      <c r="A186" s="54">
        <f t="shared" si="6"/>
        <v>185</v>
      </c>
      <c r="B186" s="152" t="s">
        <v>16</v>
      </c>
      <c r="C186" s="84" t="s">
        <v>252</v>
      </c>
      <c r="D186" s="8"/>
      <c r="E186" s="8">
        <v>1</v>
      </c>
      <c r="F186" s="85">
        <v>10</v>
      </c>
      <c r="G186" s="85">
        <v>2</v>
      </c>
      <c r="H186" s="8">
        <v>1</v>
      </c>
      <c r="I186" s="8">
        <v>3</v>
      </c>
      <c r="J186" s="55">
        <f t="shared" si="7"/>
        <v>3</v>
      </c>
      <c r="K186" s="8"/>
      <c r="L186" s="8"/>
      <c r="M186" s="8"/>
      <c r="N186" s="8">
        <v>1</v>
      </c>
      <c r="O186" s="85" t="s">
        <v>42</v>
      </c>
      <c r="P186" s="2" t="s">
        <v>43</v>
      </c>
      <c r="Q186" s="8"/>
      <c r="R186" s="116" t="s">
        <v>77</v>
      </c>
      <c r="S186" s="27">
        <v>46175</v>
      </c>
      <c r="T186" t="s">
        <v>219</v>
      </c>
      <c r="U186" s="2" t="s">
        <v>43</v>
      </c>
    </row>
    <row r="187" spans="1:21">
      <c r="A187" s="54">
        <f t="shared" si="6"/>
        <v>186</v>
      </c>
      <c r="B187" s="152" t="s">
        <v>19</v>
      </c>
      <c r="C187" s="51" t="s">
        <v>253</v>
      </c>
      <c r="D187" s="8"/>
      <c r="E187" s="8">
        <v>1</v>
      </c>
      <c r="F187" s="15">
        <v>0</v>
      </c>
      <c r="G187" s="15">
        <v>2</v>
      </c>
      <c r="H187" s="8">
        <v>1</v>
      </c>
      <c r="I187" s="8">
        <v>3</v>
      </c>
      <c r="J187" s="55">
        <f t="shared" si="7"/>
        <v>3</v>
      </c>
      <c r="K187" s="8"/>
      <c r="L187" s="8"/>
      <c r="M187" s="8"/>
      <c r="N187" s="8">
        <v>1</v>
      </c>
      <c r="O187" s="45" t="s">
        <v>92</v>
      </c>
      <c r="P187" s="8" t="s">
        <v>43</v>
      </c>
      <c r="Q187" s="8"/>
      <c r="R187" s="116" t="s">
        <v>44</v>
      </c>
      <c r="S187" s="27">
        <v>46175</v>
      </c>
      <c r="T187" t="s">
        <v>219</v>
      </c>
      <c r="U187" s="2" t="s">
        <v>43</v>
      </c>
    </row>
    <row r="188" spans="1:21">
      <c r="A188" s="54">
        <f t="shared" si="6"/>
        <v>187</v>
      </c>
      <c r="B188" s="152" t="s">
        <v>7</v>
      </c>
      <c r="C188" s="84" t="s">
        <v>254</v>
      </c>
      <c r="D188" s="8"/>
      <c r="E188" s="8">
        <v>1</v>
      </c>
      <c r="F188" s="8"/>
      <c r="G188" s="85"/>
      <c r="H188" s="8">
        <v>1</v>
      </c>
      <c r="I188" s="8">
        <v>1</v>
      </c>
      <c r="J188" s="55">
        <f t="shared" si="7"/>
        <v>1</v>
      </c>
      <c r="K188" s="8"/>
      <c r="L188" s="8"/>
      <c r="M188" s="8">
        <v>1</v>
      </c>
      <c r="N188" s="8"/>
      <c r="O188" s="45" t="s">
        <v>85</v>
      </c>
      <c r="P188" s="8" t="s">
        <v>43</v>
      </c>
      <c r="Q188" s="8"/>
      <c r="R188" s="116" t="s">
        <v>77</v>
      </c>
      <c r="S188" s="27">
        <v>46175</v>
      </c>
      <c r="T188" t="s">
        <v>219</v>
      </c>
      <c r="U188" s="2" t="s">
        <v>43</v>
      </c>
    </row>
    <row r="189" spans="1:21" ht="30">
      <c r="A189" s="54">
        <f t="shared" si="6"/>
        <v>188</v>
      </c>
      <c r="B189" s="152" t="s">
        <v>7</v>
      </c>
      <c r="C189" s="51" t="s">
        <v>255</v>
      </c>
      <c r="D189" s="8"/>
      <c r="E189" s="8">
        <v>1</v>
      </c>
      <c r="F189" s="8"/>
      <c r="G189" s="15"/>
      <c r="H189" s="8">
        <v>1</v>
      </c>
      <c r="I189" s="8">
        <v>3</v>
      </c>
      <c r="J189" s="55">
        <f t="shared" si="7"/>
        <v>3</v>
      </c>
      <c r="K189" s="8"/>
      <c r="L189" s="8"/>
      <c r="M189" s="8">
        <v>1</v>
      </c>
      <c r="N189" s="8"/>
      <c r="O189" s="45" t="s">
        <v>72</v>
      </c>
      <c r="P189" s="2" t="s">
        <v>43</v>
      </c>
      <c r="Q189" s="8"/>
      <c r="R189" t="s">
        <v>97</v>
      </c>
      <c r="S189" s="27">
        <v>46175</v>
      </c>
      <c r="T189" t="s">
        <v>219</v>
      </c>
      <c r="U189" s="8" t="s">
        <v>43</v>
      </c>
    </row>
    <row r="190" spans="1:21">
      <c r="A190" s="54">
        <f t="shared" si="6"/>
        <v>189</v>
      </c>
      <c r="B190" s="152" t="s">
        <v>2</v>
      </c>
      <c r="C190" s="84" t="s">
        <v>256</v>
      </c>
      <c r="D190" s="8"/>
      <c r="E190" s="8">
        <v>1</v>
      </c>
      <c r="F190" s="8"/>
      <c r="G190" s="8"/>
      <c r="H190" s="8">
        <v>1</v>
      </c>
      <c r="I190" s="8">
        <v>2</v>
      </c>
      <c r="J190" s="55">
        <f t="shared" si="7"/>
        <v>2</v>
      </c>
      <c r="K190" s="8"/>
      <c r="L190" s="8"/>
      <c r="M190" s="8">
        <v>1</v>
      </c>
      <c r="N190" s="8"/>
      <c r="O190" s="45" t="s">
        <v>57</v>
      </c>
      <c r="P190" s="8" t="s">
        <v>64</v>
      </c>
      <c r="Q190" s="8"/>
      <c r="R190" s="116" t="s">
        <v>77</v>
      </c>
      <c r="S190" s="27">
        <v>46175</v>
      </c>
      <c r="T190" t="s">
        <v>219</v>
      </c>
      <c r="U190" s="8" t="s">
        <v>64</v>
      </c>
    </row>
    <row r="191" spans="1:21">
      <c r="A191" s="54">
        <f t="shared" si="6"/>
        <v>190</v>
      </c>
      <c r="B191" s="152" t="s">
        <v>5</v>
      </c>
      <c r="C191" s="51" t="s">
        <v>257</v>
      </c>
      <c r="D191" s="8"/>
      <c r="E191" s="8">
        <v>1</v>
      </c>
      <c r="F191" s="8"/>
      <c r="G191" s="8"/>
      <c r="H191" s="8">
        <v>1</v>
      </c>
      <c r="I191" s="8">
        <v>2</v>
      </c>
      <c r="J191" s="55">
        <f t="shared" si="7"/>
        <v>2</v>
      </c>
      <c r="K191" s="8"/>
      <c r="L191" s="8"/>
      <c r="M191" s="8">
        <v>1</v>
      </c>
      <c r="N191" s="8"/>
      <c r="O191" s="45" t="s">
        <v>72</v>
      </c>
      <c r="P191" s="2" t="s">
        <v>43</v>
      </c>
      <c r="Q191" s="8"/>
      <c r="R191" s="116" t="s">
        <v>44</v>
      </c>
      <c r="S191" s="27">
        <v>46175</v>
      </c>
      <c r="T191" t="s">
        <v>219</v>
      </c>
      <c r="U191" s="2" t="s">
        <v>43</v>
      </c>
    </row>
    <row r="192" spans="1:21">
      <c r="A192" s="54">
        <f t="shared" si="6"/>
        <v>191</v>
      </c>
      <c r="B192" s="152" t="s">
        <v>7</v>
      </c>
      <c r="C192" s="84" t="s">
        <v>258</v>
      </c>
      <c r="D192" s="8"/>
      <c r="E192" s="8">
        <v>1</v>
      </c>
      <c r="F192" s="8"/>
      <c r="G192" s="8"/>
      <c r="H192" s="8">
        <v>1</v>
      </c>
      <c r="I192" s="8">
        <v>1</v>
      </c>
      <c r="J192" s="55">
        <f t="shared" si="7"/>
        <v>1</v>
      </c>
      <c r="K192" s="8"/>
      <c r="L192" s="8"/>
      <c r="M192" s="8">
        <v>1</v>
      </c>
      <c r="N192" s="25"/>
      <c r="O192" s="66" t="s">
        <v>108</v>
      </c>
      <c r="P192" s="2" t="s">
        <v>43</v>
      </c>
      <c r="Q192" s="8"/>
      <c r="R192" s="116" t="s">
        <v>99</v>
      </c>
      <c r="S192" s="27">
        <v>46175</v>
      </c>
      <c r="T192" t="s">
        <v>219</v>
      </c>
      <c r="U192" s="8" t="s">
        <v>43</v>
      </c>
    </row>
    <row r="193" spans="1:21">
      <c r="A193" s="54">
        <f t="shared" si="6"/>
        <v>192</v>
      </c>
      <c r="B193" s="152" t="s">
        <v>7</v>
      </c>
      <c r="C193" s="51" t="s">
        <v>259</v>
      </c>
      <c r="D193" s="8"/>
      <c r="E193" s="8">
        <v>1</v>
      </c>
      <c r="F193" s="8"/>
      <c r="G193" s="8"/>
      <c r="H193" s="8">
        <v>1</v>
      </c>
      <c r="I193" s="8">
        <v>3</v>
      </c>
      <c r="J193" s="55">
        <f t="shared" si="7"/>
        <v>3</v>
      </c>
      <c r="K193" s="8"/>
      <c r="L193" s="8"/>
      <c r="M193" s="8">
        <v>1</v>
      </c>
      <c r="N193" s="8"/>
      <c r="O193" s="15" t="s">
        <v>42</v>
      </c>
      <c r="P193" s="2" t="s">
        <v>43</v>
      </c>
      <c r="Q193" s="8"/>
      <c r="R193" s="116" t="s">
        <v>77</v>
      </c>
      <c r="S193" s="27">
        <v>46175</v>
      </c>
      <c r="T193" t="s">
        <v>219</v>
      </c>
      <c r="U193" s="2" t="s">
        <v>43</v>
      </c>
    </row>
    <row r="194" spans="1:21">
      <c r="A194" s="54">
        <f t="shared" si="6"/>
        <v>193</v>
      </c>
      <c r="B194" s="152" t="s">
        <v>6</v>
      </c>
      <c r="C194" s="84" t="s">
        <v>260</v>
      </c>
      <c r="D194" s="8"/>
      <c r="E194" s="8">
        <v>1</v>
      </c>
      <c r="F194" s="8">
        <v>7</v>
      </c>
      <c r="G194" s="8">
        <v>2</v>
      </c>
      <c r="H194" s="8">
        <v>1</v>
      </c>
      <c r="I194" s="8">
        <v>3</v>
      </c>
      <c r="J194" s="55">
        <f t="shared" si="7"/>
        <v>3</v>
      </c>
      <c r="K194" s="8"/>
      <c r="L194" s="8"/>
      <c r="M194" s="8"/>
      <c r="N194" s="8">
        <v>1</v>
      </c>
      <c r="O194" s="85" t="s">
        <v>42</v>
      </c>
      <c r="P194" s="8" t="s">
        <v>43</v>
      </c>
      <c r="Q194" s="8"/>
      <c r="R194" s="99" t="s">
        <v>55</v>
      </c>
      <c r="S194" s="27">
        <v>46175</v>
      </c>
      <c r="T194" t="s">
        <v>219</v>
      </c>
      <c r="U194" s="2" t="s">
        <v>43</v>
      </c>
    </row>
    <row r="195" spans="1:21">
      <c r="A195" s="54">
        <f t="shared" si="6"/>
        <v>194</v>
      </c>
      <c r="B195" s="152" t="s">
        <v>7</v>
      </c>
      <c r="C195" s="84" t="s">
        <v>261</v>
      </c>
      <c r="D195" s="8"/>
      <c r="E195" s="8">
        <v>1</v>
      </c>
      <c r="F195" s="8"/>
      <c r="G195" s="8"/>
      <c r="H195" s="8">
        <v>1</v>
      </c>
      <c r="I195" s="8">
        <v>2</v>
      </c>
      <c r="J195" s="55">
        <f t="shared" si="7"/>
        <v>2</v>
      </c>
      <c r="K195" s="8"/>
      <c r="L195" s="8"/>
      <c r="M195" s="8"/>
      <c r="N195" s="8"/>
      <c r="O195" s="45" t="s">
        <v>72</v>
      </c>
      <c r="P195" s="8" t="s">
        <v>43</v>
      </c>
      <c r="Q195" s="8"/>
      <c r="R195" s="116" t="s">
        <v>77</v>
      </c>
      <c r="S195" s="27">
        <v>46175</v>
      </c>
      <c r="T195" t="s">
        <v>219</v>
      </c>
      <c r="U195" s="2" t="s">
        <v>43</v>
      </c>
    </row>
    <row r="196" spans="1:21" ht="30">
      <c r="A196" s="54">
        <f t="shared" si="6"/>
        <v>195</v>
      </c>
      <c r="B196" s="152" t="s">
        <v>2</v>
      </c>
      <c r="C196" s="51" t="s">
        <v>262</v>
      </c>
      <c r="D196" s="8"/>
      <c r="E196" s="8">
        <v>1</v>
      </c>
      <c r="F196" s="8"/>
      <c r="G196" s="8"/>
      <c r="H196" s="8">
        <v>1</v>
      </c>
      <c r="I196" s="8">
        <v>4</v>
      </c>
      <c r="J196" s="55">
        <f t="shared" si="7"/>
        <v>4</v>
      </c>
      <c r="K196" s="8">
        <v>1</v>
      </c>
      <c r="L196" s="8"/>
      <c r="M196" s="8"/>
      <c r="N196" s="8">
        <v>1</v>
      </c>
      <c r="O196" s="118" t="s">
        <v>69</v>
      </c>
      <c r="P196" s="2" t="s">
        <v>43</v>
      </c>
      <c r="Q196" s="8" t="s">
        <v>102</v>
      </c>
      <c r="R196" s="116" t="s">
        <v>77</v>
      </c>
      <c r="S196" s="27">
        <v>46175</v>
      </c>
      <c r="T196" t="s">
        <v>219</v>
      </c>
      <c r="U196" s="8" t="s">
        <v>43</v>
      </c>
    </row>
    <row r="197" spans="1:21">
      <c r="A197" s="54">
        <f t="shared" si="6"/>
        <v>196</v>
      </c>
      <c r="B197" s="152" t="s">
        <v>2</v>
      </c>
      <c r="C197" s="84" t="s">
        <v>263</v>
      </c>
      <c r="D197" s="8"/>
      <c r="E197" s="8">
        <v>1</v>
      </c>
      <c r="F197" s="8"/>
      <c r="G197" s="8"/>
      <c r="H197" s="8">
        <v>1</v>
      </c>
      <c r="I197" s="8">
        <v>3</v>
      </c>
      <c r="J197" s="55">
        <f t="shared" si="7"/>
        <v>3</v>
      </c>
      <c r="K197" s="8"/>
      <c r="L197" s="8"/>
      <c r="M197" s="8">
        <v>1</v>
      </c>
      <c r="N197" s="8"/>
      <c r="O197" s="45" t="s">
        <v>57</v>
      </c>
      <c r="P197" s="8" t="s">
        <v>43</v>
      </c>
      <c r="Q197" s="8"/>
      <c r="R197" s="85" t="s">
        <v>55</v>
      </c>
      <c r="S197" s="27">
        <v>46175</v>
      </c>
      <c r="T197" t="s">
        <v>219</v>
      </c>
      <c r="U197" s="8" t="s">
        <v>43</v>
      </c>
    </row>
    <row r="198" spans="1:21">
      <c r="A198" s="54">
        <f t="shared" si="6"/>
        <v>197</v>
      </c>
      <c r="B198" s="152" t="s">
        <v>3</v>
      </c>
      <c r="C198" s="51" t="s">
        <v>264</v>
      </c>
      <c r="D198" s="8"/>
      <c r="E198" s="8">
        <v>1</v>
      </c>
      <c r="F198" s="8">
        <v>1</v>
      </c>
      <c r="G198" s="8">
        <v>2</v>
      </c>
      <c r="H198" s="8">
        <v>1</v>
      </c>
      <c r="I198" s="8">
        <v>1</v>
      </c>
      <c r="J198" s="55">
        <f t="shared" si="7"/>
        <v>1</v>
      </c>
      <c r="K198" s="8"/>
      <c r="L198" s="8"/>
      <c r="M198" s="8">
        <v>1</v>
      </c>
      <c r="N198" s="8"/>
      <c r="O198" s="45" t="s">
        <v>72</v>
      </c>
      <c r="P198" s="8" t="s">
        <v>43</v>
      </c>
      <c r="Q198" s="8"/>
      <c r="R198" s="116" t="s">
        <v>77</v>
      </c>
      <c r="S198" s="27">
        <v>46175</v>
      </c>
      <c r="T198" t="s">
        <v>219</v>
      </c>
      <c r="U198" s="2" t="s">
        <v>43</v>
      </c>
    </row>
    <row r="199" spans="1:21">
      <c r="A199" s="54">
        <f t="shared" si="6"/>
        <v>198</v>
      </c>
      <c r="B199" s="152" t="s">
        <v>6</v>
      </c>
      <c r="C199" s="84" t="s">
        <v>265</v>
      </c>
      <c r="D199" s="8"/>
      <c r="E199" s="8">
        <v>1</v>
      </c>
      <c r="F199" s="8"/>
      <c r="G199" s="8"/>
      <c r="H199" s="8">
        <v>1</v>
      </c>
      <c r="I199" s="8">
        <v>2</v>
      </c>
      <c r="J199" s="55">
        <f t="shared" si="7"/>
        <v>2</v>
      </c>
      <c r="K199" s="8"/>
      <c r="L199" s="8"/>
      <c r="M199" s="8">
        <v>1</v>
      </c>
      <c r="N199" s="8"/>
      <c r="O199" s="85" t="s">
        <v>42</v>
      </c>
      <c r="P199" s="8" t="s">
        <v>43</v>
      </c>
      <c r="Q199" s="8"/>
      <c r="R199" s="116" t="s">
        <v>44</v>
      </c>
      <c r="S199" s="27">
        <v>46175</v>
      </c>
      <c r="T199" t="s">
        <v>219</v>
      </c>
      <c r="U199" s="8" t="s">
        <v>64</v>
      </c>
    </row>
    <row r="200" spans="1:21">
      <c r="A200" s="54">
        <f t="shared" si="6"/>
        <v>199</v>
      </c>
      <c r="B200" s="152" t="s">
        <v>2</v>
      </c>
      <c r="C200" s="84" t="s">
        <v>266</v>
      </c>
      <c r="D200" s="8"/>
      <c r="E200" s="8">
        <v>1</v>
      </c>
      <c r="F200" s="8"/>
      <c r="G200" s="8"/>
      <c r="H200" s="8">
        <v>1</v>
      </c>
      <c r="I200" s="8">
        <v>3</v>
      </c>
      <c r="J200" s="55">
        <f t="shared" si="7"/>
        <v>3</v>
      </c>
      <c r="K200" s="8"/>
      <c r="L200" s="8"/>
      <c r="M200" s="8">
        <v>1</v>
      </c>
      <c r="N200" s="8"/>
      <c r="O200" s="45" t="s">
        <v>57</v>
      </c>
      <c r="P200" s="2" t="s">
        <v>43</v>
      </c>
      <c r="Q200" s="8"/>
      <c r="R200" s="116" t="s">
        <v>77</v>
      </c>
      <c r="S200" s="27">
        <v>46175</v>
      </c>
      <c r="T200" t="s">
        <v>219</v>
      </c>
      <c r="U200" s="8" t="s">
        <v>64</v>
      </c>
    </row>
    <row r="201" spans="1:21" ht="30">
      <c r="A201" s="54">
        <f t="shared" si="6"/>
        <v>200</v>
      </c>
      <c r="B201" s="152" t="s">
        <v>7</v>
      </c>
      <c r="C201" s="51" t="s">
        <v>267</v>
      </c>
      <c r="D201" s="8"/>
      <c r="E201" s="8">
        <v>1</v>
      </c>
      <c r="F201" s="8"/>
      <c r="G201" s="8"/>
      <c r="H201" s="8">
        <v>1</v>
      </c>
      <c r="I201" s="8">
        <v>3</v>
      </c>
      <c r="J201" s="55">
        <f t="shared" si="7"/>
        <v>3</v>
      </c>
      <c r="K201" s="8"/>
      <c r="L201" s="8"/>
      <c r="M201" s="8">
        <v>1</v>
      </c>
      <c r="N201" s="8"/>
      <c r="O201" s="118" t="s">
        <v>69</v>
      </c>
      <c r="P201" s="2" t="s">
        <v>43</v>
      </c>
      <c r="Q201" s="8"/>
      <c r="R201" s="116" t="s">
        <v>77</v>
      </c>
      <c r="S201" s="27">
        <v>46175</v>
      </c>
      <c r="T201" t="s">
        <v>219</v>
      </c>
      <c r="U201" s="8" t="s">
        <v>64</v>
      </c>
    </row>
    <row r="202" spans="1:21">
      <c r="A202" s="54">
        <f t="shared" si="6"/>
        <v>201</v>
      </c>
      <c r="B202" s="152" t="s">
        <v>3</v>
      </c>
      <c r="C202" s="84" t="s">
        <v>268</v>
      </c>
      <c r="D202" s="86"/>
      <c r="E202" s="86">
        <v>1</v>
      </c>
      <c r="F202" s="86">
        <v>12</v>
      </c>
      <c r="G202" s="86">
        <v>1</v>
      </c>
      <c r="H202" s="86">
        <v>1</v>
      </c>
      <c r="I202" s="86">
        <v>1</v>
      </c>
      <c r="J202" s="55">
        <f t="shared" si="7"/>
        <v>1</v>
      </c>
      <c r="K202" s="86"/>
      <c r="L202" s="86">
        <v>1</v>
      </c>
      <c r="M202" s="86"/>
      <c r="N202" s="86">
        <v>1</v>
      </c>
      <c r="O202" s="45" t="s">
        <v>85</v>
      </c>
      <c r="P202" s="8" t="s">
        <v>43</v>
      </c>
      <c r="R202" s="116" t="s">
        <v>77</v>
      </c>
      <c r="S202" s="27">
        <v>46175</v>
      </c>
      <c r="T202" t="s">
        <v>219</v>
      </c>
      <c r="U202" s="2" t="s">
        <v>43</v>
      </c>
    </row>
    <row r="203" spans="1:21">
      <c r="A203" s="54">
        <f t="shared" si="6"/>
        <v>202</v>
      </c>
      <c r="B203" s="152" t="s">
        <v>4</v>
      </c>
      <c r="C203" s="51" t="s">
        <v>269</v>
      </c>
      <c r="D203" s="86"/>
      <c r="E203" s="86">
        <v>1</v>
      </c>
      <c r="F203" s="86"/>
      <c r="G203" s="86"/>
      <c r="H203" s="86">
        <v>1</v>
      </c>
      <c r="I203" s="86">
        <v>3</v>
      </c>
      <c r="J203" s="55">
        <f t="shared" si="7"/>
        <v>3</v>
      </c>
      <c r="K203" s="86"/>
      <c r="L203" s="86"/>
      <c r="M203" s="86">
        <v>1</v>
      </c>
      <c r="N203" s="86"/>
      <c r="O203" s="45" t="s">
        <v>69</v>
      </c>
      <c r="P203" s="8" t="s">
        <v>43</v>
      </c>
      <c r="R203" t="s">
        <v>97</v>
      </c>
      <c r="S203" s="27">
        <v>46175</v>
      </c>
      <c r="T203" t="s">
        <v>219</v>
      </c>
      <c r="U203" s="2" t="s">
        <v>43</v>
      </c>
    </row>
    <row r="204" spans="1:21">
      <c r="A204" s="54">
        <f t="shared" si="6"/>
        <v>203</v>
      </c>
      <c r="B204" s="152" t="s">
        <v>2</v>
      </c>
      <c r="C204" s="84" t="s">
        <v>270</v>
      </c>
      <c r="D204" s="86">
        <v>1</v>
      </c>
      <c r="E204" s="86"/>
      <c r="F204" s="86"/>
      <c r="G204" s="86"/>
      <c r="H204" s="86">
        <v>1</v>
      </c>
      <c r="I204" s="86">
        <v>2</v>
      </c>
      <c r="J204" s="55">
        <f t="shared" si="7"/>
        <v>2</v>
      </c>
      <c r="K204" s="86"/>
      <c r="L204" s="86"/>
      <c r="M204" s="86">
        <v>1</v>
      </c>
      <c r="N204" s="86"/>
      <c r="O204" s="118" t="s">
        <v>69</v>
      </c>
      <c r="P204" s="8" t="s">
        <v>64</v>
      </c>
      <c r="Q204" s="8" t="s">
        <v>271</v>
      </c>
      <c r="R204" s="116" t="s">
        <v>77</v>
      </c>
      <c r="S204" s="27">
        <v>46175</v>
      </c>
      <c r="T204" t="s">
        <v>219</v>
      </c>
      <c r="U204" s="8" t="s">
        <v>64</v>
      </c>
    </row>
    <row r="205" spans="1:21">
      <c r="A205" s="54">
        <f t="shared" si="6"/>
        <v>204</v>
      </c>
      <c r="B205" s="152" t="s">
        <v>8</v>
      </c>
      <c r="C205" s="51" t="s">
        <v>272</v>
      </c>
      <c r="D205" s="86"/>
      <c r="E205" s="86">
        <v>1</v>
      </c>
      <c r="F205" s="86"/>
      <c r="G205" s="86"/>
      <c r="H205" s="86">
        <v>1</v>
      </c>
      <c r="I205" s="86">
        <v>3</v>
      </c>
      <c r="J205" s="55">
        <f t="shared" si="7"/>
        <v>3</v>
      </c>
      <c r="K205" s="86"/>
      <c r="L205" s="86"/>
      <c r="M205" s="86">
        <v>1</v>
      </c>
      <c r="N205" s="86"/>
      <c r="O205" s="45" t="s">
        <v>69</v>
      </c>
      <c r="P205" s="8" t="s">
        <v>43</v>
      </c>
      <c r="R205" t="s">
        <v>97</v>
      </c>
      <c r="S205" s="27">
        <v>46175</v>
      </c>
      <c r="T205" t="s">
        <v>219</v>
      </c>
      <c r="U205" s="8" t="s">
        <v>43</v>
      </c>
    </row>
    <row r="206" spans="1:21">
      <c r="A206" s="54">
        <f t="shared" ref="A206:A269" si="8">A205+1</f>
        <v>205</v>
      </c>
      <c r="B206" s="152" t="s">
        <v>2</v>
      </c>
      <c r="C206" s="84" t="s">
        <v>273</v>
      </c>
      <c r="D206" s="86"/>
      <c r="E206" s="86">
        <v>1</v>
      </c>
      <c r="F206" s="86"/>
      <c r="G206" s="86"/>
      <c r="H206" s="86">
        <v>1</v>
      </c>
      <c r="I206" s="86">
        <v>3</v>
      </c>
      <c r="J206" s="55">
        <f t="shared" ref="J206:J269" si="9">I206*H206</f>
        <v>3</v>
      </c>
      <c r="K206" s="86"/>
      <c r="L206" s="86"/>
      <c r="M206" s="86">
        <v>1</v>
      </c>
      <c r="N206" s="94"/>
      <c r="O206" s="45" t="s">
        <v>85</v>
      </c>
      <c r="P206" s="86" t="s">
        <v>43</v>
      </c>
      <c r="R206" s="116" t="s">
        <v>99</v>
      </c>
      <c r="S206" s="27">
        <v>46176</v>
      </c>
      <c r="T206" t="s">
        <v>219</v>
      </c>
      <c r="U206" s="8" t="s">
        <v>64</v>
      </c>
    </row>
    <row r="207" spans="1:21">
      <c r="A207" s="54">
        <f t="shared" si="8"/>
        <v>206</v>
      </c>
      <c r="B207" s="152" t="s">
        <v>2</v>
      </c>
      <c r="C207" s="51" t="s">
        <v>274</v>
      </c>
      <c r="D207" s="86"/>
      <c r="E207" s="86">
        <v>1</v>
      </c>
      <c r="F207" s="86"/>
      <c r="G207" s="86"/>
      <c r="H207" s="86">
        <v>1</v>
      </c>
      <c r="I207" s="86">
        <v>3</v>
      </c>
      <c r="J207" s="55">
        <f t="shared" si="9"/>
        <v>3</v>
      </c>
      <c r="K207" s="86"/>
      <c r="L207" s="86"/>
      <c r="M207" s="86">
        <v>1</v>
      </c>
      <c r="N207" s="86"/>
      <c r="O207" s="45" t="s">
        <v>72</v>
      </c>
      <c r="P207" s="2" t="s">
        <v>43</v>
      </c>
      <c r="R207" s="116" t="s">
        <v>44</v>
      </c>
      <c r="S207" s="27">
        <v>46176</v>
      </c>
      <c r="T207" t="s">
        <v>219</v>
      </c>
      <c r="U207" s="8" t="s">
        <v>64</v>
      </c>
    </row>
    <row r="208" spans="1:21">
      <c r="A208" s="54">
        <f t="shared" si="8"/>
        <v>207</v>
      </c>
      <c r="B208" s="152" t="s">
        <v>14</v>
      </c>
      <c r="C208" s="51" t="s">
        <v>275</v>
      </c>
      <c r="D208" s="86"/>
      <c r="E208" s="86">
        <v>1</v>
      </c>
      <c r="F208" s="86">
        <v>4</v>
      </c>
      <c r="G208" s="86">
        <v>8</v>
      </c>
      <c r="H208" s="86">
        <v>1</v>
      </c>
      <c r="I208" s="86">
        <v>3</v>
      </c>
      <c r="J208" s="55">
        <f t="shared" si="9"/>
        <v>3</v>
      </c>
      <c r="K208" s="86"/>
      <c r="L208" s="86"/>
      <c r="M208" s="86">
        <v>1</v>
      </c>
      <c r="N208" s="86"/>
      <c r="O208" s="86" t="s">
        <v>69</v>
      </c>
      <c r="P208" s="2" t="s">
        <v>43</v>
      </c>
      <c r="R208" s="116" t="s">
        <v>99</v>
      </c>
      <c r="S208" s="27">
        <v>46176</v>
      </c>
      <c r="T208" t="s">
        <v>219</v>
      </c>
      <c r="U208" t="s">
        <v>43</v>
      </c>
    </row>
    <row r="209" spans="1:21">
      <c r="A209" s="54">
        <f t="shared" si="8"/>
        <v>208</v>
      </c>
      <c r="B209" s="152" t="s">
        <v>9</v>
      </c>
      <c r="C209" s="84" t="s">
        <v>276</v>
      </c>
      <c r="D209" s="86"/>
      <c r="E209" s="86">
        <v>1</v>
      </c>
      <c r="F209" s="86">
        <v>3</v>
      </c>
      <c r="G209" s="86">
        <v>2</v>
      </c>
      <c r="H209" s="86">
        <v>1</v>
      </c>
      <c r="I209" s="86">
        <v>3</v>
      </c>
      <c r="J209" s="55">
        <f t="shared" si="9"/>
        <v>3</v>
      </c>
      <c r="K209" s="86"/>
      <c r="L209" s="86"/>
      <c r="M209" s="86">
        <v>1</v>
      </c>
      <c r="N209" s="86"/>
      <c r="O209" s="45" t="s">
        <v>57</v>
      </c>
      <c r="P209" s="86" t="s">
        <v>43</v>
      </c>
      <c r="R209" s="116" t="s">
        <v>44</v>
      </c>
      <c r="S209" s="27">
        <v>46176</v>
      </c>
      <c r="T209" t="s">
        <v>219</v>
      </c>
      <c r="U209" s="2" t="s">
        <v>43</v>
      </c>
    </row>
    <row r="210" spans="1:21">
      <c r="A210" s="54">
        <f t="shared" si="8"/>
        <v>209</v>
      </c>
      <c r="B210" s="152" t="s">
        <v>3</v>
      </c>
      <c r="C210" s="84" t="s">
        <v>277</v>
      </c>
      <c r="D210" s="86"/>
      <c r="E210" s="86">
        <v>1</v>
      </c>
      <c r="F210" s="86">
        <v>10</v>
      </c>
      <c r="G210" s="86">
        <v>1</v>
      </c>
      <c r="H210" s="86">
        <v>1</v>
      </c>
      <c r="I210" s="86">
        <v>3</v>
      </c>
      <c r="J210" s="55">
        <f t="shared" si="9"/>
        <v>3</v>
      </c>
      <c r="K210" s="86"/>
      <c r="L210" s="86"/>
      <c r="M210" s="86"/>
      <c r="N210" s="86">
        <v>1</v>
      </c>
      <c r="O210" s="45" t="s">
        <v>57</v>
      </c>
      <c r="P210" s="2" t="s">
        <v>43</v>
      </c>
      <c r="R210" s="116" t="s">
        <v>44</v>
      </c>
      <c r="S210" s="27">
        <v>46176</v>
      </c>
      <c r="T210" t="s">
        <v>219</v>
      </c>
      <c r="U210" s="2" t="s">
        <v>43</v>
      </c>
    </row>
    <row r="211" spans="1:21">
      <c r="A211" s="54">
        <f t="shared" si="8"/>
        <v>210</v>
      </c>
      <c r="B211" s="152" t="s">
        <v>4</v>
      </c>
      <c r="C211" s="87" t="s">
        <v>278</v>
      </c>
      <c r="D211" s="86"/>
      <c r="E211" s="86">
        <v>1</v>
      </c>
      <c r="F211" s="86">
        <v>8</v>
      </c>
      <c r="G211" s="86">
        <v>3</v>
      </c>
      <c r="H211" s="86">
        <v>1</v>
      </c>
      <c r="I211" s="86">
        <v>3</v>
      </c>
      <c r="J211" s="55">
        <f t="shared" si="9"/>
        <v>3</v>
      </c>
      <c r="K211" s="86"/>
      <c r="L211" s="86"/>
      <c r="M211" s="86">
        <v>1</v>
      </c>
      <c r="N211" s="94"/>
      <c r="O211" s="66" t="s">
        <v>108</v>
      </c>
      <c r="P211" s="86" t="s">
        <v>43</v>
      </c>
      <c r="R211" s="116" t="s">
        <v>99</v>
      </c>
      <c r="S211" s="27">
        <v>46176</v>
      </c>
      <c r="T211" t="s">
        <v>219</v>
      </c>
      <c r="U211" t="s">
        <v>43</v>
      </c>
    </row>
    <row r="212" spans="1:21">
      <c r="A212" s="54">
        <f t="shared" si="8"/>
        <v>211</v>
      </c>
      <c r="B212" s="152" t="s">
        <v>9</v>
      </c>
      <c r="C212" s="87" t="s">
        <v>279</v>
      </c>
      <c r="D212" s="86"/>
      <c r="E212" s="86">
        <v>1</v>
      </c>
      <c r="F212" s="86"/>
      <c r="G212" s="86"/>
      <c r="H212" s="86">
        <v>1</v>
      </c>
      <c r="I212" s="86">
        <v>4</v>
      </c>
      <c r="J212" s="55">
        <f t="shared" si="9"/>
        <v>4</v>
      </c>
      <c r="K212" s="86">
        <v>1</v>
      </c>
      <c r="L212" s="86"/>
      <c r="M212" s="86">
        <v>1</v>
      </c>
      <c r="N212" s="86"/>
      <c r="O212" s="45" t="s">
        <v>57</v>
      </c>
      <c r="P212" s="2" t="s">
        <v>43</v>
      </c>
      <c r="R212" s="116" t="s">
        <v>44</v>
      </c>
      <c r="S212" s="27">
        <v>46176</v>
      </c>
      <c r="T212" t="s">
        <v>219</v>
      </c>
      <c r="U212" s="2" t="s">
        <v>43</v>
      </c>
    </row>
    <row r="213" spans="1:21">
      <c r="A213" s="54">
        <f t="shared" si="8"/>
        <v>212</v>
      </c>
      <c r="B213" s="152" t="s">
        <v>2</v>
      </c>
      <c r="C213" s="87" t="s">
        <v>280</v>
      </c>
      <c r="D213" s="86"/>
      <c r="E213" s="86">
        <v>1</v>
      </c>
      <c r="F213" s="86"/>
      <c r="G213" s="86"/>
      <c r="H213" s="86">
        <v>1</v>
      </c>
      <c r="I213" s="86">
        <v>3</v>
      </c>
      <c r="J213" s="55">
        <f t="shared" si="9"/>
        <v>3</v>
      </c>
      <c r="K213" s="86"/>
      <c r="L213" s="86"/>
      <c r="M213" s="86">
        <v>1</v>
      </c>
      <c r="N213" s="86"/>
      <c r="O213" s="45" t="s">
        <v>57</v>
      </c>
      <c r="P213" s="86" t="s">
        <v>43</v>
      </c>
      <c r="R213" s="116" t="s">
        <v>44</v>
      </c>
      <c r="S213" s="27">
        <v>46176</v>
      </c>
      <c r="T213" t="s">
        <v>219</v>
      </c>
      <c r="U213" t="s">
        <v>43</v>
      </c>
    </row>
    <row r="214" spans="1:21">
      <c r="A214" s="54">
        <f t="shared" si="8"/>
        <v>213</v>
      </c>
      <c r="B214" s="152" t="s">
        <v>6</v>
      </c>
      <c r="C214" s="87" t="s">
        <v>281</v>
      </c>
      <c r="D214" s="86"/>
      <c r="E214" s="86">
        <v>1</v>
      </c>
      <c r="F214" s="86"/>
      <c r="G214" s="86"/>
      <c r="H214" s="86">
        <v>1</v>
      </c>
      <c r="I214" s="86">
        <v>2</v>
      </c>
      <c r="J214" s="55">
        <f t="shared" si="9"/>
        <v>2</v>
      </c>
      <c r="K214" s="86"/>
      <c r="L214" s="86"/>
      <c r="M214" s="86">
        <v>1</v>
      </c>
      <c r="N214" s="86"/>
      <c r="O214" s="45" t="s">
        <v>92</v>
      </c>
      <c r="P214" s="86" t="s">
        <v>43</v>
      </c>
      <c r="R214" s="116" t="s">
        <v>44</v>
      </c>
      <c r="S214" s="27">
        <v>46176</v>
      </c>
      <c r="T214" t="s">
        <v>219</v>
      </c>
      <c r="U214" s="2" t="s">
        <v>43</v>
      </c>
    </row>
    <row r="215" spans="1:21" ht="30">
      <c r="A215" s="54">
        <f t="shared" si="8"/>
        <v>214</v>
      </c>
      <c r="B215" s="152" t="s">
        <v>4</v>
      </c>
      <c r="C215" s="88" t="s">
        <v>282</v>
      </c>
      <c r="D215" s="86"/>
      <c r="E215" s="86">
        <v>1</v>
      </c>
      <c r="F215" s="86"/>
      <c r="G215" s="86"/>
      <c r="H215" s="86">
        <v>1</v>
      </c>
      <c r="I215" s="86">
        <v>3</v>
      </c>
      <c r="J215" s="55">
        <f t="shared" si="9"/>
        <v>3</v>
      </c>
      <c r="K215" s="86"/>
      <c r="L215" s="86"/>
      <c r="M215" s="86">
        <v>1</v>
      </c>
      <c r="N215" s="86"/>
      <c r="O215" s="95" t="s">
        <v>42</v>
      </c>
      <c r="P215" s="86" t="s">
        <v>43</v>
      </c>
      <c r="R215" s="116" t="s">
        <v>44</v>
      </c>
      <c r="S215" s="27">
        <v>46176</v>
      </c>
      <c r="T215" t="s">
        <v>219</v>
      </c>
      <c r="U215" t="s">
        <v>43</v>
      </c>
    </row>
    <row r="216" spans="1:21">
      <c r="A216" s="54">
        <f t="shared" si="8"/>
        <v>215</v>
      </c>
      <c r="B216" s="152" t="s">
        <v>10</v>
      </c>
      <c r="C216" s="88" t="s">
        <v>283</v>
      </c>
      <c r="D216" s="86"/>
      <c r="E216" s="86">
        <v>1</v>
      </c>
      <c r="F216" s="86"/>
      <c r="G216" s="86"/>
      <c r="H216" s="86">
        <v>1</v>
      </c>
      <c r="I216" s="86">
        <v>2</v>
      </c>
      <c r="J216" s="55">
        <f t="shared" si="9"/>
        <v>2</v>
      </c>
      <c r="K216" s="86"/>
      <c r="L216" s="86"/>
      <c r="M216" s="86">
        <v>1</v>
      </c>
      <c r="N216" s="86"/>
      <c r="O216" s="96" t="s">
        <v>60</v>
      </c>
      <c r="P216" s="86" t="s">
        <v>43</v>
      </c>
      <c r="R216" s="116" t="s">
        <v>44</v>
      </c>
      <c r="S216" s="27">
        <v>46176</v>
      </c>
      <c r="T216" t="s">
        <v>219</v>
      </c>
      <c r="U216" t="s">
        <v>64</v>
      </c>
    </row>
    <row r="217" spans="1:21" ht="30">
      <c r="A217" s="54">
        <f t="shared" si="8"/>
        <v>216</v>
      </c>
      <c r="B217" s="152" t="s">
        <v>8</v>
      </c>
      <c r="C217" s="88" t="s">
        <v>284</v>
      </c>
      <c r="D217" s="86"/>
      <c r="E217" s="86">
        <v>1</v>
      </c>
      <c r="F217" s="86"/>
      <c r="G217" s="86"/>
      <c r="H217" s="86">
        <v>1</v>
      </c>
      <c r="I217" s="86">
        <v>2</v>
      </c>
      <c r="J217" s="55">
        <f t="shared" si="9"/>
        <v>2</v>
      </c>
      <c r="K217" s="86"/>
      <c r="L217" s="86"/>
      <c r="M217" s="86">
        <v>1</v>
      </c>
      <c r="N217" s="86"/>
      <c r="O217" s="118" t="s">
        <v>69</v>
      </c>
      <c r="P217" s="86" t="s">
        <v>64</v>
      </c>
      <c r="R217" s="116" t="s">
        <v>44</v>
      </c>
      <c r="S217" s="27">
        <v>46176</v>
      </c>
      <c r="T217" t="s">
        <v>219</v>
      </c>
      <c r="U217" t="s">
        <v>43</v>
      </c>
    </row>
    <row r="218" spans="1:21">
      <c r="A218" s="54">
        <f t="shared" si="8"/>
        <v>217</v>
      </c>
      <c r="B218" s="152" t="s">
        <v>2</v>
      </c>
      <c r="C218" s="87" t="s">
        <v>285</v>
      </c>
      <c r="D218" s="86"/>
      <c r="E218" s="86">
        <v>1</v>
      </c>
      <c r="F218" s="86"/>
      <c r="G218" s="86"/>
      <c r="H218" s="86">
        <v>1</v>
      </c>
      <c r="I218" s="86">
        <v>4</v>
      </c>
      <c r="J218" s="55">
        <f t="shared" si="9"/>
        <v>4</v>
      </c>
      <c r="K218" s="86">
        <v>1</v>
      </c>
      <c r="L218" s="86"/>
      <c r="M218" s="86">
        <v>1</v>
      </c>
      <c r="N218" s="94"/>
      <c r="O218" s="66" t="s">
        <v>108</v>
      </c>
      <c r="P218" s="86" t="s">
        <v>43</v>
      </c>
      <c r="R218" s="116" t="s">
        <v>99</v>
      </c>
      <c r="S218" s="27">
        <v>46176</v>
      </c>
      <c r="T218" t="s">
        <v>219</v>
      </c>
      <c r="U218" t="s">
        <v>43</v>
      </c>
    </row>
    <row r="219" spans="1:21" ht="30">
      <c r="A219" s="54">
        <f t="shared" si="8"/>
        <v>218</v>
      </c>
      <c r="B219" s="152" t="s">
        <v>3</v>
      </c>
      <c r="C219" s="13" t="s">
        <v>286</v>
      </c>
      <c r="D219" s="86"/>
      <c r="E219" s="86"/>
      <c r="F219" s="86"/>
      <c r="G219" s="86"/>
      <c r="H219" s="86">
        <v>1</v>
      </c>
      <c r="I219" s="86">
        <v>3</v>
      </c>
      <c r="J219" s="55">
        <f t="shared" si="9"/>
        <v>3</v>
      </c>
      <c r="K219" s="86"/>
      <c r="L219" s="86"/>
      <c r="M219" s="86">
        <v>1</v>
      </c>
      <c r="N219" s="86"/>
      <c r="O219" s="86" t="s">
        <v>42</v>
      </c>
      <c r="P219" s="86" t="s">
        <v>43</v>
      </c>
      <c r="R219" s="116" t="s">
        <v>44</v>
      </c>
      <c r="S219" s="27">
        <v>46176</v>
      </c>
      <c r="T219" t="s">
        <v>219</v>
      </c>
      <c r="U219" t="s">
        <v>43</v>
      </c>
    </row>
    <row r="220" spans="1:21" ht="30">
      <c r="A220" s="54">
        <f t="shared" si="8"/>
        <v>219</v>
      </c>
      <c r="B220" s="152" t="s">
        <v>3</v>
      </c>
      <c r="C220" s="13" t="s">
        <v>287</v>
      </c>
      <c r="D220" s="86"/>
      <c r="E220" s="86"/>
      <c r="F220" s="86">
        <v>10</v>
      </c>
      <c r="G220" s="86">
        <v>0</v>
      </c>
      <c r="H220" s="86">
        <v>1</v>
      </c>
      <c r="I220" s="86">
        <v>1</v>
      </c>
      <c r="J220" s="55">
        <f t="shared" si="9"/>
        <v>1</v>
      </c>
      <c r="K220" s="86"/>
      <c r="L220" s="86"/>
      <c r="M220" s="86"/>
      <c r="N220" s="86">
        <v>1</v>
      </c>
      <c r="O220" s="86" t="s">
        <v>42</v>
      </c>
      <c r="P220" s="86" t="s">
        <v>43</v>
      </c>
      <c r="R220" s="116" t="s">
        <v>44</v>
      </c>
      <c r="S220" s="27">
        <v>46176</v>
      </c>
      <c r="T220" t="s">
        <v>219</v>
      </c>
      <c r="U220" t="s">
        <v>43</v>
      </c>
    </row>
    <row r="221" spans="1:21">
      <c r="A221" s="54">
        <f t="shared" si="8"/>
        <v>220</v>
      </c>
      <c r="B221" s="152" t="s">
        <v>3</v>
      </c>
      <c r="C221" s="13" t="s">
        <v>288</v>
      </c>
      <c r="D221" s="86"/>
      <c r="E221" s="86"/>
      <c r="F221" s="86">
        <v>10</v>
      </c>
      <c r="G221" s="86">
        <v>1</v>
      </c>
      <c r="H221" s="86">
        <v>1</v>
      </c>
      <c r="I221" s="86">
        <v>3</v>
      </c>
      <c r="J221" s="55">
        <f t="shared" si="9"/>
        <v>3</v>
      </c>
      <c r="K221" s="86"/>
      <c r="L221" s="86">
        <v>1</v>
      </c>
      <c r="M221" s="86"/>
      <c r="N221" s="86">
        <v>1</v>
      </c>
      <c r="O221" s="45" t="s">
        <v>57</v>
      </c>
      <c r="P221" s="86" t="s">
        <v>43</v>
      </c>
      <c r="R221" s="116" t="s">
        <v>44</v>
      </c>
      <c r="S221" s="27">
        <v>46176</v>
      </c>
      <c r="T221" t="s">
        <v>219</v>
      </c>
      <c r="U221" t="s">
        <v>43</v>
      </c>
    </row>
    <row r="222" spans="1:21">
      <c r="A222" s="54">
        <f t="shared" si="8"/>
        <v>221</v>
      </c>
      <c r="B222" s="152" t="s">
        <v>9</v>
      </c>
      <c r="C222" s="13" t="s">
        <v>289</v>
      </c>
      <c r="D222" s="86"/>
      <c r="E222" s="86"/>
      <c r="F222" s="86">
        <v>0</v>
      </c>
      <c r="G222" s="86">
        <v>0</v>
      </c>
      <c r="H222" s="86">
        <v>1</v>
      </c>
      <c r="I222" s="86">
        <v>3</v>
      </c>
      <c r="J222" s="55">
        <f t="shared" si="9"/>
        <v>3</v>
      </c>
      <c r="K222" s="86"/>
      <c r="L222" s="86"/>
      <c r="M222" s="86">
        <v>1</v>
      </c>
      <c r="N222" s="86"/>
      <c r="O222" s="45" t="s">
        <v>57</v>
      </c>
      <c r="P222" s="86" t="s">
        <v>43</v>
      </c>
      <c r="R222" s="116" t="s">
        <v>44</v>
      </c>
      <c r="S222" s="27">
        <v>46176</v>
      </c>
      <c r="T222" t="s">
        <v>219</v>
      </c>
      <c r="U222" t="s">
        <v>43</v>
      </c>
    </row>
    <row r="223" spans="1:21">
      <c r="A223" s="54">
        <f t="shared" si="8"/>
        <v>222</v>
      </c>
      <c r="B223" s="152" t="s">
        <v>2</v>
      </c>
      <c r="C223" s="13" t="s">
        <v>290</v>
      </c>
      <c r="D223" s="86"/>
      <c r="E223" s="86"/>
      <c r="F223" s="86">
        <v>0</v>
      </c>
      <c r="G223" s="86">
        <v>0</v>
      </c>
      <c r="H223" s="86">
        <v>1</v>
      </c>
      <c r="I223" s="86">
        <v>4</v>
      </c>
      <c r="J223" s="55">
        <f t="shared" si="9"/>
        <v>4</v>
      </c>
      <c r="K223" s="86">
        <v>1</v>
      </c>
      <c r="L223" s="86"/>
      <c r="M223" s="86">
        <v>1</v>
      </c>
      <c r="N223" s="86"/>
      <c r="O223" s="45" t="s">
        <v>57</v>
      </c>
      <c r="P223" s="86" t="s">
        <v>43</v>
      </c>
      <c r="R223" s="116" t="s">
        <v>44</v>
      </c>
      <c r="S223" s="27">
        <v>46176</v>
      </c>
      <c r="T223" t="s">
        <v>219</v>
      </c>
      <c r="U223" t="s">
        <v>43</v>
      </c>
    </row>
    <row r="224" spans="1:21">
      <c r="A224" s="54">
        <f t="shared" si="8"/>
        <v>223</v>
      </c>
      <c r="B224" s="152" t="s">
        <v>7</v>
      </c>
      <c r="C224" s="13" t="s">
        <v>291</v>
      </c>
      <c r="D224" s="86"/>
      <c r="E224" s="86"/>
      <c r="F224" s="86">
        <v>0</v>
      </c>
      <c r="G224" s="86">
        <v>0</v>
      </c>
      <c r="H224" s="86">
        <v>1</v>
      </c>
      <c r="I224" s="86">
        <v>1</v>
      </c>
      <c r="J224" s="55">
        <f t="shared" si="9"/>
        <v>1</v>
      </c>
      <c r="K224" s="86"/>
      <c r="L224" s="86"/>
      <c r="M224" s="86">
        <v>1</v>
      </c>
      <c r="N224" s="86"/>
      <c r="O224" s="117" t="s">
        <v>108</v>
      </c>
      <c r="P224" s="86" t="s">
        <v>43</v>
      </c>
      <c r="R224" s="116" t="s">
        <v>99</v>
      </c>
      <c r="S224" s="27">
        <v>46176</v>
      </c>
      <c r="T224" t="s">
        <v>219</v>
      </c>
      <c r="U224" t="s">
        <v>64</v>
      </c>
    </row>
    <row r="225" spans="1:21">
      <c r="A225" s="54">
        <f t="shared" si="8"/>
        <v>224</v>
      </c>
      <c r="B225" s="152" t="s">
        <v>9</v>
      </c>
      <c r="C225" s="13" t="s">
        <v>292</v>
      </c>
      <c r="D225" s="86"/>
      <c r="E225" s="86"/>
      <c r="F225" s="86">
        <v>0</v>
      </c>
      <c r="G225" s="86">
        <v>0</v>
      </c>
      <c r="H225" s="86">
        <v>1</v>
      </c>
      <c r="I225" s="86">
        <v>3</v>
      </c>
      <c r="J225" s="55">
        <f t="shared" si="9"/>
        <v>3</v>
      </c>
      <c r="K225" s="86">
        <v>1</v>
      </c>
      <c r="L225" s="86"/>
      <c r="M225" s="86">
        <v>1</v>
      </c>
      <c r="N225" s="86"/>
      <c r="O225" s="45" t="s">
        <v>85</v>
      </c>
      <c r="P225" s="86" t="s">
        <v>43</v>
      </c>
      <c r="R225" s="116" t="s">
        <v>99</v>
      </c>
      <c r="S225" s="27">
        <v>46176</v>
      </c>
      <c r="T225" t="s">
        <v>219</v>
      </c>
      <c r="U225" t="s">
        <v>43</v>
      </c>
    </row>
    <row r="226" spans="1:21">
      <c r="A226" s="54">
        <f t="shared" si="8"/>
        <v>225</v>
      </c>
      <c r="B226" s="152" t="s">
        <v>6</v>
      </c>
      <c r="C226" s="13" t="s">
        <v>293</v>
      </c>
      <c r="D226" s="86"/>
      <c r="E226" s="86"/>
      <c r="F226" s="86">
        <v>0</v>
      </c>
      <c r="G226" s="86">
        <v>0</v>
      </c>
      <c r="H226" s="86">
        <v>1</v>
      </c>
      <c r="I226" s="86">
        <v>2</v>
      </c>
      <c r="J226" s="55">
        <f t="shared" si="9"/>
        <v>2</v>
      </c>
      <c r="K226" s="86"/>
      <c r="L226" s="86"/>
      <c r="M226" s="86">
        <v>1</v>
      </c>
      <c r="N226" s="86"/>
      <c r="O226" s="45" t="s">
        <v>85</v>
      </c>
      <c r="P226" s="86" t="s">
        <v>43</v>
      </c>
      <c r="R226" s="116" t="s">
        <v>99</v>
      </c>
      <c r="S226" s="27">
        <v>46176</v>
      </c>
      <c r="T226" t="s">
        <v>219</v>
      </c>
      <c r="U226" t="s">
        <v>64</v>
      </c>
    </row>
    <row r="227" spans="1:21">
      <c r="A227" s="54">
        <f t="shared" si="8"/>
        <v>226</v>
      </c>
      <c r="B227" s="152" t="s">
        <v>14</v>
      </c>
      <c r="C227" s="13" t="s">
        <v>294</v>
      </c>
      <c r="D227" s="86"/>
      <c r="E227" s="86"/>
      <c r="F227" s="86">
        <v>0</v>
      </c>
      <c r="G227" s="86">
        <v>0</v>
      </c>
      <c r="H227" s="86">
        <v>1</v>
      </c>
      <c r="I227" s="86">
        <v>4</v>
      </c>
      <c r="J227" s="55">
        <f t="shared" si="9"/>
        <v>4</v>
      </c>
      <c r="K227" s="86">
        <v>1</v>
      </c>
      <c r="L227" s="86"/>
      <c r="M227" s="86">
        <v>1</v>
      </c>
      <c r="N227" s="86"/>
      <c r="O227" s="117" t="s">
        <v>108</v>
      </c>
      <c r="P227" s="86" t="s">
        <v>43</v>
      </c>
      <c r="R227" s="116" t="s">
        <v>99</v>
      </c>
      <c r="S227" s="27">
        <v>46176</v>
      </c>
      <c r="T227" t="s">
        <v>219</v>
      </c>
      <c r="U227" t="s">
        <v>43</v>
      </c>
    </row>
    <row r="228" spans="1:21">
      <c r="A228" s="54">
        <f t="shared" si="8"/>
        <v>227</v>
      </c>
      <c r="B228" s="152" t="s">
        <v>2</v>
      </c>
      <c r="C228" s="13" t="s">
        <v>295</v>
      </c>
      <c r="D228" s="86"/>
      <c r="E228" s="86"/>
      <c r="F228" s="86">
        <v>0</v>
      </c>
      <c r="G228" s="86">
        <v>0</v>
      </c>
      <c r="H228" s="86">
        <v>1</v>
      </c>
      <c r="I228" s="86">
        <v>4</v>
      </c>
      <c r="J228" s="55">
        <f t="shared" si="9"/>
        <v>4</v>
      </c>
      <c r="K228" s="86">
        <v>1</v>
      </c>
      <c r="L228" s="86"/>
      <c r="M228" s="86">
        <v>1</v>
      </c>
      <c r="N228" s="86"/>
      <c r="O228" s="117" t="s">
        <v>108</v>
      </c>
      <c r="P228" s="86" t="s">
        <v>43</v>
      </c>
      <c r="R228" s="116" t="s">
        <v>99</v>
      </c>
      <c r="S228" s="27">
        <v>46176</v>
      </c>
      <c r="T228" t="s">
        <v>219</v>
      </c>
      <c r="U228" t="s">
        <v>43</v>
      </c>
    </row>
    <row r="229" spans="1:21" ht="75">
      <c r="A229" s="54">
        <f t="shared" si="8"/>
        <v>228</v>
      </c>
      <c r="B229" s="152" t="s">
        <v>2</v>
      </c>
      <c r="C229" s="13" t="s">
        <v>296</v>
      </c>
      <c r="D229" s="86"/>
      <c r="E229" s="86"/>
      <c r="F229" s="86">
        <v>15</v>
      </c>
      <c r="G229" s="86">
        <v>5</v>
      </c>
      <c r="H229" s="86">
        <v>1</v>
      </c>
      <c r="I229" s="86">
        <v>5</v>
      </c>
      <c r="J229" s="55">
        <f t="shared" si="9"/>
        <v>5</v>
      </c>
      <c r="K229" s="86">
        <v>1</v>
      </c>
      <c r="L229" s="86"/>
      <c r="M229" s="86"/>
      <c r="N229" s="86">
        <v>1</v>
      </c>
      <c r="O229" s="45" t="s">
        <v>57</v>
      </c>
      <c r="P229" s="86" t="s">
        <v>43</v>
      </c>
      <c r="R229" s="116" t="s">
        <v>44</v>
      </c>
      <c r="S229" s="27">
        <v>46176</v>
      </c>
      <c r="T229" t="s">
        <v>219</v>
      </c>
      <c r="U229" t="s">
        <v>43</v>
      </c>
    </row>
    <row r="230" spans="1:21" ht="30">
      <c r="A230" s="54">
        <f t="shared" si="8"/>
        <v>229</v>
      </c>
      <c r="B230" s="152" t="s">
        <v>3</v>
      </c>
      <c r="C230" s="13" t="s">
        <v>297</v>
      </c>
      <c r="D230" s="86"/>
      <c r="E230" s="86"/>
      <c r="F230" s="86">
        <v>4</v>
      </c>
      <c r="G230" s="86">
        <v>1</v>
      </c>
      <c r="H230" s="86">
        <v>1</v>
      </c>
      <c r="I230" s="86">
        <v>5</v>
      </c>
      <c r="J230" s="55">
        <f t="shared" si="9"/>
        <v>5</v>
      </c>
      <c r="K230" s="86">
        <v>1</v>
      </c>
      <c r="L230" s="86">
        <v>1</v>
      </c>
      <c r="M230" s="86"/>
      <c r="N230" s="86">
        <v>1</v>
      </c>
      <c r="O230" s="45" t="s">
        <v>57</v>
      </c>
      <c r="P230" s="86" t="s">
        <v>43</v>
      </c>
      <c r="R230" s="86" t="s">
        <v>55</v>
      </c>
      <c r="S230" s="27">
        <v>46176</v>
      </c>
      <c r="T230" t="s">
        <v>219</v>
      </c>
      <c r="U230" t="s">
        <v>43</v>
      </c>
    </row>
    <row r="231" spans="1:21" ht="30">
      <c r="A231" s="54">
        <f t="shared" si="8"/>
        <v>230</v>
      </c>
      <c r="B231" s="152" t="s">
        <v>4</v>
      </c>
      <c r="C231" s="13" t="s">
        <v>282</v>
      </c>
      <c r="D231" s="86"/>
      <c r="E231" s="86"/>
      <c r="F231" s="86">
        <v>0</v>
      </c>
      <c r="G231" s="86">
        <v>0</v>
      </c>
      <c r="H231" s="86">
        <v>1</v>
      </c>
      <c r="I231" s="86">
        <v>4</v>
      </c>
      <c r="J231" s="55">
        <f t="shared" si="9"/>
        <v>4</v>
      </c>
      <c r="K231" s="86">
        <v>1</v>
      </c>
      <c r="L231" s="86"/>
      <c r="M231" s="86">
        <v>1</v>
      </c>
      <c r="N231" s="86"/>
      <c r="O231" s="86" t="s">
        <v>42</v>
      </c>
      <c r="P231" s="86" t="s">
        <v>43</v>
      </c>
      <c r="R231" s="86" t="s">
        <v>55</v>
      </c>
      <c r="S231" s="27">
        <v>46176</v>
      </c>
      <c r="T231" t="s">
        <v>219</v>
      </c>
      <c r="U231" t="s">
        <v>43</v>
      </c>
    </row>
    <row r="232" spans="1:21">
      <c r="A232" s="54">
        <f t="shared" si="8"/>
        <v>231</v>
      </c>
      <c r="B232" s="152" t="s">
        <v>11</v>
      </c>
      <c r="C232" s="13" t="s">
        <v>298</v>
      </c>
      <c r="D232" s="86"/>
      <c r="E232" s="86"/>
      <c r="F232" s="86">
        <v>0</v>
      </c>
      <c r="G232" s="86">
        <v>0</v>
      </c>
      <c r="H232" s="86">
        <v>1</v>
      </c>
      <c r="I232" s="86">
        <v>3</v>
      </c>
      <c r="J232" s="55">
        <f t="shared" si="9"/>
        <v>3</v>
      </c>
      <c r="K232" s="86"/>
      <c r="L232" s="86"/>
      <c r="M232" s="86">
        <v>1</v>
      </c>
      <c r="N232" s="86"/>
      <c r="O232" s="86" t="s">
        <v>42</v>
      </c>
      <c r="P232" s="86" t="s">
        <v>43</v>
      </c>
      <c r="R232" s="86" t="s">
        <v>55</v>
      </c>
      <c r="S232" s="27">
        <v>46176</v>
      </c>
      <c r="T232" t="s">
        <v>219</v>
      </c>
      <c r="U232" t="s">
        <v>43</v>
      </c>
    </row>
    <row r="233" spans="1:21">
      <c r="A233" s="54">
        <f t="shared" si="8"/>
        <v>232</v>
      </c>
      <c r="B233" s="152" t="s">
        <v>2</v>
      </c>
      <c r="C233" s="13" t="s">
        <v>299</v>
      </c>
      <c r="D233" s="86"/>
      <c r="E233" s="86"/>
      <c r="F233" s="86">
        <v>0</v>
      </c>
      <c r="G233" s="86">
        <v>0</v>
      </c>
      <c r="H233" s="86">
        <v>1</v>
      </c>
      <c r="I233" s="86">
        <v>3</v>
      </c>
      <c r="J233" s="55">
        <f t="shared" si="9"/>
        <v>3</v>
      </c>
      <c r="K233" s="86"/>
      <c r="L233" s="86"/>
      <c r="M233" s="86">
        <v>1</v>
      </c>
      <c r="N233" s="86"/>
      <c r="O233" s="45" t="s">
        <v>57</v>
      </c>
      <c r="P233" s="86" t="s">
        <v>43</v>
      </c>
      <c r="R233" s="99" t="s">
        <v>55</v>
      </c>
      <c r="S233" s="27">
        <v>46177</v>
      </c>
      <c r="T233" t="s">
        <v>219</v>
      </c>
      <c r="U233" t="s">
        <v>64</v>
      </c>
    </row>
    <row r="234" spans="1:21">
      <c r="A234" s="54">
        <f t="shared" si="8"/>
        <v>233</v>
      </c>
      <c r="B234" s="152" t="s">
        <v>6</v>
      </c>
      <c r="C234" s="13" t="s">
        <v>300</v>
      </c>
      <c r="D234" s="86"/>
      <c r="E234" s="86"/>
      <c r="F234" s="86">
        <v>0</v>
      </c>
      <c r="G234" s="86">
        <v>0</v>
      </c>
      <c r="H234" s="86">
        <v>1</v>
      </c>
      <c r="I234" s="86">
        <v>2</v>
      </c>
      <c r="J234" s="55">
        <f t="shared" si="9"/>
        <v>2</v>
      </c>
      <c r="K234" s="86"/>
      <c r="L234" s="86"/>
      <c r="M234" s="86">
        <v>1</v>
      </c>
      <c r="N234" s="86"/>
      <c r="O234" s="86" t="s">
        <v>42</v>
      </c>
      <c r="P234" s="86" t="s">
        <v>43</v>
      </c>
      <c r="R234" s="99" t="s">
        <v>55</v>
      </c>
      <c r="S234" s="27">
        <v>46177</v>
      </c>
      <c r="T234" t="s">
        <v>219</v>
      </c>
      <c r="U234" t="s">
        <v>64</v>
      </c>
    </row>
    <row r="235" spans="1:21">
      <c r="A235" s="54">
        <f t="shared" si="8"/>
        <v>234</v>
      </c>
      <c r="B235" s="152" t="s">
        <v>6</v>
      </c>
      <c r="C235" s="13" t="s">
        <v>301</v>
      </c>
      <c r="D235" s="86"/>
      <c r="E235" s="86"/>
      <c r="F235" s="86">
        <v>10</v>
      </c>
      <c r="G235" s="86">
        <v>3</v>
      </c>
      <c r="H235" s="86">
        <v>1</v>
      </c>
      <c r="I235" s="86">
        <v>3</v>
      </c>
      <c r="J235" s="55">
        <f t="shared" si="9"/>
        <v>3</v>
      </c>
      <c r="K235" s="86"/>
      <c r="L235" s="86"/>
      <c r="M235" s="86"/>
      <c r="N235" s="86">
        <v>1</v>
      </c>
      <c r="O235" s="45" t="s">
        <v>85</v>
      </c>
      <c r="P235" s="86" t="s">
        <v>43</v>
      </c>
      <c r="R235" s="116" t="s">
        <v>77</v>
      </c>
      <c r="S235" s="27">
        <v>46177</v>
      </c>
      <c r="T235" t="s">
        <v>219</v>
      </c>
      <c r="U235" t="s">
        <v>64</v>
      </c>
    </row>
    <row r="236" spans="1:21">
      <c r="A236" s="54">
        <f t="shared" si="8"/>
        <v>235</v>
      </c>
      <c r="B236" s="152" t="s">
        <v>6</v>
      </c>
      <c r="C236" s="13" t="s">
        <v>302</v>
      </c>
      <c r="D236" s="86"/>
      <c r="E236" s="86"/>
      <c r="F236" s="86">
        <v>0</v>
      </c>
      <c r="G236" s="86">
        <v>0</v>
      </c>
      <c r="H236" s="86">
        <v>1</v>
      </c>
      <c r="I236" s="86">
        <v>3</v>
      </c>
      <c r="J236" s="55">
        <f t="shared" si="9"/>
        <v>3</v>
      </c>
      <c r="K236" s="86"/>
      <c r="L236" s="86"/>
      <c r="M236" s="86">
        <v>1</v>
      </c>
      <c r="N236" s="86"/>
      <c r="O236" s="86" t="s">
        <v>124</v>
      </c>
      <c r="P236" s="86" t="s">
        <v>43</v>
      </c>
      <c r="R236" s="116" t="s">
        <v>77</v>
      </c>
      <c r="S236" s="27">
        <v>46177</v>
      </c>
      <c r="T236" t="s">
        <v>219</v>
      </c>
      <c r="U236" t="s">
        <v>64</v>
      </c>
    </row>
    <row r="237" spans="1:21" ht="30">
      <c r="A237" s="54">
        <f t="shared" si="8"/>
        <v>236</v>
      </c>
      <c r="B237" s="152" t="s">
        <v>3</v>
      </c>
      <c r="C237" s="13" t="s">
        <v>303</v>
      </c>
      <c r="D237" s="86"/>
      <c r="E237" s="86"/>
      <c r="F237" s="86">
        <v>3</v>
      </c>
      <c r="G237" s="86">
        <v>2</v>
      </c>
      <c r="H237" s="86">
        <v>1</v>
      </c>
      <c r="I237" s="86">
        <v>3</v>
      </c>
      <c r="J237" s="55">
        <f t="shared" si="9"/>
        <v>3</v>
      </c>
      <c r="K237" s="86"/>
      <c r="L237" s="86">
        <v>1</v>
      </c>
      <c r="M237" s="86"/>
      <c r="N237" s="86">
        <v>1</v>
      </c>
      <c r="O237" s="86" t="s">
        <v>57</v>
      </c>
      <c r="P237" s="86" t="s">
        <v>43</v>
      </c>
      <c r="R237" s="116" t="s">
        <v>77</v>
      </c>
      <c r="S237" s="27">
        <v>46177</v>
      </c>
      <c r="T237" t="s">
        <v>219</v>
      </c>
      <c r="U237" t="s">
        <v>43</v>
      </c>
    </row>
    <row r="238" spans="1:21">
      <c r="A238" s="54">
        <f t="shared" si="8"/>
        <v>237</v>
      </c>
      <c r="B238" s="152" t="s">
        <v>3</v>
      </c>
      <c r="C238" s="13" t="s">
        <v>304</v>
      </c>
      <c r="D238" s="86"/>
      <c r="E238" s="86"/>
      <c r="F238" s="86">
        <v>0</v>
      </c>
      <c r="G238" s="86">
        <v>0</v>
      </c>
      <c r="H238" s="86">
        <v>1</v>
      </c>
      <c r="I238" s="86">
        <v>1</v>
      </c>
      <c r="J238" s="55">
        <f t="shared" si="9"/>
        <v>1</v>
      </c>
      <c r="K238" s="86"/>
      <c r="L238" s="86"/>
      <c r="M238" s="86">
        <v>1</v>
      </c>
      <c r="N238" s="86"/>
      <c r="O238" s="86" t="s">
        <v>124</v>
      </c>
      <c r="P238" s="86" t="s">
        <v>43</v>
      </c>
      <c r="R238" s="116" t="s">
        <v>77</v>
      </c>
      <c r="S238" s="27">
        <v>46177</v>
      </c>
      <c r="T238" t="s">
        <v>219</v>
      </c>
      <c r="U238" t="s">
        <v>64</v>
      </c>
    </row>
    <row r="239" spans="1:21">
      <c r="A239" s="54">
        <f t="shared" si="8"/>
        <v>238</v>
      </c>
      <c r="B239" s="152" t="s">
        <v>5</v>
      </c>
      <c r="C239" s="13" t="s">
        <v>305</v>
      </c>
      <c r="D239" s="86"/>
      <c r="E239" s="86"/>
      <c r="F239" s="86">
        <v>0</v>
      </c>
      <c r="G239" s="86">
        <v>0</v>
      </c>
      <c r="H239" s="86">
        <v>1</v>
      </c>
      <c r="I239" s="86">
        <v>3</v>
      </c>
      <c r="J239" s="55">
        <f t="shared" si="9"/>
        <v>3</v>
      </c>
      <c r="K239" s="86"/>
      <c r="L239" s="86"/>
      <c r="M239" s="86">
        <v>1</v>
      </c>
      <c r="N239" s="86"/>
      <c r="O239" s="45" t="s">
        <v>85</v>
      </c>
      <c r="P239" s="86" t="s">
        <v>43</v>
      </c>
      <c r="R239" s="116" t="s">
        <v>77</v>
      </c>
      <c r="S239" s="27">
        <v>46177</v>
      </c>
      <c r="T239" t="s">
        <v>219</v>
      </c>
      <c r="U239" t="s">
        <v>64</v>
      </c>
    </row>
    <row r="240" spans="1:21">
      <c r="A240" s="54">
        <f t="shared" si="8"/>
        <v>239</v>
      </c>
      <c r="B240" s="152" t="s">
        <v>7</v>
      </c>
      <c r="C240" s="13" t="s">
        <v>306</v>
      </c>
      <c r="D240" s="86"/>
      <c r="E240" s="86"/>
      <c r="F240" s="86">
        <v>0</v>
      </c>
      <c r="G240" s="86">
        <v>0</v>
      </c>
      <c r="H240" s="86">
        <v>1</v>
      </c>
      <c r="I240" s="86">
        <v>2</v>
      </c>
      <c r="J240" s="55">
        <f t="shared" si="9"/>
        <v>2</v>
      </c>
      <c r="K240" s="86"/>
      <c r="L240" s="86"/>
      <c r="M240" s="86">
        <v>1</v>
      </c>
      <c r="N240" s="86"/>
      <c r="O240" s="45" t="s">
        <v>92</v>
      </c>
      <c r="P240" s="86" t="s">
        <v>43</v>
      </c>
      <c r="R240" s="116" t="s">
        <v>77</v>
      </c>
      <c r="S240" s="27">
        <v>46177</v>
      </c>
      <c r="T240" t="s">
        <v>219</v>
      </c>
      <c r="U240" t="s">
        <v>64</v>
      </c>
    </row>
    <row r="241" spans="1:21">
      <c r="A241" s="54">
        <f t="shared" si="8"/>
        <v>240</v>
      </c>
      <c r="B241" s="152" t="s">
        <v>11</v>
      </c>
      <c r="C241" s="13" t="s">
        <v>307</v>
      </c>
      <c r="D241" s="86"/>
      <c r="E241" s="86"/>
      <c r="F241" s="86">
        <v>0</v>
      </c>
      <c r="G241" s="86">
        <v>0</v>
      </c>
      <c r="H241" s="86">
        <v>1</v>
      </c>
      <c r="I241" s="86">
        <v>3</v>
      </c>
      <c r="J241" s="55">
        <f t="shared" si="9"/>
        <v>3</v>
      </c>
      <c r="K241" s="86"/>
      <c r="L241" s="86"/>
      <c r="M241" s="86">
        <v>1</v>
      </c>
      <c r="N241" s="86"/>
      <c r="O241" s="45" t="s">
        <v>72</v>
      </c>
      <c r="P241" s="86" t="s">
        <v>43</v>
      </c>
      <c r="R241" s="116" t="s">
        <v>44</v>
      </c>
      <c r="S241" s="27">
        <v>46177</v>
      </c>
      <c r="T241" t="s">
        <v>219</v>
      </c>
      <c r="U241" t="s">
        <v>43</v>
      </c>
    </row>
    <row r="242" spans="1:21">
      <c r="A242" s="54">
        <f t="shared" si="8"/>
        <v>241</v>
      </c>
      <c r="B242" s="152" t="s">
        <v>7</v>
      </c>
      <c r="C242" s="13" t="s">
        <v>308</v>
      </c>
      <c r="D242" s="86"/>
      <c r="E242" s="86"/>
      <c r="F242" s="86">
        <v>0</v>
      </c>
      <c r="G242" s="86">
        <v>0</v>
      </c>
      <c r="H242" s="86">
        <v>1</v>
      </c>
      <c r="I242" s="86">
        <v>2</v>
      </c>
      <c r="J242" s="55">
        <f t="shared" si="9"/>
        <v>2</v>
      </c>
      <c r="K242" s="86"/>
      <c r="L242" s="86"/>
      <c r="M242" s="86">
        <v>1</v>
      </c>
      <c r="N242" s="86"/>
      <c r="O242" s="45" t="s">
        <v>72</v>
      </c>
      <c r="P242" s="86" t="s">
        <v>43</v>
      </c>
      <c r="R242" s="116" t="s">
        <v>44</v>
      </c>
      <c r="S242" s="27">
        <v>46177</v>
      </c>
      <c r="T242" t="s">
        <v>219</v>
      </c>
      <c r="U242" t="s">
        <v>43</v>
      </c>
    </row>
    <row r="243" spans="1:21" ht="30">
      <c r="A243" s="54">
        <f t="shared" si="8"/>
        <v>242</v>
      </c>
      <c r="B243" s="152" t="s">
        <v>3</v>
      </c>
      <c r="C243" s="13" t="s">
        <v>309</v>
      </c>
      <c r="D243" s="86"/>
      <c r="E243" s="86"/>
      <c r="F243" s="86">
        <v>4</v>
      </c>
      <c r="G243" s="86">
        <v>1</v>
      </c>
      <c r="H243" s="86">
        <v>1</v>
      </c>
      <c r="I243" s="86">
        <v>3</v>
      </c>
      <c r="J243" s="55">
        <f t="shared" si="9"/>
        <v>3</v>
      </c>
      <c r="K243" s="86"/>
      <c r="L243" s="86">
        <v>1</v>
      </c>
      <c r="M243" s="86"/>
      <c r="N243" s="86">
        <v>1</v>
      </c>
      <c r="O243" s="86" t="s">
        <v>42</v>
      </c>
      <c r="P243" t="s">
        <v>43</v>
      </c>
      <c r="R243" s="86" t="s">
        <v>55</v>
      </c>
      <c r="S243" s="27">
        <v>46178</v>
      </c>
      <c r="T243" t="s">
        <v>219</v>
      </c>
      <c r="U243" t="s">
        <v>43</v>
      </c>
    </row>
    <row r="244" spans="1:21">
      <c r="A244" s="54">
        <f t="shared" si="8"/>
        <v>243</v>
      </c>
      <c r="B244" s="152" t="s">
        <v>9</v>
      </c>
      <c r="C244" s="13" t="s">
        <v>310</v>
      </c>
      <c r="D244" s="86"/>
      <c r="E244" s="86"/>
      <c r="F244" s="86">
        <v>2</v>
      </c>
      <c r="G244" s="86">
        <v>4</v>
      </c>
      <c r="H244" s="86">
        <v>1</v>
      </c>
      <c r="I244" s="86">
        <v>3</v>
      </c>
      <c r="J244" s="55">
        <f t="shared" si="9"/>
        <v>3</v>
      </c>
      <c r="K244" s="86"/>
      <c r="L244" s="86"/>
      <c r="M244" s="86"/>
      <c r="N244" s="86">
        <v>1</v>
      </c>
      <c r="O244" s="86" t="s">
        <v>42</v>
      </c>
      <c r="P244" t="s">
        <v>43</v>
      </c>
      <c r="R244" s="116" t="s">
        <v>77</v>
      </c>
      <c r="S244" s="27">
        <v>46178</v>
      </c>
      <c r="T244" t="s">
        <v>219</v>
      </c>
      <c r="U244" t="s">
        <v>43</v>
      </c>
    </row>
    <row r="245" spans="1:21" ht="75">
      <c r="A245" s="54">
        <f t="shared" si="8"/>
        <v>244</v>
      </c>
      <c r="B245" s="152" t="s">
        <v>6</v>
      </c>
      <c r="C245" s="35" t="s">
        <v>311</v>
      </c>
      <c r="F245">
        <v>2</v>
      </c>
      <c r="G245">
        <v>2</v>
      </c>
      <c r="H245">
        <v>1</v>
      </c>
      <c r="I245">
        <v>3</v>
      </c>
      <c r="J245" s="55">
        <f t="shared" si="9"/>
        <v>3</v>
      </c>
      <c r="N245">
        <v>1</v>
      </c>
      <c r="O245" s="117" t="s">
        <v>108</v>
      </c>
      <c r="P245" t="s">
        <v>43</v>
      </c>
      <c r="R245" s="116" t="s">
        <v>99</v>
      </c>
      <c r="S245" s="27">
        <v>46178</v>
      </c>
      <c r="T245" t="s">
        <v>219</v>
      </c>
      <c r="U245" s="8" t="s">
        <v>64</v>
      </c>
    </row>
    <row r="246" spans="1:21">
      <c r="A246" s="54">
        <f t="shared" si="8"/>
        <v>245</v>
      </c>
      <c r="B246" s="152" t="s">
        <v>6</v>
      </c>
      <c r="C246" s="35" t="s">
        <v>312</v>
      </c>
      <c r="F246">
        <v>8</v>
      </c>
      <c r="G246">
        <v>4</v>
      </c>
      <c r="H246">
        <v>1</v>
      </c>
      <c r="I246">
        <v>3</v>
      </c>
      <c r="J246" s="55">
        <f t="shared" si="9"/>
        <v>3</v>
      </c>
      <c r="N246">
        <v>1</v>
      </c>
      <c r="O246" s="45" t="s">
        <v>42</v>
      </c>
      <c r="P246" t="s">
        <v>43</v>
      </c>
      <c r="R246" s="116" t="s">
        <v>44</v>
      </c>
      <c r="S246" s="27">
        <v>46178</v>
      </c>
      <c r="T246" t="s">
        <v>219</v>
      </c>
      <c r="U246" s="8" t="s">
        <v>43</v>
      </c>
    </row>
    <row r="247" spans="1:21">
      <c r="A247" s="54">
        <f t="shared" si="8"/>
        <v>246</v>
      </c>
      <c r="B247" s="152" t="s">
        <v>8</v>
      </c>
      <c r="C247" s="35" t="s">
        <v>313</v>
      </c>
      <c r="F247">
        <v>0</v>
      </c>
      <c r="G247">
        <v>0</v>
      </c>
      <c r="H247">
        <v>1</v>
      </c>
      <c r="I247">
        <v>3</v>
      </c>
      <c r="J247" s="55">
        <f t="shared" si="9"/>
        <v>3</v>
      </c>
      <c r="M247">
        <v>1</v>
      </c>
      <c r="O247" t="s">
        <v>69</v>
      </c>
      <c r="P247" s="97" t="s">
        <v>43</v>
      </c>
      <c r="Q247" t="s">
        <v>314</v>
      </c>
      <c r="R247" s="100" t="s">
        <v>55</v>
      </c>
      <c r="S247" s="101">
        <v>46179</v>
      </c>
      <c r="T247" t="s">
        <v>219</v>
      </c>
      <c r="U247" s="8" t="s">
        <v>43</v>
      </c>
    </row>
    <row r="248" spans="1:21">
      <c r="A248" s="54">
        <f t="shared" si="8"/>
        <v>247</v>
      </c>
      <c r="B248" s="152" t="s">
        <v>8</v>
      </c>
      <c r="C248" s="35" t="s">
        <v>315</v>
      </c>
      <c r="F248">
        <v>2</v>
      </c>
      <c r="G248">
        <v>2</v>
      </c>
      <c r="H248">
        <v>1</v>
      </c>
      <c r="I248">
        <v>2</v>
      </c>
      <c r="J248" s="55">
        <f t="shared" si="9"/>
        <v>2</v>
      </c>
      <c r="N248">
        <v>1</v>
      </c>
      <c r="O248" t="s">
        <v>124</v>
      </c>
      <c r="P248" s="97" t="s">
        <v>43</v>
      </c>
      <c r="R248" s="116" t="s">
        <v>99</v>
      </c>
      <c r="S248" s="101">
        <v>46179</v>
      </c>
      <c r="T248" t="s">
        <v>219</v>
      </c>
      <c r="U248" s="8" t="s">
        <v>43</v>
      </c>
    </row>
    <row r="249" spans="1:21">
      <c r="A249" s="54">
        <f t="shared" si="8"/>
        <v>248</v>
      </c>
      <c r="B249" s="152" t="s">
        <v>9</v>
      </c>
      <c r="C249" s="89" t="s">
        <v>316</v>
      </c>
      <c r="E249">
        <v>1</v>
      </c>
      <c r="F249">
        <v>5</v>
      </c>
      <c r="G249">
        <v>1</v>
      </c>
      <c r="H249">
        <v>1</v>
      </c>
      <c r="I249">
        <v>3</v>
      </c>
      <c r="J249" s="55">
        <f t="shared" si="9"/>
        <v>3</v>
      </c>
      <c r="K249" s="97"/>
      <c r="N249">
        <v>1</v>
      </c>
      <c r="O249" s="89" t="s">
        <v>42</v>
      </c>
      <c r="P249" s="97" t="s">
        <v>43</v>
      </c>
      <c r="R249" s="99" t="s">
        <v>55</v>
      </c>
      <c r="S249" s="101">
        <v>46179</v>
      </c>
      <c r="T249" t="s">
        <v>219</v>
      </c>
      <c r="U249" s="8" t="s">
        <v>43</v>
      </c>
    </row>
    <row r="250" spans="1:21" s="72" customFormat="1">
      <c r="A250" s="54">
        <f t="shared" si="8"/>
        <v>249</v>
      </c>
      <c r="B250" s="152" t="s">
        <v>6</v>
      </c>
      <c r="C250" s="89" t="s">
        <v>317</v>
      </c>
      <c r="D250"/>
      <c r="E250">
        <v>1</v>
      </c>
      <c r="F250">
        <v>12</v>
      </c>
      <c r="G250">
        <v>1</v>
      </c>
      <c r="H250">
        <v>1</v>
      </c>
      <c r="I250">
        <v>4</v>
      </c>
      <c r="J250" s="124">
        <f t="shared" si="9"/>
        <v>4</v>
      </c>
      <c r="K250" s="97">
        <v>1</v>
      </c>
      <c r="L250" s="97"/>
      <c r="M250"/>
      <c r="N250">
        <v>1</v>
      </c>
      <c r="O250" s="89" t="s">
        <v>318</v>
      </c>
      <c r="P250" s="97" t="s">
        <v>43</v>
      </c>
      <c r="R250" s="100" t="s">
        <v>55</v>
      </c>
      <c r="S250" s="101">
        <v>46179</v>
      </c>
      <c r="T250" t="s">
        <v>219</v>
      </c>
      <c r="U250" s="72" t="s">
        <v>43</v>
      </c>
    </row>
    <row r="251" spans="1:21" s="72" customFormat="1">
      <c r="A251" s="54">
        <f t="shared" si="8"/>
        <v>250</v>
      </c>
      <c r="B251" s="152" t="s">
        <v>3</v>
      </c>
      <c r="C251" s="89" t="s">
        <v>319</v>
      </c>
      <c r="D251"/>
      <c r="E251">
        <v>1</v>
      </c>
      <c r="F251">
        <v>7</v>
      </c>
      <c r="G251">
        <v>1</v>
      </c>
      <c r="H251">
        <v>1</v>
      </c>
      <c r="I251">
        <v>1</v>
      </c>
      <c r="J251" s="124">
        <f t="shared" si="9"/>
        <v>1</v>
      </c>
      <c r="K251" s="97"/>
      <c r="L251">
        <v>1</v>
      </c>
      <c r="M251"/>
      <c r="N251">
        <v>1</v>
      </c>
      <c r="O251" s="45" t="s">
        <v>72</v>
      </c>
      <c r="P251" s="97" t="s">
        <v>43</v>
      </c>
      <c r="R251" s="116" t="s">
        <v>44</v>
      </c>
      <c r="S251" s="101">
        <v>46179</v>
      </c>
      <c r="T251" t="s">
        <v>219</v>
      </c>
      <c r="U251" s="72" t="s">
        <v>43</v>
      </c>
    </row>
    <row r="252" spans="1:21" s="72" customFormat="1">
      <c r="A252" s="54">
        <f t="shared" si="8"/>
        <v>251</v>
      </c>
      <c r="B252" s="152" t="s">
        <v>6</v>
      </c>
      <c r="C252" s="89" t="s">
        <v>320</v>
      </c>
      <c r="D252"/>
      <c r="E252">
        <v>1</v>
      </c>
      <c r="F252">
        <v>14</v>
      </c>
      <c r="G252">
        <v>2</v>
      </c>
      <c r="H252">
        <v>2</v>
      </c>
      <c r="I252">
        <v>3</v>
      </c>
      <c r="J252" s="124">
        <f t="shared" si="9"/>
        <v>6</v>
      </c>
      <c r="K252" s="97"/>
      <c r="L252"/>
      <c r="M252"/>
      <c r="N252">
        <v>1</v>
      </c>
      <c r="O252" s="45" t="s">
        <v>57</v>
      </c>
      <c r="P252" s="97" t="s">
        <v>43</v>
      </c>
      <c r="R252" s="116" t="s">
        <v>77</v>
      </c>
      <c r="S252" s="101">
        <v>46179</v>
      </c>
      <c r="T252" t="s">
        <v>219</v>
      </c>
      <c r="U252" s="72" t="s">
        <v>43</v>
      </c>
    </row>
    <row r="253" spans="1:21" s="72" customFormat="1">
      <c r="A253" s="54">
        <f t="shared" si="8"/>
        <v>252</v>
      </c>
      <c r="B253" s="152" t="s">
        <v>5</v>
      </c>
      <c r="C253" s="89" t="s">
        <v>321</v>
      </c>
      <c r="D253"/>
      <c r="E253">
        <v>1</v>
      </c>
      <c r="F253"/>
      <c r="G253"/>
      <c r="H253">
        <v>1</v>
      </c>
      <c r="I253">
        <v>3</v>
      </c>
      <c r="J253" s="124">
        <f t="shared" si="9"/>
        <v>3</v>
      </c>
      <c r="K253" s="97"/>
      <c r="L253"/>
      <c r="M253">
        <v>1</v>
      </c>
      <c r="N253"/>
      <c r="O253" s="89" t="s">
        <v>318</v>
      </c>
      <c r="P253" s="97" t="s">
        <v>43</v>
      </c>
      <c r="R253" s="116" t="s">
        <v>44</v>
      </c>
      <c r="S253" s="101">
        <v>46179</v>
      </c>
      <c r="T253" t="s">
        <v>219</v>
      </c>
      <c r="U253" s="72" t="s">
        <v>43</v>
      </c>
    </row>
    <row r="254" spans="1:21" s="72" customFormat="1">
      <c r="A254" s="54">
        <f t="shared" si="8"/>
        <v>253</v>
      </c>
      <c r="B254" s="152" t="s">
        <v>2</v>
      </c>
      <c r="C254" s="89" t="s">
        <v>322</v>
      </c>
      <c r="D254"/>
      <c r="E254">
        <v>1</v>
      </c>
      <c r="F254"/>
      <c r="G254"/>
      <c r="H254">
        <v>1</v>
      </c>
      <c r="I254">
        <v>3</v>
      </c>
      <c r="J254" s="124">
        <f t="shared" si="9"/>
        <v>3</v>
      </c>
      <c r="K254" s="97"/>
      <c r="L254"/>
      <c r="M254">
        <v>1</v>
      </c>
      <c r="N254"/>
      <c r="O254" s="117" t="s">
        <v>108</v>
      </c>
      <c r="P254" s="97" t="s">
        <v>43</v>
      </c>
      <c r="R254" s="116" t="s">
        <v>77</v>
      </c>
      <c r="S254" s="101">
        <v>46179</v>
      </c>
      <c r="T254" t="s">
        <v>219</v>
      </c>
      <c r="U254" s="72" t="s">
        <v>43</v>
      </c>
    </row>
    <row r="255" spans="1:21" s="72" customFormat="1">
      <c r="A255" s="54">
        <f t="shared" si="8"/>
        <v>254</v>
      </c>
      <c r="B255" s="152" t="s">
        <v>6</v>
      </c>
      <c r="C255" s="89" t="s">
        <v>323</v>
      </c>
      <c r="D255"/>
      <c r="E255">
        <v>1</v>
      </c>
      <c r="F255">
        <v>4</v>
      </c>
      <c r="G255">
        <v>12</v>
      </c>
      <c r="H255">
        <v>12</v>
      </c>
      <c r="I255">
        <v>3</v>
      </c>
      <c r="J255" s="124">
        <f t="shared" si="9"/>
        <v>36</v>
      </c>
      <c r="K255" s="97"/>
      <c r="L255"/>
      <c r="M255">
        <v>1</v>
      </c>
      <c r="N255"/>
      <c r="O255" s="89" t="s">
        <v>42</v>
      </c>
      <c r="P255" s="97" t="s">
        <v>43</v>
      </c>
      <c r="R255" s="100" t="s">
        <v>55</v>
      </c>
      <c r="S255" s="101">
        <v>46179</v>
      </c>
      <c r="T255" t="s">
        <v>219</v>
      </c>
      <c r="U255" s="72" t="s">
        <v>64</v>
      </c>
    </row>
    <row r="256" spans="1:21" s="72" customFormat="1">
      <c r="A256" s="54">
        <f t="shared" si="8"/>
        <v>255</v>
      </c>
      <c r="B256" s="152" t="s">
        <v>2</v>
      </c>
      <c r="C256" s="89" t="s">
        <v>324</v>
      </c>
      <c r="D256"/>
      <c r="E256">
        <v>1</v>
      </c>
      <c r="F256">
        <v>6</v>
      </c>
      <c r="G256">
        <v>2</v>
      </c>
      <c r="H256">
        <v>2</v>
      </c>
      <c r="I256">
        <v>3</v>
      </c>
      <c r="J256" s="124">
        <f t="shared" si="9"/>
        <v>6</v>
      </c>
      <c r="K256" s="97"/>
      <c r="L256"/>
      <c r="M256"/>
      <c r="N256">
        <v>1</v>
      </c>
      <c r="O256" s="45" t="s">
        <v>57</v>
      </c>
      <c r="P256" s="97" t="s">
        <v>43</v>
      </c>
      <c r="R256" t="s">
        <v>97</v>
      </c>
      <c r="S256" s="101">
        <v>46179</v>
      </c>
      <c r="T256" t="s">
        <v>219</v>
      </c>
      <c r="U256" s="72" t="s">
        <v>43</v>
      </c>
    </row>
    <row r="257" spans="1:21" s="72" customFormat="1">
      <c r="A257" s="54">
        <f t="shared" si="8"/>
        <v>256</v>
      </c>
      <c r="B257" s="152" t="s">
        <v>2</v>
      </c>
      <c r="C257" s="89" t="s">
        <v>325</v>
      </c>
      <c r="D257"/>
      <c r="E257">
        <v>1</v>
      </c>
      <c r="F257">
        <v>6</v>
      </c>
      <c r="G257">
        <v>1</v>
      </c>
      <c r="H257">
        <v>1</v>
      </c>
      <c r="I257">
        <v>3</v>
      </c>
      <c r="J257" s="124">
        <f t="shared" si="9"/>
        <v>3</v>
      </c>
      <c r="K257" s="97"/>
      <c r="L257">
        <v>1</v>
      </c>
      <c r="M257"/>
      <c r="N257">
        <v>1</v>
      </c>
      <c r="O257" s="45" t="s">
        <v>57</v>
      </c>
      <c r="P257" s="97" t="s">
        <v>43</v>
      </c>
      <c r="R257" s="100" t="s">
        <v>55</v>
      </c>
      <c r="S257" s="101">
        <v>46179</v>
      </c>
      <c r="T257" t="s">
        <v>219</v>
      </c>
      <c r="U257" s="72" t="s">
        <v>43</v>
      </c>
    </row>
    <row r="258" spans="1:21" s="72" customFormat="1">
      <c r="A258" s="54">
        <f t="shared" si="8"/>
        <v>257</v>
      </c>
      <c r="B258" s="152" t="s">
        <v>5</v>
      </c>
      <c r="C258" s="89" t="s">
        <v>326</v>
      </c>
      <c r="D258"/>
      <c r="E258">
        <v>1</v>
      </c>
      <c r="F258"/>
      <c r="G258"/>
      <c r="H258">
        <v>1</v>
      </c>
      <c r="I258">
        <v>3</v>
      </c>
      <c r="J258" s="124">
        <f t="shared" si="9"/>
        <v>3</v>
      </c>
      <c r="K258" s="97"/>
      <c r="L258"/>
      <c r="M258">
        <v>1</v>
      </c>
      <c r="N258"/>
      <c r="O258" s="89"/>
      <c r="P258" s="97" t="s">
        <v>43</v>
      </c>
      <c r="R258" s="116" t="s">
        <v>44</v>
      </c>
      <c r="S258" s="101">
        <v>46179</v>
      </c>
      <c r="T258" t="s">
        <v>219</v>
      </c>
      <c r="U258" s="72" t="s">
        <v>43</v>
      </c>
    </row>
    <row r="259" spans="1:21" s="72" customFormat="1">
      <c r="A259" s="54">
        <f t="shared" si="8"/>
        <v>258</v>
      </c>
      <c r="B259" s="152" t="s">
        <v>6</v>
      </c>
      <c r="C259" s="89" t="s">
        <v>327</v>
      </c>
      <c r="D259"/>
      <c r="E259">
        <v>1</v>
      </c>
      <c r="F259">
        <v>3</v>
      </c>
      <c r="G259">
        <v>1</v>
      </c>
      <c r="H259">
        <v>1</v>
      </c>
      <c r="I259">
        <v>3</v>
      </c>
      <c r="J259" s="124">
        <f t="shared" si="9"/>
        <v>3</v>
      </c>
      <c r="K259" s="97"/>
      <c r="L259"/>
      <c r="M259"/>
      <c r="N259">
        <v>1</v>
      </c>
      <c r="O259" s="89" t="s">
        <v>42</v>
      </c>
      <c r="P259" s="97" t="s">
        <v>43</v>
      </c>
      <c r="R259" s="116" t="s">
        <v>77</v>
      </c>
      <c r="S259" s="101">
        <v>46179</v>
      </c>
      <c r="T259" t="s">
        <v>219</v>
      </c>
      <c r="U259" s="72" t="s">
        <v>64</v>
      </c>
    </row>
    <row r="260" spans="1:21" s="72" customFormat="1">
      <c r="A260" s="54">
        <f t="shared" si="8"/>
        <v>259</v>
      </c>
      <c r="B260" s="152" t="s">
        <v>4</v>
      </c>
      <c r="C260" s="89" t="s">
        <v>328</v>
      </c>
      <c r="D260"/>
      <c r="E260">
        <v>1</v>
      </c>
      <c r="F260"/>
      <c r="G260"/>
      <c r="H260">
        <v>1</v>
      </c>
      <c r="I260">
        <v>3</v>
      </c>
      <c r="J260" s="124">
        <f t="shared" si="9"/>
        <v>3</v>
      </c>
      <c r="K260" s="97"/>
      <c r="L260"/>
      <c r="M260">
        <v>1</v>
      </c>
      <c r="N260"/>
      <c r="O260" s="89" t="s">
        <v>42</v>
      </c>
      <c r="P260" s="97" t="s">
        <v>43</v>
      </c>
      <c r="R260" s="116" t="s">
        <v>44</v>
      </c>
      <c r="S260" s="101">
        <v>46179</v>
      </c>
      <c r="T260" t="s">
        <v>219</v>
      </c>
      <c r="U260" s="72" t="s">
        <v>43</v>
      </c>
    </row>
    <row r="261" spans="1:21" s="72" customFormat="1" ht="30">
      <c r="A261" s="54">
        <f t="shared" si="8"/>
        <v>260</v>
      </c>
      <c r="B261" s="152" t="s">
        <v>5</v>
      </c>
      <c r="C261" s="90" t="s">
        <v>329</v>
      </c>
      <c r="D261"/>
      <c r="E261"/>
      <c r="F261"/>
      <c r="G261"/>
      <c r="H261">
        <v>1</v>
      </c>
      <c r="I261">
        <v>3</v>
      </c>
      <c r="J261" s="124">
        <f t="shared" si="9"/>
        <v>3</v>
      </c>
      <c r="K261" s="97"/>
      <c r="L261"/>
      <c r="M261">
        <v>1</v>
      </c>
      <c r="N261"/>
      <c r="O261" s="118" t="s">
        <v>69</v>
      </c>
      <c r="P261" s="97" t="s">
        <v>43</v>
      </c>
      <c r="Q261" s="72" t="s">
        <v>102</v>
      </c>
      <c r="R261" s="116" t="s">
        <v>44</v>
      </c>
      <c r="S261" s="101">
        <v>46179</v>
      </c>
      <c r="T261" t="s">
        <v>219</v>
      </c>
      <c r="U261" s="72" t="s">
        <v>43</v>
      </c>
    </row>
    <row r="262" spans="1:21" s="72" customFormat="1">
      <c r="A262" s="54">
        <f t="shared" si="8"/>
        <v>261</v>
      </c>
      <c r="B262" s="152" t="s">
        <v>6</v>
      </c>
      <c r="C262" s="89" t="s">
        <v>330</v>
      </c>
      <c r="D262"/>
      <c r="E262">
        <v>1</v>
      </c>
      <c r="F262">
        <v>3</v>
      </c>
      <c r="G262">
        <v>3</v>
      </c>
      <c r="H262">
        <v>3</v>
      </c>
      <c r="I262">
        <v>3</v>
      </c>
      <c r="J262" s="124">
        <f t="shared" si="9"/>
        <v>9</v>
      </c>
      <c r="K262" s="86"/>
      <c r="L262"/>
      <c r="M262"/>
      <c r="N262">
        <v>1</v>
      </c>
      <c r="O262" s="45" t="s">
        <v>57</v>
      </c>
      <c r="P262" s="86" t="s">
        <v>43</v>
      </c>
      <c r="R262" t="s">
        <v>97</v>
      </c>
      <c r="S262" s="101">
        <v>46179</v>
      </c>
      <c r="T262" t="s">
        <v>219</v>
      </c>
      <c r="U262" s="72" t="s">
        <v>64</v>
      </c>
    </row>
    <row r="263" spans="1:21">
      <c r="A263" s="54">
        <f t="shared" si="8"/>
        <v>262</v>
      </c>
      <c r="B263" s="152" t="s">
        <v>9</v>
      </c>
      <c r="C263" s="89" t="s">
        <v>331</v>
      </c>
      <c r="E263">
        <v>1</v>
      </c>
      <c r="H263">
        <v>1</v>
      </c>
      <c r="I263">
        <v>4</v>
      </c>
      <c r="J263" s="55">
        <f t="shared" si="9"/>
        <v>4</v>
      </c>
      <c r="K263" s="86"/>
      <c r="M263">
        <v>1</v>
      </c>
      <c r="O263" s="45" t="s">
        <v>57</v>
      </c>
      <c r="P263" s="86" t="s">
        <v>43</v>
      </c>
      <c r="R263" s="116" t="s">
        <v>44</v>
      </c>
      <c r="S263" s="101">
        <v>46179</v>
      </c>
      <c r="T263" t="s">
        <v>219</v>
      </c>
      <c r="U263" s="72" t="s">
        <v>43</v>
      </c>
    </row>
    <row r="264" spans="1:21">
      <c r="A264" s="54">
        <f t="shared" si="8"/>
        <v>263</v>
      </c>
      <c r="B264" s="152" t="s">
        <v>5</v>
      </c>
      <c r="C264" s="89" t="s">
        <v>332</v>
      </c>
      <c r="E264">
        <v>1</v>
      </c>
      <c r="F264">
        <v>5</v>
      </c>
      <c r="G264">
        <v>1</v>
      </c>
      <c r="H264">
        <v>1</v>
      </c>
      <c r="I264">
        <v>1</v>
      </c>
      <c r="J264" s="55">
        <f t="shared" si="9"/>
        <v>1</v>
      </c>
      <c r="K264" s="86"/>
      <c r="N264">
        <v>1</v>
      </c>
      <c r="O264" s="45" t="s">
        <v>72</v>
      </c>
      <c r="P264" s="86" t="s">
        <v>43</v>
      </c>
      <c r="R264" s="116" t="s">
        <v>77</v>
      </c>
      <c r="S264" s="101">
        <v>46179</v>
      </c>
      <c r="T264" t="s">
        <v>219</v>
      </c>
      <c r="U264" s="72" t="s">
        <v>64</v>
      </c>
    </row>
    <row r="265" spans="1:21">
      <c r="A265" s="54">
        <f t="shared" si="8"/>
        <v>264</v>
      </c>
      <c r="B265" s="152" t="s">
        <v>9</v>
      </c>
      <c r="C265" s="89" t="s">
        <v>333</v>
      </c>
      <c r="E265">
        <v>1</v>
      </c>
      <c r="H265">
        <v>1</v>
      </c>
      <c r="I265">
        <v>3</v>
      </c>
      <c r="J265" s="55">
        <f t="shared" si="9"/>
        <v>3</v>
      </c>
      <c r="K265" s="86"/>
      <c r="M265">
        <v>1</v>
      </c>
      <c r="O265" s="45" t="s">
        <v>57</v>
      </c>
      <c r="P265" s="86" t="s">
        <v>43</v>
      </c>
      <c r="R265" s="116" t="s">
        <v>77</v>
      </c>
      <c r="S265" s="101">
        <v>46179</v>
      </c>
      <c r="T265" t="s">
        <v>219</v>
      </c>
      <c r="U265" t="s">
        <v>43</v>
      </c>
    </row>
    <row r="266" spans="1:21">
      <c r="A266" s="54">
        <f t="shared" si="8"/>
        <v>265</v>
      </c>
      <c r="B266" s="152" t="s">
        <v>8</v>
      </c>
      <c r="C266" s="89" t="s">
        <v>334</v>
      </c>
      <c r="E266">
        <v>1</v>
      </c>
      <c r="H266">
        <v>1</v>
      </c>
      <c r="I266">
        <v>3</v>
      </c>
      <c r="J266" s="55">
        <f t="shared" si="9"/>
        <v>3</v>
      </c>
      <c r="K266" s="86"/>
      <c r="M266">
        <v>1</v>
      </c>
      <c r="O266" s="117" t="s">
        <v>108</v>
      </c>
      <c r="P266" s="86" t="s">
        <v>43</v>
      </c>
      <c r="R266" s="116" t="s">
        <v>77</v>
      </c>
      <c r="S266" s="101">
        <v>46179</v>
      </c>
      <c r="T266" t="s">
        <v>219</v>
      </c>
      <c r="U266" t="s">
        <v>43</v>
      </c>
    </row>
    <row r="267" spans="1:21">
      <c r="A267" s="54">
        <f t="shared" si="8"/>
        <v>266</v>
      </c>
      <c r="B267" s="152" t="s">
        <v>5</v>
      </c>
      <c r="C267" s="89" t="s">
        <v>335</v>
      </c>
      <c r="E267">
        <v>1</v>
      </c>
      <c r="H267">
        <v>1</v>
      </c>
      <c r="I267">
        <v>3</v>
      </c>
      <c r="J267" s="55">
        <f t="shared" si="9"/>
        <v>3</v>
      </c>
      <c r="K267" s="86"/>
      <c r="M267">
        <v>1</v>
      </c>
      <c r="N267" s="81"/>
      <c r="O267" s="45" t="s">
        <v>85</v>
      </c>
      <c r="P267" s="86" t="s">
        <v>43</v>
      </c>
      <c r="R267" s="116" t="s">
        <v>77</v>
      </c>
      <c r="S267" s="101">
        <v>46179</v>
      </c>
      <c r="T267" t="s">
        <v>219</v>
      </c>
      <c r="U267" t="s">
        <v>64</v>
      </c>
    </row>
    <row r="268" spans="1:21">
      <c r="A268" s="54">
        <f t="shared" si="8"/>
        <v>267</v>
      </c>
      <c r="B268" s="152" t="s">
        <v>4</v>
      </c>
      <c r="C268" s="89" t="s">
        <v>336</v>
      </c>
      <c r="E268">
        <v>1</v>
      </c>
      <c r="H268">
        <v>1</v>
      </c>
      <c r="I268">
        <v>2</v>
      </c>
      <c r="J268" s="55">
        <f t="shared" si="9"/>
        <v>2</v>
      </c>
      <c r="K268" s="86"/>
      <c r="M268">
        <v>1</v>
      </c>
      <c r="O268" s="117" t="s">
        <v>108</v>
      </c>
      <c r="P268" s="86" t="s">
        <v>43</v>
      </c>
      <c r="R268" s="116" t="s">
        <v>77</v>
      </c>
      <c r="S268" s="47">
        <v>46181</v>
      </c>
      <c r="T268" t="s">
        <v>219</v>
      </c>
      <c r="U268" t="s">
        <v>43</v>
      </c>
    </row>
    <row r="269" spans="1:21">
      <c r="A269" s="54">
        <f t="shared" si="8"/>
        <v>268</v>
      </c>
      <c r="B269" s="152" t="s">
        <v>2</v>
      </c>
      <c r="C269" s="89" t="s">
        <v>337</v>
      </c>
      <c r="E269">
        <v>1</v>
      </c>
      <c r="H269">
        <v>1</v>
      </c>
      <c r="I269">
        <v>3</v>
      </c>
      <c r="J269" s="55">
        <f t="shared" si="9"/>
        <v>3</v>
      </c>
      <c r="K269" s="86"/>
      <c r="M269">
        <v>1</v>
      </c>
      <c r="N269" s="81"/>
      <c r="O269" s="98" t="s">
        <v>124</v>
      </c>
      <c r="P269" s="86" t="s">
        <v>43</v>
      </c>
      <c r="R269" s="116" t="s">
        <v>77</v>
      </c>
      <c r="S269" s="47">
        <v>46181</v>
      </c>
      <c r="T269" t="s">
        <v>219</v>
      </c>
      <c r="U269" t="s">
        <v>64</v>
      </c>
    </row>
    <row r="270" spans="1:21">
      <c r="A270" s="54">
        <f t="shared" ref="A270:A333" si="10">A269+1</f>
        <v>269</v>
      </c>
      <c r="B270" s="152" t="s">
        <v>5</v>
      </c>
      <c r="C270" s="89" t="s">
        <v>338</v>
      </c>
      <c r="D270" s="86"/>
      <c r="E270" s="86">
        <v>1</v>
      </c>
      <c r="F270" s="86"/>
      <c r="G270" s="86"/>
      <c r="H270" s="86">
        <v>1</v>
      </c>
      <c r="I270" s="86">
        <v>3</v>
      </c>
      <c r="J270" s="55">
        <f t="shared" ref="J270:J291" si="11">I270*H270</f>
        <v>3</v>
      </c>
      <c r="K270" s="86"/>
      <c r="L270" s="86"/>
      <c r="M270" s="86">
        <v>1</v>
      </c>
      <c r="N270" s="86"/>
      <c r="O270" s="89" t="s">
        <v>42</v>
      </c>
      <c r="P270" s="86" t="s">
        <v>43</v>
      </c>
      <c r="R270" s="116" t="s">
        <v>44</v>
      </c>
      <c r="S270" s="47">
        <v>46181</v>
      </c>
      <c r="T270" t="s">
        <v>219</v>
      </c>
      <c r="U270" t="s">
        <v>43</v>
      </c>
    </row>
    <row r="271" spans="1:21" ht="45">
      <c r="A271" s="54">
        <f t="shared" si="10"/>
        <v>270</v>
      </c>
      <c r="B271" s="152" t="s">
        <v>6</v>
      </c>
      <c r="C271" s="90" t="s">
        <v>339</v>
      </c>
      <c r="D271" s="86"/>
      <c r="E271" s="86">
        <v>1</v>
      </c>
      <c r="F271" s="86">
        <v>4</v>
      </c>
      <c r="G271" s="86">
        <v>2</v>
      </c>
      <c r="H271" s="86">
        <v>2</v>
      </c>
      <c r="I271" s="86">
        <v>2</v>
      </c>
      <c r="J271" s="55">
        <f t="shared" si="11"/>
        <v>4</v>
      </c>
      <c r="K271" s="86"/>
      <c r="L271" s="86"/>
      <c r="M271" s="86"/>
      <c r="N271" s="86">
        <v>1</v>
      </c>
      <c r="O271" s="45" t="s">
        <v>57</v>
      </c>
      <c r="P271" s="86" t="s">
        <v>43</v>
      </c>
      <c r="R271" s="116" t="s">
        <v>44</v>
      </c>
      <c r="S271" s="47">
        <v>46181</v>
      </c>
      <c r="T271" t="s">
        <v>219</v>
      </c>
      <c r="U271" t="s">
        <v>43</v>
      </c>
    </row>
    <row r="272" spans="1:21">
      <c r="A272" s="54">
        <f t="shared" si="10"/>
        <v>271</v>
      </c>
      <c r="B272" s="152" t="s">
        <v>6</v>
      </c>
      <c r="C272" s="89" t="s">
        <v>340</v>
      </c>
      <c r="D272" s="86"/>
      <c r="E272" s="86">
        <v>1</v>
      </c>
      <c r="F272" s="86">
        <v>7</v>
      </c>
      <c r="G272" s="86">
        <v>4</v>
      </c>
      <c r="H272" s="86">
        <v>4</v>
      </c>
      <c r="I272" s="86">
        <v>4</v>
      </c>
      <c r="J272" s="55">
        <f t="shared" si="11"/>
        <v>16</v>
      </c>
      <c r="K272" s="86">
        <v>1</v>
      </c>
      <c r="L272" s="86"/>
      <c r="M272" s="86"/>
      <c r="N272" s="86">
        <v>1</v>
      </c>
      <c r="O272" s="45" t="s">
        <v>57</v>
      </c>
      <c r="P272" s="86" t="s">
        <v>43</v>
      </c>
      <c r="R272" t="s">
        <v>97</v>
      </c>
      <c r="S272" s="47">
        <v>46181</v>
      </c>
      <c r="T272" t="s">
        <v>219</v>
      </c>
      <c r="U272" t="s">
        <v>43</v>
      </c>
    </row>
    <row r="273" spans="1:21">
      <c r="A273" s="54">
        <f t="shared" si="10"/>
        <v>272</v>
      </c>
      <c r="B273" s="152" t="s">
        <v>2</v>
      </c>
      <c r="C273" s="89" t="s">
        <v>341</v>
      </c>
      <c r="D273" s="86"/>
      <c r="E273" s="86">
        <v>1</v>
      </c>
      <c r="F273" s="86"/>
      <c r="G273" s="86"/>
      <c r="H273" s="86">
        <v>1</v>
      </c>
      <c r="I273" s="86">
        <v>2</v>
      </c>
      <c r="J273" s="55">
        <f t="shared" si="11"/>
        <v>2</v>
      </c>
      <c r="K273" s="86"/>
      <c r="L273" s="86"/>
      <c r="M273" s="86">
        <v>1</v>
      </c>
      <c r="N273" s="86"/>
      <c r="O273" s="89" t="s">
        <v>42</v>
      </c>
      <c r="P273" s="86" t="s">
        <v>43</v>
      </c>
      <c r="R273" s="116" t="s">
        <v>44</v>
      </c>
      <c r="S273" s="47">
        <v>46181</v>
      </c>
      <c r="T273" t="s">
        <v>219</v>
      </c>
      <c r="U273" t="s">
        <v>43</v>
      </c>
    </row>
    <row r="274" spans="1:21">
      <c r="A274" s="54">
        <f t="shared" si="10"/>
        <v>273</v>
      </c>
      <c r="B274" s="152" t="s">
        <v>5</v>
      </c>
      <c r="C274" s="89" t="s">
        <v>342</v>
      </c>
      <c r="D274" s="86"/>
      <c r="E274" s="86">
        <v>1</v>
      </c>
      <c r="F274" s="86"/>
      <c r="G274" s="86"/>
      <c r="H274" s="86">
        <v>1</v>
      </c>
      <c r="I274" s="86">
        <v>3</v>
      </c>
      <c r="J274" s="55">
        <f t="shared" si="11"/>
        <v>3</v>
      </c>
      <c r="K274" s="86"/>
      <c r="L274" s="86"/>
      <c r="M274" s="86">
        <v>1</v>
      </c>
      <c r="N274" s="86"/>
      <c r="O274" s="45" t="s">
        <v>72</v>
      </c>
      <c r="P274" s="86" t="s">
        <v>43</v>
      </c>
      <c r="R274" s="116" t="s">
        <v>77</v>
      </c>
      <c r="S274" s="47">
        <v>46181</v>
      </c>
      <c r="T274" t="s">
        <v>219</v>
      </c>
      <c r="U274" t="s">
        <v>43</v>
      </c>
    </row>
    <row r="275" spans="1:21">
      <c r="A275" s="54">
        <f t="shared" si="10"/>
        <v>274</v>
      </c>
      <c r="B275" s="152" t="s">
        <v>2</v>
      </c>
      <c r="C275" s="89" t="s">
        <v>343</v>
      </c>
      <c r="D275" s="86"/>
      <c r="E275" s="86">
        <v>1</v>
      </c>
      <c r="F275" s="86">
        <v>0</v>
      </c>
      <c r="G275" s="86">
        <v>5</v>
      </c>
      <c r="H275" s="86">
        <v>5</v>
      </c>
      <c r="I275" s="86">
        <v>5</v>
      </c>
      <c r="J275" s="55">
        <f t="shared" si="11"/>
        <v>25</v>
      </c>
      <c r="K275" s="86">
        <v>1</v>
      </c>
      <c r="L275" s="86"/>
      <c r="M275" s="86"/>
      <c r="N275" s="86">
        <v>1</v>
      </c>
      <c r="O275" s="89" t="s">
        <v>42</v>
      </c>
      <c r="P275" s="86" t="s">
        <v>43</v>
      </c>
      <c r="R275" s="116" t="s">
        <v>44</v>
      </c>
      <c r="S275" s="47">
        <v>46181</v>
      </c>
      <c r="T275" t="s">
        <v>219</v>
      </c>
      <c r="U275" t="s">
        <v>43</v>
      </c>
    </row>
    <row r="276" spans="1:21">
      <c r="A276" s="54">
        <f t="shared" si="10"/>
        <v>275</v>
      </c>
      <c r="B276" s="152" t="s">
        <v>7</v>
      </c>
      <c r="C276" s="89" t="s">
        <v>344</v>
      </c>
      <c r="D276" s="86"/>
      <c r="E276" s="86">
        <v>1</v>
      </c>
      <c r="F276" s="86"/>
      <c r="G276" s="86"/>
      <c r="H276" s="86">
        <v>1</v>
      </c>
      <c r="I276" s="86">
        <v>2</v>
      </c>
      <c r="J276" s="55">
        <f t="shared" si="11"/>
        <v>2</v>
      </c>
      <c r="K276" s="86"/>
      <c r="L276" s="86"/>
      <c r="M276" s="86">
        <v>1</v>
      </c>
      <c r="N276" s="86"/>
      <c r="O276" s="89" t="s">
        <v>85</v>
      </c>
      <c r="P276" s="86" t="s">
        <v>43</v>
      </c>
      <c r="R276" s="116" t="s">
        <v>77</v>
      </c>
      <c r="S276" s="47">
        <v>46181</v>
      </c>
      <c r="T276" t="s">
        <v>219</v>
      </c>
      <c r="U276" t="s">
        <v>43</v>
      </c>
    </row>
    <row r="277" spans="1:21">
      <c r="A277" s="54">
        <f t="shared" si="10"/>
        <v>276</v>
      </c>
      <c r="B277" s="152" t="s">
        <v>4</v>
      </c>
      <c r="C277" s="89" t="s">
        <v>345</v>
      </c>
      <c r="D277" s="86"/>
      <c r="E277" s="86">
        <v>1</v>
      </c>
      <c r="F277" s="86"/>
      <c r="G277" s="86"/>
      <c r="H277" s="86">
        <v>1</v>
      </c>
      <c r="I277" s="86">
        <v>3</v>
      </c>
      <c r="J277" s="55">
        <f t="shared" si="11"/>
        <v>3</v>
      </c>
      <c r="K277" s="86"/>
      <c r="L277" s="86"/>
      <c r="M277" s="86">
        <v>1</v>
      </c>
      <c r="N277" s="86"/>
      <c r="O277" s="117" t="s">
        <v>108</v>
      </c>
      <c r="P277" s="86" t="s">
        <v>43</v>
      </c>
      <c r="R277" s="116" t="s">
        <v>99</v>
      </c>
      <c r="S277" s="47">
        <v>46181</v>
      </c>
      <c r="T277" t="s">
        <v>219</v>
      </c>
      <c r="U277" t="s">
        <v>43</v>
      </c>
    </row>
    <row r="278" spans="1:21">
      <c r="A278" s="54">
        <f t="shared" si="10"/>
        <v>277</v>
      </c>
      <c r="B278" s="152" t="s">
        <v>3</v>
      </c>
      <c r="C278" s="89" t="s">
        <v>346</v>
      </c>
      <c r="D278" s="86"/>
      <c r="E278" s="86">
        <v>1</v>
      </c>
      <c r="F278" s="86">
        <v>1</v>
      </c>
      <c r="G278" s="86">
        <v>1</v>
      </c>
      <c r="H278" s="86">
        <v>1</v>
      </c>
      <c r="I278" s="86">
        <v>3</v>
      </c>
      <c r="J278" s="55">
        <f t="shared" si="11"/>
        <v>3</v>
      </c>
      <c r="K278" s="86"/>
      <c r="L278" s="86">
        <v>1</v>
      </c>
      <c r="M278" s="86"/>
      <c r="N278" s="86">
        <v>1</v>
      </c>
      <c r="O278" s="45" t="s">
        <v>57</v>
      </c>
      <c r="P278" s="86" t="s">
        <v>43</v>
      </c>
      <c r="R278" s="116" t="s">
        <v>44</v>
      </c>
      <c r="S278" s="47">
        <v>46181</v>
      </c>
      <c r="T278" t="s">
        <v>219</v>
      </c>
      <c r="U278" t="s">
        <v>43</v>
      </c>
    </row>
    <row r="279" spans="1:21">
      <c r="A279" s="54">
        <f t="shared" si="10"/>
        <v>278</v>
      </c>
      <c r="B279" s="152" t="s">
        <v>2</v>
      </c>
      <c r="C279" s="89" t="s">
        <v>347</v>
      </c>
      <c r="D279" s="86"/>
      <c r="E279" s="86">
        <v>1</v>
      </c>
      <c r="F279" s="86"/>
      <c r="G279" s="86"/>
      <c r="H279" s="86">
        <v>1</v>
      </c>
      <c r="I279" s="86">
        <v>3</v>
      </c>
      <c r="J279" s="55">
        <f t="shared" si="11"/>
        <v>3</v>
      </c>
      <c r="K279" s="86"/>
      <c r="L279" s="86"/>
      <c r="M279" s="86">
        <v>1</v>
      </c>
      <c r="N279" s="86"/>
      <c r="O279" s="45" t="s">
        <v>72</v>
      </c>
      <c r="P279" s="86" t="s">
        <v>43</v>
      </c>
      <c r="R279" t="s">
        <v>97</v>
      </c>
      <c r="S279" s="47">
        <v>46181</v>
      </c>
      <c r="T279" t="s">
        <v>219</v>
      </c>
      <c r="U279" t="s">
        <v>43</v>
      </c>
    </row>
    <row r="280" spans="1:21">
      <c r="A280" s="54">
        <f t="shared" si="10"/>
        <v>279</v>
      </c>
      <c r="B280" s="152" t="s">
        <v>6</v>
      </c>
      <c r="C280" s="89" t="s">
        <v>348</v>
      </c>
      <c r="D280" s="86"/>
      <c r="E280" s="86">
        <v>1</v>
      </c>
      <c r="F280" s="86"/>
      <c r="G280" s="86"/>
      <c r="H280" s="86">
        <v>1</v>
      </c>
      <c r="I280" s="86">
        <v>3</v>
      </c>
      <c r="J280" s="55">
        <f t="shared" si="11"/>
        <v>3</v>
      </c>
      <c r="K280" s="86"/>
      <c r="L280" s="86"/>
      <c r="M280" s="86">
        <v>1</v>
      </c>
      <c r="N280" s="86"/>
      <c r="O280" s="89" t="s">
        <v>42</v>
      </c>
      <c r="P280" s="86" t="s">
        <v>43</v>
      </c>
      <c r="R280" s="116" t="s">
        <v>44</v>
      </c>
      <c r="S280" s="47">
        <v>46181</v>
      </c>
      <c r="T280" t="s">
        <v>219</v>
      </c>
      <c r="U280" t="s">
        <v>43</v>
      </c>
    </row>
    <row r="281" spans="1:21">
      <c r="A281" s="54">
        <f t="shared" si="10"/>
        <v>280</v>
      </c>
      <c r="B281" s="152" t="s">
        <v>3</v>
      </c>
      <c r="C281" s="89" t="s">
        <v>349</v>
      </c>
      <c r="D281" s="86"/>
      <c r="E281" s="86">
        <v>1</v>
      </c>
      <c r="F281" s="86">
        <v>3</v>
      </c>
      <c r="G281" s="86">
        <v>1</v>
      </c>
      <c r="H281" s="86">
        <v>1</v>
      </c>
      <c r="I281" s="86">
        <v>3</v>
      </c>
      <c r="J281" s="55">
        <f t="shared" si="11"/>
        <v>3</v>
      </c>
      <c r="K281" s="86"/>
      <c r="L281" s="86">
        <v>1</v>
      </c>
      <c r="M281" s="86"/>
      <c r="N281" s="86">
        <v>1</v>
      </c>
      <c r="O281" s="45" t="s">
        <v>92</v>
      </c>
      <c r="P281" s="86" t="s">
        <v>43</v>
      </c>
      <c r="R281" s="116" t="s">
        <v>77</v>
      </c>
      <c r="S281" s="47">
        <v>46181</v>
      </c>
      <c r="T281" t="s">
        <v>219</v>
      </c>
      <c r="U281" t="s">
        <v>43</v>
      </c>
    </row>
    <row r="282" spans="1:21">
      <c r="A282" s="54">
        <f t="shared" si="10"/>
        <v>281</v>
      </c>
      <c r="B282" s="152" t="s">
        <v>14</v>
      </c>
      <c r="C282" s="89" t="s">
        <v>350</v>
      </c>
      <c r="D282" s="86"/>
      <c r="E282" s="86">
        <v>1</v>
      </c>
      <c r="F282" s="86"/>
      <c r="G282" s="86"/>
      <c r="H282" s="86">
        <v>1</v>
      </c>
      <c r="I282" s="86">
        <v>3</v>
      </c>
      <c r="J282" s="55">
        <f t="shared" si="11"/>
        <v>3</v>
      </c>
      <c r="K282" s="86"/>
      <c r="L282" s="86"/>
      <c r="M282" s="86">
        <v>1</v>
      </c>
      <c r="N282" s="86"/>
      <c r="O282" s="89" t="s">
        <v>42</v>
      </c>
      <c r="P282" s="86" t="s">
        <v>43</v>
      </c>
      <c r="R282" s="116" t="s">
        <v>44</v>
      </c>
      <c r="S282" s="47">
        <v>46181</v>
      </c>
      <c r="T282" t="s">
        <v>219</v>
      </c>
      <c r="U282" t="s">
        <v>43</v>
      </c>
    </row>
    <row r="283" spans="1:21">
      <c r="A283" s="54">
        <f t="shared" si="10"/>
        <v>282</v>
      </c>
      <c r="B283" s="152" t="s">
        <v>4</v>
      </c>
      <c r="C283" s="89" t="s">
        <v>351</v>
      </c>
      <c r="D283" s="86"/>
      <c r="E283" s="86">
        <v>1</v>
      </c>
      <c r="F283" s="86"/>
      <c r="G283" s="86"/>
      <c r="H283" s="86">
        <v>1</v>
      </c>
      <c r="I283" s="86">
        <v>3</v>
      </c>
      <c r="J283" s="55">
        <f t="shared" si="11"/>
        <v>3</v>
      </c>
      <c r="K283" s="86"/>
      <c r="L283" s="86"/>
      <c r="M283" s="86">
        <v>1</v>
      </c>
      <c r="N283" s="86"/>
      <c r="O283" s="117" t="s">
        <v>108</v>
      </c>
      <c r="P283" s="86" t="s">
        <v>43</v>
      </c>
      <c r="R283" s="116" t="s">
        <v>77</v>
      </c>
      <c r="S283" s="47">
        <v>46181</v>
      </c>
      <c r="T283" t="s">
        <v>219</v>
      </c>
      <c r="U283" t="s">
        <v>43</v>
      </c>
    </row>
    <row r="284" spans="1:21" ht="45">
      <c r="A284" s="54">
        <f t="shared" si="10"/>
        <v>283</v>
      </c>
      <c r="B284" s="152" t="s">
        <v>3</v>
      </c>
      <c r="C284" s="90" t="s">
        <v>352</v>
      </c>
      <c r="D284" s="86"/>
      <c r="E284" s="86">
        <v>1</v>
      </c>
      <c r="F284" s="86">
        <v>6</v>
      </c>
      <c r="G284" s="86">
        <v>4</v>
      </c>
      <c r="H284" s="86">
        <v>4</v>
      </c>
      <c r="I284" s="86">
        <v>2</v>
      </c>
      <c r="J284" s="55">
        <f t="shared" si="11"/>
        <v>8</v>
      </c>
      <c r="K284" s="86"/>
      <c r="L284" s="86">
        <v>1</v>
      </c>
      <c r="M284" s="86"/>
      <c r="N284" s="86">
        <v>1</v>
      </c>
      <c r="O284" s="89" t="s">
        <v>69</v>
      </c>
      <c r="P284" s="86" t="s">
        <v>43</v>
      </c>
      <c r="R284" s="116" t="s">
        <v>44</v>
      </c>
      <c r="S284" s="47">
        <v>46181</v>
      </c>
      <c r="T284" t="s">
        <v>219</v>
      </c>
      <c r="U284" t="s">
        <v>43</v>
      </c>
    </row>
    <row r="285" spans="1:21">
      <c r="A285" s="54">
        <f t="shared" si="10"/>
        <v>284</v>
      </c>
      <c r="B285" s="152" t="s">
        <v>5</v>
      </c>
      <c r="C285" s="89" t="s">
        <v>353</v>
      </c>
      <c r="D285" s="86"/>
      <c r="E285" s="86">
        <v>1</v>
      </c>
      <c r="F285" s="86"/>
      <c r="G285" s="86"/>
      <c r="H285" s="86">
        <v>1</v>
      </c>
      <c r="I285" s="86">
        <v>3</v>
      </c>
      <c r="J285" s="55">
        <f t="shared" si="11"/>
        <v>3</v>
      </c>
      <c r="K285" s="86"/>
      <c r="L285" s="86"/>
      <c r="M285" s="86">
        <v>1</v>
      </c>
      <c r="N285" s="86"/>
      <c r="O285" s="45" t="s">
        <v>72</v>
      </c>
      <c r="P285" s="86" t="s">
        <v>64</v>
      </c>
      <c r="R285" t="s">
        <v>97</v>
      </c>
      <c r="S285" s="47">
        <v>46181</v>
      </c>
      <c r="T285" t="s">
        <v>219</v>
      </c>
      <c r="U285" t="s">
        <v>43</v>
      </c>
    </row>
    <row r="286" spans="1:21">
      <c r="A286" s="54">
        <f t="shared" si="10"/>
        <v>285</v>
      </c>
      <c r="B286" s="152" t="s">
        <v>4</v>
      </c>
      <c r="C286" s="89" t="s">
        <v>354</v>
      </c>
      <c r="D286" s="86"/>
      <c r="E286" s="86">
        <v>1</v>
      </c>
      <c r="F286" s="86"/>
      <c r="G286" s="86"/>
      <c r="H286" s="86">
        <v>1</v>
      </c>
      <c r="I286" s="86">
        <v>3</v>
      </c>
      <c r="J286" s="55">
        <f t="shared" si="11"/>
        <v>3</v>
      </c>
      <c r="K286" s="86"/>
      <c r="L286" s="86"/>
      <c r="M286" s="86">
        <v>1</v>
      </c>
      <c r="N286" s="86"/>
      <c r="O286" s="89" t="s">
        <v>42</v>
      </c>
      <c r="P286" s="86" t="s">
        <v>43</v>
      </c>
      <c r="R286" s="116" t="s">
        <v>44</v>
      </c>
      <c r="S286" s="47">
        <v>46181</v>
      </c>
      <c r="T286" t="s">
        <v>219</v>
      </c>
      <c r="U286" t="s">
        <v>64</v>
      </c>
    </row>
    <row r="287" spans="1:21">
      <c r="A287" s="54">
        <f t="shared" si="10"/>
        <v>286</v>
      </c>
      <c r="B287" s="152" t="s">
        <v>2</v>
      </c>
      <c r="C287" s="89" t="s">
        <v>355</v>
      </c>
      <c r="D287" s="86"/>
      <c r="E287" s="86">
        <v>1</v>
      </c>
      <c r="F287" s="86"/>
      <c r="G287" s="86"/>
      <c r="H287" s="86">
        <v>1</v>
      </c>
      <c r="I287" s="86">
        <v>3</v>
      </c>
      <c r="J287" s="55">
        <f t="shared" si="11"/>
        <v>3</v>
      </c>
      <c r="K287" s="86"/>
      <c r="L287" s="86"/>
      <c r="M287" s="86">
        <v>1</v>
      </c>
      <c r="N287" s="86"/>
      <c r="O287" s="89" t="s">
        <v>124</v>
      </c>
      <c r="P287" s="86" t="s">
        <v>64</v>
      </c>
      <c r="R287" s="116" t="s">
        <v>77</v>
      </c>
      <c r="S287" s="47">
        <v>46181</v>
      </c>
      <c r="T287" t="s">
        <v>219</v>
      </c>
      <c r="U287" t="s">
        <v>64</v>
      </c>
    </row>
    <row r="288" spans="1:21">
      <c r="A288" s="54">
        <f t="shared" si="10"/>
        <v>287</v>
      </c>
      <c r="B288" s="152" t="s">
        <v>7</v>
      </c>
      <c r="C288" s="90" t="s">
        <v>356</v>
      </c>
      <c r="D288" s="86"/>
      <c r="E288" s="86"/>
      <c r="F288" s="86"/>
      <c r="G288" s="86"/>
      <c r="H288" s="86">
        <v>1</v>
      </c>
      <c r="I288" s="86">
        <v>3</v>
      </c>
      <c r="J288" s="55">
        <f t="shared" si="11"/>
        <v>3</v>
      </c>
      <c r="K288" s="86"/>
      <c r="L288" s="86"/>
      <c r="M288" s="86">
        <v>1</v>
      </c>
      <c r="N288" s="86"/>
      <c r="O288" s="118" t="s">
        <v>69</v>
      </c>
      <c r="P288" s="86" t="s">
        <v>43</v>
      </c>
      <c r="R288" s="116" t="s">
        <v>77</v>
      </c>
      <c r="S288" s="47">
        <v>46181</v>
      </c>
      <c r="T288" t="s">
        <v>219</v>
      </c>
      <c r="U288" t="s">
        <v>64</v>
      </c>
    </row>
    <row r="289" spans="1:24">
      <c r="A289" s="54">
        <f t="shared" si="10"/>
        <v>288</v>
      </c>
      <c r="B289" s="152" t="s">
        <v>5</v>
      </c>
      <c r="C289" s="89" t="s">
        <v>357</v>
      </c>
      <c r="D289" s="86"/>
      <c r="E289" s="86">
        <v>1</v>
      </c>
      <c r="F289" s="86"/>
      <c r="G289" s="86"/>
      <c r="H289" s="86">
        <v>1</v>
      </c>
      <c r="I289" s="86">
        <v>3</v>
      </c>
      <c r="J289" s="55">
        <f t="shared" si="11"/>
        <v>3</v>
      </c>
      <c r="K289" s="86"/>
      <c r="L289" s="86"/>
      <c r="M289" s="86">
        <v>1</v>
      </c>
      <c r="N289" s="86"/>
      <c r="O289" s="45" t="s">
        <v>92</v>
      </c>
      <c r="P289" t="s">
        <v>43</v>
      </c>
      <c r="R289" t="s">
        <v>55</v>
      </c>
      <c r="S289" s="47">
        <v>46181</v>
      </c>
      <c r="T289" t="s">
        <v>219</v>
      </c>
      <c r="U289" t="s">
        <v>43</v>
      </c>
    </row>
    <row r="290" spans="1:24">
      <c r="A290" s="54">
        <f t="shared" si="10"/>
        <v>289</v>
      </c>
      <c r="B290" s="152" t="s">
        <v>5</v>
      </c>
      <c r="C290" s="89" t="s">
        <v>358</v>
      </c>
      <c r="D290" s="86"/>
      <c r="E290" s="86">
        <v>1</v>
      </c>
      <c r="F290" s="86"/>
      <c r="G290" s="86"/>
      <c r="H290" s="86">
        <v>1</v>
      </c>
      <c r="I290" s="86">
        <v>5</v>
      </c>
      <c r="J290" s="55">
        <f t="shared" si="11"/>
        <v>5</v>
      </c>
      <c r="K290" s="86">
        <v>1</v>
      </c>
      <c r="L290" s="86"/>
      <c r="M290" s="86">
        <v>1</v>
      </c>
      <c r="N290" s="86"/>
      <c r="O290" s="45" t="s">
        <v>57</v>
      </c>
      <c r="P290" t="s">
        <v>43</v>
      </c>
      <c r="R290" t="s">
        <v>55</v>
      </c>
      <c r="S290" s="47">
        <v>46181</v>
      </c>
      <c r="T290" t="s">
        <v>219</v>
      </c>
      <c r="U290" t="s">
        <v>43</v>
      </c>
    </row>
    <row r="291" spans="1:24">
      <c r="A291" s="54">
        <f t="shared" si="10"/>
        <v>290</v>
      </c>
      <c r="B291" s="152" t="s">
        <v>3</v>
      </c>
      <c r="C291" t="s">
        <v>359</v>
      </c>
      <c r="E291">
        <v>1</v>
      </c>
      <c r="F291">
        <v>6</v>
      </c>
      <c r="G291">
        <v>1</v>
      </c>
      <c r="H291">
        <v>1</v>
      </c>
      <c r="I291">
        <v>5</v>
      </c>
      <c r="J291" s="55">
        <f t="shared" si="11"/>
        <v>5</v>
      </c>
      <c r="K291">
        <v>1</v>
      </c>
      <c r="N291">
        <v>1</v>
      </c>
      <c r="O291" s="45" t="s">
        <v>57</v>
      </c>
      <c r="P291" s="86" t="s">
        <v>43</v>
      </c>
      <c r="R291" s="116" t="s">
        <v>44</v>
      </c>
      <c r="S291" s="47">
        <v>46181</v>
      </c>
      <c r="T291" t="s">
        <v>219</v>
      </c>
      <c r="U291" t="s">
        <v>64</v>
      </c>
    </row>
    <row r="292" spans="1:24">
      <c r="A292" s="54">
        <f t="shared" si="10"/>
        <v>291</v>
      </c>
      <c r="B292" s="152" t="s">
        <v>5</v>
      </c>
      <c r="C292" t="s">
        <v>360</v>
      </c>
      <c r="E292">
        <v>1</v>
      </c>
      <c r="F292">
        <v>0</v>
      </c>
      <c r="G292">
        <v>0</v>
      </c>
      <c r="H292">
        <v>1</v>
      </c>
      <c r="I292">
        <v>3</v>
      </c>
      <c r="J292" s="8">
        <v>5</v>
      </c>
      <c r="M292">
        <v>1</v>
      </c>
      <c r="O292" s="45" t="s">
        <v>92</v>
      </c>
      <c r="P292" s="86" t="s">
        <v>43</v>
      </c>
      <c r="R292" s="116" t="s">
        <v>44</v>
      </c>
      <c r="S292" s="47">
        <v>46181</v>
      </c>
      <c r="T292" t="s">
        <v>219</v>
      </c>
      <c r="U292" s="8" t="s">
        <v>43</v>
      </c>
    </row>
    <row r="293" spans="1:24">
      <c r="A293" s="54">
        <f t="shared" si="10"/>
        <v>292</v>
      </c>
      <c r="B293" s="152" t="s">
        <v>5</v>
      </c>
      <c r="C293" s="85" t="s">
        <v>361</v>
      </c>
      <c r="D293" s="86"/>
      <c r="E293" s="86">
        <v>1</v>
      </c>
      <c r="F293" s="86"/>
      <c r="G293" s="86"/>
      <c r="H293" s="86">
        <v>1</v>
      </c>
      <c r="I293" s="86">
        <v>3</v>
      </c>
      <c r="J293" s="8">
        <v>3</v>
      </c>
      <c r="K293" s="86"/>
      <c r="L293" s="86"/>
      <c r="M293" s="86">
        <v>1</v>
      </c>
      <c r="N293" s="86"/>
      <c r="O293" s="86" t="s">
        <v>42</v>
      </c>
      <c r="P293" s="86" t="s">
        <v>43</v>
      </c>
      <c r="R293" s="116" t="s">
        <v>44</v>
      </c>
      <c r="S293" s="47">
        <v>46181</v>
      </c>
      <c r="T293" t="s">
        <v>219</v>
      </c>
      <c r="U293" s="8" t="s">
        <v>43</v>
      </c>
    </row>
    <row r="294" spans="1:24">
      <c r="A294" s="54">
        <f t="shared" si="10"/>
        <v>293</v>
      </c>
      <c r="B294" s="152" t="s">
        <v>3</v>
      </c>
      <c r="C294" s="85" t="s">
        <v>362</v>
      </c>
      <c r="D294" s="86"/>
      <c r="E294" s="86">
        <v>1</v>
      </c>
      <c r="F294" s="86">
        <v>15</v>
      </c>
      <c r="G294" s="86">
        <v>1</v>
      </c>
      <c r="H294" s="86">
        <v>1</v>
      </c>
      <c r="I294" s="86">
        <v>3</v>
      </c>
      <c r="J294" s="55">
        <f t="shared" ref="J294:J331" si="12">I294*H294</f>
        <v>3</v>
      </c>
      <c r="K294" s="86"/>
      <c r="L294" s="86">
        <v>1</v>
      </c>
      <c r="M294" s="86"/>
      <c r="N294" s="86">
        <v>1</v>
      </c>
      <c r="O294" s="86" t="s">
        <v>42</v>
      </c>
      <c r="P294" s="86" t="s">
        <v>43</v>
      </c>
      <c r="R294" s="15" t="s">
        <v>55</v>
      </c>
      <c r="S294" s="47">
        <v>46181</v>
      </c>
      <c r="T294" t="s">
        <v>219</v>
      </c>
      <c r="U294" t="s">
        <v>43</v>
      </c>
    </row>
    <row r="295" spans="1:24">
      <c r="A295" s="54">
        <f t="shared" si="10"/>
        <v>294</v>
      </c>
      <c r="B295" s="152" t="s">
        <v>12</v>
      </c>
      <c r="C295" s="85" t="s">
        <v>363</v>
      </c>
      <c r="D295" s="86"/>
      <c r="E295" s="86">
        <v>1</v>
      </c>
      <c r="F295" s="86"/>
      <c r="G295" s="86"/>
      <c r="H295" s="86">
        <v>1</v>
      </c>
      <c r="I295" s="86">
        <v>2</v>
      </c>
      <c r="J295" s="55">
        <f t="shared" si="12"/>
        <v>2</v>
      </c>
      <c r="K295" s="86"/>
      <c r="L295" s="86">
        <v>1</v>
      </c>
      <c r="M295" s="86"/>
      <c r="N295" s="86">
        <v>1</v>
      </c>
      <c r="O295" s="45" t="s">
        <v>57</v>
      </c>
      <c r="P295" s="86" t="s">
        <v>43</v>
      </c>
      <c r="R295" s="15" t="s">
        <v>55</v>
      </c>
      <c r="S295" s="47">
        <v>46181</v>
      </c>
      <c r="T295" t="s">
        <v>219</v>
      </c>
      <c r="U295" t="s">
        <v>43</v>
      </c>
    </row>
    <row r="296" spans="1:24">
      <c r="A296" s="54">
        <f t="shared" si="10"/>
        <v>295</v>
      </c>
      <c r="B296" s="152" t="s">
        <v>3</v>
      </c>
      <c r="C296" s="85" t="s">
        <v>364</v>
      </c>
      <c r="D296" s="86"/>
      <c r="E296" s="86">
        <v>1</v>
      </c>
      <c r="F296" s="86"/>
      <c r="G296" s="86"/>
      <c r="H296" s="86">
        <v>1</v>
      </c>
      <c r="I296" s="86">
        <v>2</v>
      </c>
      <c r="J296" s="55">
        <f t="shared" si="12"/>
        <v>2</v>
      </c>
      <c r="K296" s="86"/>
      <c r="L296" s="86"/>
      <c r="M296" s="86">
        <v>1</v>
      </c>
      <c r="N296" s="86"/>
      <c r="O296" s="45" t="s">
        <v>57</v>
      </c>
      <c r="P296" t="s">
        <v>43</v>
      </c>
      <c r="R296" t="s">
        <v>55</v>
      </c>
      <c r="S296" s="47">
        <v>46181</v>
      </c>
      <c r="T296" t="s">
        <v>219</v>
      </c>
      <c r="U296" t="s">
        <v>43</v>
      </c>
    </row>
    <row r="297" spans="1:24">
      <c r="A297" s="54">
        <f t="shared" si="10"/>
        <v>296</v>
      </c>
      <c r="B297" s="152" t="s">
        <v>3</v>
      </c>
      <c r="C297" s="85" t="s">
        <v>365</v>
      </c>
      <c r="D297" s="86"/>
      <c r="E297" s="86">
        <v>1</v>
      </c>
      <c r="F297" s="86">
        <v>10</v>
      </c>
      <c r="G297" s="86">
        <v>5</v>
      </c>
      <c r="H297" s="86">
        <v>5</v>
      </c>
      <c r="I297" s="86">
        <v>3</v>
      </c>
      <c r="J297" s="55">
        <f t="shared" si="12"/>
        <v>15</v>
      </c>
      <c r="K297" s="86"/>
      <c r="L297" s="86">
        <v>1</v>
      </c>
      <c r="M297" s="86"/>
      <c r="N297" s="86">
        <v>1</v>
      </c>
      <c r="O297" s="45" t="s">
        <v>57</v>
      </c>
      <c r="P297" t="s">
        <v>43</v>
      </c>
      <c r="R297" t="s">
        <v>55</v>
      </c>
      <c r="S297" s="47">
        <v>46181</v>
      </c>
      <c r="T297" t="s">
        <v>219</v>
      </c>
      <c r="U297" t="s">
        <v>64</v>
      </c>
    </row>
    <row r="298" spans="1:24">
      <c r="A298" s="54">
        <f t="shared" si="10"/>
        <v>297</v>
      </c>
      <c r="B298" s="152" t="s">
        <v>3</v>
      </c>
      <c r="C298" t="s">
        <v>359</v>
      </c>
      <c r="F298">
        <v>6</v>
      </c>
      <c r="G298">
        <v>1</v>
      </c>
      <c r="H298">
        <v>1</v>
      </c>
      <c r="I298">
        <v>5</v>
      </c>
      <c r="J298" s="55">
        <f t="shared" si="12"/>
        <v>5</v>
      </c>
      <c r="K298">
        <v>1</v>
      </c>
      <c r="N298">
        <v>1</v>
      </c>
      <c r="O298" s="45" t="s">
        <v>57</v>
      </c>
      <c r="P298" t="s">
        <v>43</v>
      </c>
      <c r="R298" s="99" t="s">
        <v>55</v>
      </c>
      <c r="S298" s="47">
        <v>46182</v>
      </c>
      <c r="T298" t="s">
        <v>219</v>
      </c>
      <c r="U298" t="s">
        <v>43</v>
      </c>
    </row>
    <row r="299" spans="1:24">
      <c r="A299" s="54">
        <f t="shared" si="10"/>
        <v>298</v>
      </c>
      <c r="B299" s="152" t="s">
        <v>5</v>
      </c>
      <c r="C299" t="s">
        <v>360</v>
      </c>
      <c r="F299">
        <v>0</v>
      </c>
      <c r="G299">
        <v>0</v>
      </c>
      <c r="H299">
        <v>1</v>
      </c>
      <c r="I299">
        <v>3</v>
      </c>
      <c r="J299" s="55">
        <f t="shared" si="12"/>
        <v>3</v>
      </c>
      <c r="M299">
        <v>1</v>
      </c>
      <c r="O299" s="45" t="s">
        <v>92</v>
      </c>
      <c r="P299" t="s">
        <v>43</v>
      </c>
      <c r="R299" s="99" t="s">
        <v>55</v>
      </c>
      <c r="S299" s="47">
        <v>46182</v>
      </c>
      <c r="T299" t="s">
        <v>219</v>
      </c>
      <c r="U299" s="8" t="s">
        <v>43</v>
      </c>
    </row>
    <row r="300" spans="1:24">
      <c r="A300" s="54">
        <f t="shared" si="10"/>
        <v>299</v>
      </c>
      <c r="B300" s="152" t="s">
        <v>5</v>
      </c>
      <c r="C300" t="s">
        <v>366</v>
      </c>
      <c r="F300">
        <v>0</v>
      </c>
      <c r="G300">
        <v>0</v>
      </c>
      <c r="H300">
        <v>1</v>
      </c>
      <c r="I300">
        <v>4</v>
      </c>
      <c r="J300" s="55">
        <f t="shared" si="12"/>
        <v>4</v>
      </c>
      <c r="K300">
        <v>1</v>
      </c>
      <c r="M300">
        <v>1</v>
      </c>
      <c r="O300" s="117" t="s">
        <v>108</v>
      </c>
      <c r="P300" t="s">
        <v>43</v>
      </c>
      <c r="R300" s="116" t="s">
        <v>99</v>
      </c>
      <c r="S300" s="47">
        <v>46182</v>
      </c>
      <c r="T300" t="s">
        <v>219</v>
      </c>
      <c r="U300" s="8" t="s">
        <v>43</v>
      </c>
    </row>
    <row r="301" spans="1:24">
      <c r="A301" s="54">
        <f t="shared" si="10"/>
        <v>300</v>
      </c>
      <c r="B301" s="152" t="s">
        <v>8</v>
      </c>
      <c r="C301" t="s">
        <v>367</v>
      </c>
      <c r="F301">
        <v>0</v>
      </c>
      <c r="G301">
        <v>0</v>
      </c>
      <c r="H301">
        <v>1</v>
      </c>
      <c r="I301">
        <v>2</v>
      </c>
      <c r="J301" s="55">
        <f t="shared" si="12"/>
        <v>2</v>
      </c>
      <c r="M301">
        <v>1</v>
      </c>
      <c r="O301" t="s">
        <v>124</v>
      </c>
      <c r="P301" t="s">
        <v>43</v>
      </c>
      <c r="R301" s="116" t="s">
        <v>99</v>
      </c>
      <c r="S301" s="47">
        <v>46182</v>
      </c>
      <c r="T301" t="s">
        <v>219</v>
      </c>
      <c r="U301" s="8" t="s">
        <v>43</v>
      </c>
    </row>
    <row r="302" spans="1:24">
      <c r="A302" s="54">
        <f t="shared" si="10"/>
        <v>301</v>
      </c>
      <c r="B302" s="152" t="s">
        <v>2</v>
      </c>
      <c r="C302" t="s">
        <v>368</v>
      </c>
      <c r="F302">
        <v>0</v>
      </c>
      <c r="G302">
        <v>0</v>
      </c>
      <c r="H302">
        <v>1</v>
      </c>
      <c r="I302">
        <v>2</v>
      </c>
      <c r="J302" s="55">
        <f t="shared" si="12"/>
        <v>2</v>
      </c>
      <c r="M302">
        <v>1</v>
      </c>
      <c r="O302" s="117" t="s">
        <v>108</v>
      </c>
      <c r="P302" t="s">
        <v>43</v>
      </c>
      <c r="R302" s="116" t="s">
        <v>99</v>
      </c>
      <c r="S302" s="47">
        <v>46182</v>
      </c>
      <c r="T302" t="s">
        <v>219</v>
      </c>
      <c r="U302" s="8" t="s">
        <v>43</v>
      </c>
    </row>
    <row r="303" spans="1:24">
      <c r="A303" s="54">
        <f t="shared" si="10"/>
        <v>302</v>
      </c>
      <c r="B303" s="152" t="s">
        <v>3</v>
      </c>
      <c r="C303" t="s">
        <v>369</v>
      </c>
      <c r="F303">
        <v>8</v>
      </c>
      <c r="G303">
        <v>1</v>
      </c>
      <c r="H303">
        <v>1</v>
      </c>
      <c r="I303">
        <v>4</v>
      </c>
      <c r="J303" s="55">
        <f t="shared" si="12"/>
        <v>4</v>
      </c>
      <c r="K303">
        <v>1</v>
      </c>
      <c r="L303">
        <v>1</v>
      </c>
      <c r="N303">
        <v>1</v>
      </c>
      <c r="O303" t="s">
        <v>42</v>
      </c>
      <c r="P303" t="s">
        <v>43</v>
      </c>
      <c r="R303" t="s">
        <v>55</v>
      </c>
      <c r="S303" s="47">
        <v>46182</v>
      </c>
      <c r="T303" t="s">
        <v>219</v>
      </c>
      <c r="U303" s="8" t="s">
        <v>43</v>
      </c>
      <c r="X303">
        <f>37/17</f>
        <v>2.1764705882352939</v>
      </c>
    </row>
    <row r="304" spans="1:24">
      <c r="A304" s="54">
        <f t="shared" si="10"/>
        <v>303</v>
      </c>
      <c r="B304" s="152" t="s">
        <v>5</v>
      </c>
      <c r="C304" t="s">
        <v>370</v>
      </c>
      <c r="F304">
        <v>0</v>
      </c>
      <c r="G304">
        <v>0</v>
      </c>
      <c r="H304">
        <v>1</v>
      </c>
      <c r="I304">
        <v>1</v>
      </c>
      <c r="J304" s="55">
        <f t="shared" si="12"/>
        <v>1</v>
      </c>
      <c r="M304">
        <v>1</v>
      </c>
      <c r="O304" s="45" t="s">
        <v>57</v>
      </c>
      <c r="P304" t="s">
        <v>43</v>
      </c>
      <c r="R304" t="s">
        <v>55</v>
      </c>
      <c r="S304" s="47">
        <v>46182</v>
      </c>
      <c r="T304" t="s">
        <v>219</v>
      </c>
      <c r="U304" s="8" t="s">
        <v>43</v>
      </c>
    </row>
    <row r="305" spans="1:24">
      <c r="A305" s="54">
        <f t="shared" si="10"/>
        <v>304</v>
      </c>
      <c r="B305" s="152" t="s">
        <v>13</v>
      </c>
      <c r="C305" t="s">
        <v>371</v>
      </c>
      <c r="F305">
        <v>0</v>
      </c>
      <c r="G305">
        <v>0</v>
      </c>
      <c r="H305">
        <v>1</v>
      </c>
      <c r="I305">
        <v>3</v>
      </c>
      <c r="J305" s="55">
        <f t="shared" si="12"/>
        <v>3</v>
      </c>
      <c r="M305">
        <v>1</v>
      </c>
      <c r="O305" s="45" t="s">
        <v>57</v>
      </c>
      <c r="P305" t="s">
        <v>43</v>
      </c>
      <c r="R305" t="s">
        <v>55</v>
      </c>
      <c r="S305" s="47">
        <v>46182</v>
      </c>
      <c r="T305" t="s">
        <v>219</v>
      </c>
      <c r="U305" s="8" t="s">
        <v>64</v>
      </c>
    </row>
    <row r="306" spans="1:24">
      <c r="A306" s="54">
        <f t="shared" si="10"/>
        <v>305</v>
      </c>
      <c r="B306" s="152" t="s">
        <v>8</v>
      </c>
      <c r="C306" t="s">
        <v>372</v>
      </c>
      <c r="F306">
        <v>0</v>
      </c>
      <c r="G306">
        <v>0</v>
      </c>
      <c r="H306">
        <v>1</v>
      </c>
      <c r="I306">
        <v>3</v>
      </c>
      <c r="J306" s="55">
        <f t="shared" si="12"/>
        <v>3</v>
      </c>
      <c r="M306">
        <v>1</v>
      </c>
      <c r="O306" s="45" t="s">
        <v>57</v>
      </c>
      <c r="P306" t="s">
        <v>43</v>
      </c>
      <c r="R306" t="s">
        <v>55</v>
      </c>
      <c r="S306" s="47">
        <v>46182</v>
      </c>
      <c r="T306" t="s">
        <v>219</v>
      </c>
      <c r="U306" s="8" t="s">
        <v>43</v>
      </c>
    </row>
    <row r="307" spans="1:24">
      <c r="A307" s="54">
        <f t="shared" si="10"/>
        <v>306</v>
      </c>
      <c r="B307" s="152" t="s">
        <v>7</v>
      </c>
      <c r="C307" s="35" t="s">
        <v>373</v>
      </c>
      <c r="F307">
        <v>0</v>
      </c>
      <c r="G307">
        <v>0</v>
      </c>
      <c r="H307">
        <v>1</v>
      </c>
      <c r="I307">
        <v>2</v>
      </c>
      <c r="J307" s="55">
        <f t="shared" si="12"/>
        <v>2</v>
      </c>
      <c r="M307">
        <v>1</v>
      </c>
      <c r="O307" s="118" t="s">
        <v>69</v>
      </c>
      <c r="P307" t="s">
        <v>43</v>
      </c>
      <c r="R307" s="116" t="s">
        <v>44</v>
      </c>
      <c r="S307" s="47">
        <v>46182</v>
      </c>
      <c r="T307" t="s">
        <v>219</v>
      </c>
      <c r="U307" s="8" t="s">
        <v>64</v>
      </c>
    </row>
    <row r="308" spans="1:24">
      <c r="A308" s="54">
        <f t="shared" si="10"/>
        <v>307</v>
      </c>
      <c r="B308" s="152" t="s">
        <v>13</v>
      </c>
      <c r="C308" s="8" t="s">
        <v>371</v>
      </c>
      <c r="D308" s="8"/>
      <c r="E308" s="8"/>
      <c r="F308" s="8">
        <v>0</v>
      </c>
      <c r="G308" s="8">
        <v>0</v>
      </c>
      <c r="H308" s="8">
        <v>1</v>
      </c>
      <c r="I308" s="8">
        <v>3</v>
      </c>
      <c r="J308" s="55">
        <f t="shared" si="12"/>
        <v>3</v>
      </c>
      <c r="K308" s="8"/>
      <c r="L308" s="8"/>
      <c r="M308" s="8">
        <v>1</v>
      </c>
      <c r="N308" s="8"/>
      <c r="O308" s="119" t="s">
        <v>57</v>
      </c>
      <c r="P308" s="8" t="s">
        <v>43</v>
      </c>
      <c r="R308" s="8" t="s">
        <v>55</v>
      </c>
      <c r="S308" s="47">
        <v>46182</v>
      </c>
      <c r="T308" t="s">
        <v>219</v>
      </c>
      <c r="U308" s="8" t="s">
        <v>43</v>
      </c>
    </row>
    <row r="309" spans="1:24">
      <c r="A309" s="54">
        <f t="shared" si="10"/>
        <v>308</v>
      </c>
      <c r="B309" s="152" t="s">
        <v>8</v>
      </c>
      <c r="C309" s="8" t="s">
        <v>372</v>
      </c>
      <c r="D309" s="8"/>
      <c r="E309" s="8"/>
      <c r="F309" s="8">
        <v>0</v>
      </c>
      <c r="G309" s="8">
        <v>0</v>
      </c>
      <c r="H309" s="8">
        <v>1</v>
      </c>
      <c r="I309" s="8">
        <v>3</v>
      </c>
      <c r="J309" s="55">
        <f t="shared" si="12"/>
        <v>3</v>
      </c>
      <c r="K309" s="8"/>
      <c r="L309" s="8"/>
      <c r="M309" s="8">
        <v>1</v>
      </c>
      <c r="N309" s="8"/>
      <c r="O309" s="119" t="s">
        <v>57</v>
      </c>
      <c r="P309" s="8" t="s">
        <v>43</v>
      </c>
      <c r="R309" s="116" t="s">
        <v>44</v>
      </c>
      <c r="S309" s="47">
        <v>46182</v>
      </c>
      <c r="T309" t="s">
        <v>219</v>
      </c>
      <c r="U309" s="8" t="s">
        <v>43</v>
      </c>
    </row>
    <row r="310" spans="1:24">
      <c r="A310" s="54">
        <f t="shared" si="10"/>
        <v>309</v>
      </c>
      <c r="B310" s="152" t="s">
        <v>7</v>
      </c>
      <c r="C310" s="18" t="s">
        <v>373</v>
      </c>
      <c r="D310" s="8"/>
      <c r="E310" s="8"/>
      <c r="F310" s="8">
        <v>0</v>
      </c>
      <c r="G310" s="8">
        <v>0</v>
      </c>
      <c r="H310" s="8">
        <v>1</v>
      </c>
      <c r="I310" s="8">
        <v>2</v>
      </c>
      <c r="J310" s="55">
        <f t="shared" si="12"/>
        <v>2</v>
      </c>
      <c r="K310" s="8"/>
      <c r="L310" s="8"/>
      <c r="M310" s="8">
        <v>1</v>
      </c>
      <c r="N310" s="8"/>
      <c r="O310" s="118" t="s">
        <v>69</v>
      </c>
      <c r="P310" s="8" t="s">
        <v>43</v>
      </c>
      <c r="R310" s="8" t="s">
        <v>55</v>
      </c>
      <c r="S310" s="47">
        <v>46182</v>
      </c>
      <c r="T310" t="s">
        <v>219</v>
      </c>
      <c r="U310" s="8" t="s">
        <v>43</v>
      </c>
    </row>
    <row r="311" spans="1:24" ht="30">
      <c r="A311" s="54">
        <f t="shared" si="10"/>
        <v>310</v>
      </c>
      <c r="B311" s="152" t="s">
        <v>4</v>
      </c>
      <c r="C311" s="75" t="s">
        <v>374</v>
      </c>
      <c r="F311" s="8">
        <v>3</v>
      </c>
      <c r="G311" s="8">
        <v>2</v>
      </c>
      <c r="H311" s="8">
        <v>2</v>
      </c>
      <c r="I311" s="8">
        <v>3</v>
      </c>
      <c r="J311" s="55">
        <f t="shared" si="12"/>
        <v>6</v>
      </c>
      <c r="N311">
        <v>1</v>
      </c>
      <c r="O311" s="118" t="s">
        <v>69</v>
      </c>
      <c r="P311" s="8" t="s">
        <v>43</v>
      </c>
      <c r="R311" s="116" t="s">
        <v>99</v>
      </c>
      <c r="S311" s="47">
        <v>46183</v>
      </c>
      <c r="T311" t="s">
        <v>219</v>
      </c>
      <c r="U311" s="8" t="s">
        <v>43</v>
      </c>
    </row>
    <row r="312" spans="1:24">
      <c r="A312" s="54">
        <f t="shared" si="10"/>
        <v>311</v>
      </c>
      <c r="B312" s="152" t="s">
        <v>6</v>
      </c>
      <c r="C312" s="73" t="s">
        <v>375</v>
      </c>
      <c r="H312" s="8">
        <v>1</v>
      </c>
      <c r="I312" s="8">
        <v>2</v>
      </c>
      <c r="J312" s="55">
        <f t="shared" si="12"/>
        <v>2</v>
      </c>
      <c r="M312" s="8">
        <v>1</v>
      </c>
      <c r="O312" s="119" t="s">
        <v>57</v>
      </c>
      <c r="P312" s="8" t="s">
        <v>43</v>
      </c>
      <c r="R312" s="116" t="s">
        <v>44</v>
      </c>
      <c r="S312" s="47">
        <v>46183</v>
      </c>
      <c r="T312" t="s">
        <v>219</v>
      </c>
      <c r="U312" s="8" t="s">
        <v>43</v>
      </c>
    </row>
    <row r="313" spans="1:24">
      <c r="A313" s="54">
        <f t="shared" si="10"/>
        <v>312</v>
      </c>
      <c r="B313" s="152" t="s">
        <v>5</v>
      </c>
      <c r="C313" s="75" t="s">
        <v>376</v>
      </c>
      <c r="H313" s="8">
        <v>1</v>
      </c>
      <c r="I313" s="8">
        <v>5</v>
      </c>
      <c r="J313" s="55">
        <f t="shared" si="12"/>
        <v>5</v>
      </c>
      <c r="K313">
        <v>1</v>
      </c>
      <c r="M313" s="8">
        <v>1</v>
      </c>
      <c r="O313" s="118" t="s">
        <v>69</v>
      </c>
      <c r="P313" s="8" t="s">
        <v>43</v>
      </c>
      <c r="R313" s="116" t="s">
        <v>99</v>
      </c>
      <c r="S313" s="47">
        <v>46183</v>
      </c>
      <c r="T313" t="s">
        <v>219</v>
      </c>
      <c r="U313" s="8" t="s">
        <v>43</v>
      </c>
    </row>
    <row r="314" spans="1:24">
      <c r="A314" s="54">
        <f t="shared" si="10"/>
        <v>313</v>
      </c>
      <c r="B314" s="152" t="s">
        <v>9</v>
      </c>
      <c r="C314" s="73" t="s">
        <v>377</v>
      </c>
      <c r="F314" s="8">
        <v>8</v>
      </c>
      <c r="G314" s="8">
        <v>4</v>
      </c>
      <c r="H314" s="8">
        <v>4</v>
      </c>
      <c r="I314" s="8">
        <v>4</v>
      </c>
      <c r="J314" s="55">
        <f t="shared" si="12"/>
        <v>16</v>
      </c>
      <c r="K314" s="8">
        <v>1</v>
      </c>
      <c r="N314">
        <v>1</v>
      </c>
      <c r="O314" s="119" t="s">
        <v>57</v>
      </c>
      <c r="P314" s="8" t="s">
        <v>43</v>
      </c>
      <c r="R314" s="73" t="s">
        <v>55</v>
      </c>
      <c r="S314" s="47">
        <v>46183</v>
      </c>
      <c r="T314" t="s">
        <v>219</v>
      </c>
      <c r="U314" s="8" t="s">
        <v>43</v>
      </c>
    </row>
    <row r="315" spans="1:24">
      <c r="A315" s="54">
        <f t="shared" si="10"/>
        <v>314</v>
      </c>
      <c r="B315" s="152" t="s">
        <v>2</v>
      </c>
      <c r="C315" s="73" t="s">
        <v>378</v>
      </c>
      <c r="H315" s="8">
        <v>1</v>
      </c>
      <c r="I315" s="8">
        <v>1</v>
      </c>
      <c r="J315" s="55">
        <f t="shared" si="12"/>
        <v>1</v>
      </c>
      <c r="M315" s="8">
        <v>1</v>
      </c>
      <c r="O315" s="73" t="s">
        <v>57</v>
      </c>
      <c r="P315" s="8" t="s">
        <v>43</v>
      </c>
      <c r="R315" s="116" t="s">
        <v>77</v>
      </c>
      <c r="S315" s="47">
        <v>46183</v>
      </c>
      <c r="T315" t="s">
        <v>219</v>
      </c>
      <c r="U315" s="8" t="s">
        <v>43</v>
      </c>
    </row>
    <row r="316" spans="1:24">
      <c r="A316" s="54">
        <f t="shared" si="10"/>
        <v>315</v>
      </c>
      <c r="B316" s="152" t="s">
        <v>5</v>
      </c>
      <c r="C316" s="73" t="s">
        <v>379</v>
      </c>
      <c r="H316" s="8">
        <v>1</v>
      </c>
      <c r="I316" s="8">
        <v>3</v>
      </c>
      <c r="J316" s="55">
        <f t="shared" si="12"/>
        <v>3</v>
      </c>
      <c r="M316" s="8">
        <v>1</v>
      </c>
      <c r="O316" s="119" t="s">
        <v>57</v>
      </c>
      <c r="P316" s="8" t="s">
        <v>43</v>
      </c>
      <c r="R316" s="116" t="s">
        <v>44</v>
      </c>
      <c r="S316" s="47">
        <v>46183</v>
      </c>
      <c r="T316" t="s">
        <v>219</v>
      </c>
      <c r="U316" s="8" t="s">
        <v>43</v>
      </c>
    </row>
    <row r="317" spans="1:24">
      <c r="A317" s="54">
        <f t="shared" si="10"/>
        <v>316</v>
      </c>
      <c r="B317" s="152" t="s">
        <v>4</v>
      </c>
      <c r="C317" s="73" t="s">
        <v>380</v>
      </c>
      <c r="H317" s="8">
        <v>1</v>
      </c>
      <c r="I317" s="8">
        <v>4</v>
      </c>
      <c r="J317" s="55">
        <f t="shared" si="12"/>
        <v>4</v>
      </c>
      <c r="K317">
        <v>1</v>
      </c>
      <c r="M317" s="8">
        <v>1</v>
      </c>
      <c r="O317" s="119" t="s">
        <v>57</v>
      </c>
      <c r="P317" s="8" t="s">
        <v>43</v>
      </c>
      <c r="R317" s="73" t="s">
        <v>55</v>
      </c>
      <c r="S317" s="47">
        <v>46183</v>
      </c>
      <c r="T317" t="s">
        <v>219</v>
      </c>
      <c r="U317" s="8" t="s">
        <v>43</v>
      </c>
    </row>
    <row r="318" spans="1:24">
      <c r="A318" s="54">
        <f t="shared" si="10"/>
        <v>317</v>
      </c>
      <c r="B318" s="152" t="s">
        <v>5</v>
      </c>
      <c r="C318" s="73" t="s">
        <v>381</v>
      </c>
      <c r="H318" s="8">
        <v>1</v>
      </c>
      <c r="I318" s="8">
        <v>4</v>
      </c>
      <c r="J318" s="55">
        <f t="shared" si="12"/>
        <v>4</v>
      </c>
      <c r="K318">
        <v>1</v>
      </c>
      <c r="M318" s="8">
        <v>1</v>
      </c>
      <c r="O318" s="119" t="s">
        <v>85</v>
      </c>
      <c r="P318" s="8" t="s">
        <v>43</v>
      </c>
      <c r="R318" s="116" t="s">
        <v>99</v>
      </c>
      <c r="S318" s="47">
        <v>46183</v>
      </c>
      <c r="T318" t="s">
        <v>219</v>
      </c>
      <c r="U318" s="8" t="s">
        <v>43</v>
      </c>
      <c r="X318">
        <f>61/64</f>
        <v>0.953125</v>
      </c>
    </row>
    <row r="319" spans="1:24">
      <c r="A319" s="54">
        <f t="shared" si="10"/>
        <v>318</v>
      </c>
      <c r="B319" s="152" t="s">
        <v>4</v>
      </c>
      <c r="C319" s="73" t="s">
        <v>382</v>
      </c>
      <c r="F319" s="74" t="s">
        <v>383</v>
      </c>
      <c r="G319" s="74" t="s">
        <v>384</v>
      </c>
      <c r="H319" s="8">
        <v>1</v>
      </c>
      <c r="I319" s="8">
        <v>3</v>
      </c>
      <c r="J319" s="55">
        <f t="shared" si="12"/>
        <v>3</v>
      </c>
      <c r="M319" s="8"/>
      <c r="N319">
        <v>1</v>
      </c>
      <c r="O319" s="73" t="s">
        <v>42</v>
      </c>
      <c r="P319" s="8" t="s">
        <v>43</v>
      </c>
      <c r="R319" s="116" t="s">
        <v>44</v>
      </c>
      <c r="S319" s="47">
        <v>46183</v>
      </c>
      <c r="T319" t="s">
        <v>219</v>
      </c>
      <c r="U319" s="8" t="s">
        <v>43</v>
      </c>
    </row>
    <row r="320" spans="1:24">
      <c r="A320" s="54">
        <f t="shared" si="10"/>
        <v>319</v>
      </c>
      <c r="B320" s="152" t="s">
        <v>3</v>
      </c>
      <c r="C320" s="73" t="s">
        <v>385</v>
      </c>
      <c r="F320" s="74" t="s">
        <v>386</v>
      </c>
      <c r="G320" s="74" t="s">
        <v>383</v>
      </c>
      <c r="H320" s="8">
        <v>2</v>
      </c>
      <c r="I320" s="8">
        <v>3</v>
      </c>
      <c r="J320" s="55">
        <f t="shared" si="12"/>
        <v>6</v>
      </c>
      <c r="N320">
        <v>1</v>
      </c>
      <c r="O320" s="117" t="s">
        <v>108</v>
      </c>
      <c r="P320" s="8" t="s">
        <v>43</v>
      </c>
      <c r="R320" s="116" t="s">
        <v>99</v>
      </c>
      <c r="S320" s="47">
        <v>46183</v>
      </c>
      <c r="T320" t="s">
        <v>219</v>
      </c>
      <c r="U320" s="8" t="s">
        <v>43</v>
      </c>
    </row>
    <row r="321" spans="1:21">
      <c r="A321" s="54">
        <f t="shared" si="10"/>
        <v>320</v>
      </c>
      <c r="B321" s="152" t="s">
        <v>6</v>
      </c>
      <c r="C321" s="73" t="s">
        <v>387</v>
      </c>
      <c r="F321" s="73"/>
      <c r="G321" s="73"/>
      <c r="H321" s="8">
        <v>1</v>
      </c>
      <c r="I321" s="8">
        <v>3</v>
      </c>
      <c r="J321" s="55">
        <f t="shared" si="12"/>
        <v>3</v>
      </c>
      <c r="M321" s="8">
        <v>1</v>
      </c>
      <c r="O321" s="73" t="s">
        <v>42</v>
      </c>
      <c r="P321" s="8" t="s">
        <v>43</v>
      </c>
      <c r="R321" s="116" t="s">
        <v>44</v>
      </c>
      <c r="S321" s="47">
        <v>46183</v>
      </c>
      <c r="T321" t="s">
        <v>219</v>
      </c>
      <c r="U321" s="8" t="s">
        <v>43</v>
      </c>
    </row>
    <row r="322" spans="1:21">
      <c r="A322" s="54">
        <f t="shared" si="10"/>
        <v>321</v>
      </c>
      <c r="B322" s="152" t="s">
        <v>11</v>
      </c>
      <c r="C322" s="75" t="s">
        <v>388</v>
      </c>
      <c r="F322" s="73"/>
      <c r="G322" s="73"/>
      <c r="H322" s="8">
        <v>1</v>
      </c>
      <c r="I322" s="8">
        <v>3</v>
      </c>
      <c r="J322" s="55">
        <f t="shared" si="12"/>
        <v>3</v>
      </c>
      <c r="M322" s="8"/>
      <c r="N322">
        <v>1</v>
      </c>
      <c r="O322" s="119" t="s">
        <v>57</v>
      </c>
      <c r="P322" s="8" t="s">
        <v>43</v>
      </c>
      <c r="R322" s="73" t="s">
        <v>55</v>
      </c>
      <c r="S322" s="47">
        <v>46183</v>
      </c>
      <c r="T322" t="s">
        <v>219</v>
      </c>
      <c r="U322" s="8" t="s">
        <v>64</v>
      </c>
    </row>
    <row r="323" spans="1:21">
      <c r="A323" s="54">
        <f t="shared" si="10"/>
        <v>322</v>
      </c>
      <c r="B323" s="152" t="s">
        <v>5</v>
      </c>
      <c r="C323" s="75" t="s">
        <v>389</v>
      </c>
      <c r="F323" s="74" t="s">
        <v>390</v>
      </c>
      <c r="G323" s="74" t="s">
        <v>386</v>
      </c>
      <c r="H323" s="8">
        <v>3</v>
      </c>
      <c r="I323" s="8">
        <v>3</v>
      </c>
      <c r="J323" s="55">
        <f t="shared" si="12"/>
        <v>9</v>
      </c>
      <c r="M323">
        <v>1</v>
      </c>
      <c r="O323" s="119" t="s">
        <v>57</v>
      </c>
      <c r="P323" s="8" t="s">
        <v>43</v>
      </c>
      <c r="R323" s="73" t="s">
        <v>55</v>
      </c>
      <c r="S323" s="47">
        <v>46183</v>
      </c>
      <c r="T323" t="s">
        <v>219</v>
      </c>
      <c r="U323" s="8" t="s">
        <v>43</v>
      </c>
    </row>
    <row r="324" spans="1:21" ht="30">
      <c r="A324" s="54">
        <f t="shared" si="10"/>
        <v>323</v>
      </c>
      <c r="B324" s="152" t="s">
        <v>3</v>
      </c>
      <c r="C324" s="75" t="s">
        <v>391</v>
      </c>
      <c r="F324" s="74"/>
      <c r="G324" s="74"/>
      <c r="H324" s="8">
        <v>1</v>
      </c>
      <c r="I324" s="8">
        <v>3</v>
      </c>
      <c r="J324" s="55">
        <f t="shared" si="12"/>
        <v>3</v>
      </c>
      <c r="M324">
        <v>1</v>
      </c>
      <c r="O324" s="119" t="s">
        <v>85</v>
      </c>
      <c r="P324" s="8" t="s">
        <v>43</v>
      </c>
      <c r="R324" s="73" t="s">
        <v>55</v>
      </c>
      <c r="S324" s="47">
        <v>46183</v>
      </c>
      <c r="T324" t="s">
        <v>219</v>
      </c>
      <c r="U324" s="8" t="s">
        <v>43</v>
      </c>
    </row>
    <row r="325" spans="1:21">
      <c r="A325" s="54">
        <f t="shared" si="10"/>
        <v>324</v>
      </c>
      <c r="B325" s="152" t="s">
        <v>7</v>
      </c>
      <c r="C325" s="75" t="s">
        <v>392</v>
      </c>
      <c r="F325">
        <v>12</v>
      </c>
      <c r="G325">
        <v>1</v>
      </c>
      <c r="H325" s="8">
        <v>1</v>
      </c>
      <c r="I325" s="8">
        <v>1</v>
      </c>
      <c r="J325" s="55">
        <f t="shared" si="12"/>
        <v>1</v>
      </c>
      <c r="M325">
        <v>1</v>
      </c>
      <c r="O325" s="117" t="s">
        <v>108</v>
      </c>
      <c r="P325" s="8" t="s">
        <v>43</v>
      </c>
      <c r="R325" s="116" t="s">
        <v>99</v>
      </c>
      <c r="S325" s="47">
        <v>46183</v>
      </c>
      <c r="T325" t="s">
        <v>219</v>
      </c>
      <c r="U325" s="8" t="s">
        <v>64</v>
      </c>
    </row>
    <row r="326" spans="1:21">
      <c r="A326" s="54">
        <f t="shared" si="10"/>
        <v>325</v>
      </c>
      <c r="B326" s="152" t="s">
        <v>3</v>
      </c>
      <c r="C326" s="75" t="s">
        <v>393</v>
      </c>
      <c r="H326" s="8">
        <v>1</v>
      </c>
      <c r="I326" s="8">
        <v>3</v>
      </c>
      <c r="J326" s="55">
        <f t="shared" si="12"/>
        <v>3</v>
      </c>
      <c r="L326">
        <v>1</v>
      </c>
      <c r="N326">
        <v>1</v>
      </c>
      <c r="O326" s="73" t="s">
        <v>42</v>
      </c>
      <c r="P326" s="8" t="s">
        <v>43</v>
      </c>
      <c r="R326" s="116" t="s">
        <v>44</v>
      </c>
      <c r="S326" s="47">
        <v>46183</v>
      </c>
      <c r="T326" t="s">
        <v>219</v>
      </c>
      <c r="U326" s="8" t="s">
        <v>43</v>
      </c>
    </row>
    <row r="327" spans="1:21">
      <c r="A327" s="54">
        <f t="shared" si="10"/>
        <v>326</v>
      </c>
      <c r="B327" s="152" t="s">
        <v>4</v>
      </c>
      <c r="C327" s="75" t="s">
        <v>394</v>
      </c>
      <c r="F327">
        <v>2</v>
      </c>
      <c r="G327">
        <v>2</v>
      </c>
      <c r="H327" s="8">
        <v>2</v>
      </c>
      <c r="I327" s="8">
        <v>3</v>
      </c>
      <c r="J327" s="55">
        <f t="shared" si="12"/>
        <v>6</v>
      </c>
      <c r="N327">
        <v>1</v>
      </c>
      <c r="O327" s="119" t="s">
        <v>92</v>
      </c>
      <c r="P327" s="8" t="s">
        <v>43</v>
      </c>
      <c r="R327" s="116" t="s">
        <v>99</v>
      </c>
      <c r="S327" s="47">
        <v>46183</v>
      </c>
      <c r="T327" t="s">
        <v>219</v>
      </c>
      <c r="U327" s="8" t="s">
        <v>43</v>
      </c>
    </row>
    <row r="328" spans="1:21" ht="30">
      <c r="A328" s="54">
        <f t="shared" si="10"/>
        <v>327</v>
      </c>
      <c r="B328" s="152" t="s">
        <v>6</v>
      </c>
      <c r="C328" s="75" t="s">
        <v>395</v>
      </c>
      <c r="H328" s="8">
        <v>1</v>
      </c>
      <c r="I328" s="8">
        <v>3</v>
      </c>
      <c r="J328" s="55">
        <f t="shared" si="12"/>
        <v>3</v>
      </c>
      <c r="M328">
        <v>1</v>
      </c>
      <c r="O328" s="119" t="s">
        <v>57</v>
      </c>
      <c r="P328" s="8" t="s">
        <v>43</v>
      </c>
      <c r="R328" s="116" t="s">
        <v>44</v>
      </c>
      <c r="S328" s="47">
        <v>46183</v>
      </c>
      <c r="T328" t="s">
        <v>219</v>
      </c>
      <c r="U328" s="8" t="s">
        <v>64</v>
      </c>
    </row>
    <row r="329" spans="1:21">
      <c r="A329" s="54">
        <f t="shared" si="10"/>
        <v>328</v>
      </c>
      <c r="B329" s="152" t="s">
        <v>5</v>
      </c>
      <c r="C329" s="75" t="s">
        <v>396</v>
      </c>
      <c r="H329" s="8">
        <v>1</v>
      </c>
      <c r="I329" s="8">
        <v>3</v>
      </c>
      <c r="J329" s="55">
        <f t="shared" si="12"/>
        <v>3</v>
      </c>
      <c r="M329">
        <v>1</v>
      </c>
      <c r="O329" s="73" t="s">
        <v>124</v>
      </c>
      <c r="P329" s="8" t="s">
        <v>43</v>
      </c>
      <c r="R329" s="116" t="s">
        <v>99</v>
      </c>
      <c r="S329" s="47">
        <v>46183</v>
      </c>
      <c r="T329" t="s">
        <v>219</v>
      </c>
      <c r="U329" s="8" t="s">
        <v>43</v>
      </c>
    </row>
    <row r="330" spans="1:21" ht="45">
      <c r="A330" s="54">
        <f t="shared" si="10"/>
        <v>329</v>
      </c>
      <c r="B330" s="152" t="s">
        <v>6</v>
      </c>
      <c r="C330" s="75" t="s">
        <v>397</v>
      </c>
      <c r="F330">
        <v>6</v>
      </c>
      <c r="G330">
        <v>2</v>
      </c>
      <c r="H330" s="8">
        <v>2</v>
      </c>
      <c r="I330" s="8">
        <v>3</v>
      </c>
      <c r="J330" s="55">
        <f t="shared" si="12"/>
        <v>6</v>
      </c>
      <c r="N330">
        <v>1</v>
      </c>
      <c r="O330" s="119" t="s">
        <v>57</v>
      </c>
      <c r="P330" s="8" t="s">
        <v>43</v>
      </c>
      <c r="R330" s="116" t="s">
        <v>44</v>
      </c>
      <c r="S330" s="47">
        <v>46183</v>
      </c>
      <c r="T330" t="s">
        <v>219</v>
      </c>
      <c r="U330" s="8" t="s">
        <v>64</v>
      </c>
    </row>
    <row r="331" spans="1:21">
      <c r="A331" s="54">
        <f t="shared" si="10"/>
        <v>330</v>
      </c>
      <c r="B331" s="152" t="s">
        <v>2</v>
      </c>
      <c r="C331" s="73" t="s">
        <v>398</v>
      </c>
      <c r="F331">
        <v>6</v>
      </c>
      <c r="G331">
        <v>1</v>
      </c>
      <c r="H331" s="8">
        <v>1</v>
      </c>
      <c r="I331" s="8">
        <v>3</v>
      </c>
      <c r="J331" s="55">
        <f t="shared" si="12"/>
        <v>3</v>
      </c>
      <c r="N331">
        <v>1</v>
      </c>
      <c r="O331" s="72" t="s">
        <v>42</v>
      </c>
      <c r="P331" s="8" t="s">
        <v>43</v>
      </c>
      <c r="R331" s="116" t="s">
        <v>44</v>
      </c>
      <c r="S331" s="47">
        <v>46183</v>
      </c>
      <c r="T331" t="s">
        <v>219</v>
      </c>
      <c r="U331" s="8" t="s">
        <v>43</v>
      </c>
    </row>
    <row r="332" spans="1:21">
      <c r="A332" s="54">
        <f t="shared" si="10"/>
        <v>331</v>
      </c>
      <c r="B332" s="152" t="s">
        <v>17</v>
      </c>
      <c r="C332" t="s">
        <v>399</v>
      </c>
      <c r="F332">
        <v>3</v>
      </c>
      <c r="G332">
        <v>0</v>
      </c>
      <c r="H332">
        <v>1</v>
      </c>
      <c r="I332">
        <v>0</v>
      </c>
      <c r="J332">
        <v>1</v>
      </c>
      <c r="N332">
        <v>1</v>
      </c>
      <c r="O332" t="s">
        <v>42</v>
      </c>
      <c r="P332" t="s">
        <v>43</v>
      </c>
      <c r="R332" t="s">
        <v>55</v>
      </c>
      <c r="S332" s="47">
        <v>46184</v>
      </c>
      <c r="T332" t="s">
        <v>219</v>
      </c>
      <c r="U332" t="s">
        <v>43</v>
      </c>
    </row>
    <row r="333" spans="1:21">
      <c r="A333" s="54">
        <f t="shared" si="10"/>
        <v>332</v>
      </c>
      <c r="B333" s="152" t="s">
        <v>2</v>
      </c>
      <c r="C333" s="35" t="s">
        <v>400</v>
      </c>
      <c r="F333">
        <v>0</v>
      </c>
      <c r="G333">
        <v>0</v>
      </c>
      <c r="H333">
        <v>1</v>
      </c>
      <c r="I333">
        <v>4</v>
      </c>
      <c r="J333">
        <v>4</v>
      </c>
      <c r="K333">
        <v>1</v>
      </c>
      <c r="M333">
        <v>1</v>
      </c>
      <c r="O333" t="s">
        <v>60</v>
      </c>
      <c r="P333" t="s">
        <v>43</v>
      </c>
      <c r="R333" s="116" t="s">
        <v>44</v>
      </c>
      <c r="S333" s="47">
        <v>46184</v>
      </c>
      <c r="T333" t="s">
        <v>219</v>
      </c>
      <c r="U333" t="s">
        <v>43</v>
      </c>
    </row>
    <row r="334" spans="1:21">
      <c r="A334" s="54">
        <f t="shared" ref="A334:A339" si="13">A333+1</f>
        <v>333</v>
      </c>
      <c r="B334" s="152" t="s">
        <v>2</v>
      </c>
      <c r="C334" t="s">
        <v>401</v>
      </c>
      <c r="F334">
        <v>0</v>
      </c>
      <c r="G334">
        <v>0</v>
      </c>
      <c r="H334">
        <v>1</v>
      </c>
      <c r="I334">
        <v>1</v>
      </c>
      <c r="J334">
        <v>1</v>
      </c>
      <c r="M334">
        <v>1</v>
      </c>
      <c r="O334" t="s">
        <v>60</v>
      </c>
      <c r="P334" t="s">
        <v>43</v>
      </c>
      <c r="R334" s="116" t="s">
        <v>44</v>
      </c>
      <c r="S334" s="47">
        <v>46184</v>
      </c>
      <c r="T334" t="s">
        <v>219</v>
      </c>
      <c r="U334" t="s">
        <v>43</v>
      </c>
    </row>
    <row r="335" spans="1:21">
      <c r="A335" s="54">
        <f t="shared" si="13"/>
        <v>334</v>
      </c>
      <c r="B335" s="152" t="s">
        <v>3</v>
      </c>
      <c r="C335" t="s">
        <v>402</v>
      </c>
      <c r="F335">
        <v>10</v>
      </c>
      <c r="G335">
        <v>1</v>
      </c>
      <c r="H335">
        <v>1</v>
      </c>
      <c r="I335">
        <v>3</v>
      </c>
      <c r="J335">
        <v>3</v>
      </c>
      <c r="L335">
        <v>1</v>
      </c>
      <c r="N335">
        <v>1</v>
      </c>
      <c r="O335" t="s">
        <v>42</v>
      </c>
      <c r="P335" t="s">
        <v>43</v>
      </c>
      <c r="R335" s="116" t="s">
        <v>44</v>
      </c>
      <c r="S335" s="47">
        <v>46184</v>
      </c>
      <c r="T335" t="s">
        <v>219</v>
      </c>
      <c r="U335" t="s">
        <v>43</v>
      </c>
    </row>
    <row r="336" spans="1:21">
      <c r="A336" s="54">
        <f t="shared" si="13"/>
        <v>335</v>
      </c>
      <c r="B336" s="152" t="s">
        <v>5</v>
      </c>
      <c r="C336" t="s">
        <v>403</v>
      </c>
      <c r="F336">
        <v>0</v>
      </c>
      <c r="G336">
        <v>0</v>
      </c>
      <c r="H336">
        <v>1</v>
      </c>
      <c r="I336">
        <v>3</v>
      </c>
      <c r="J336">
        <v>3</v>
      </c>
      <c r="M336">
        <v>1</v>
      </c>
      <c r="O336" s="119" t="s">
        <v>57</v>
      </c>
      <c r="P336" t="s">
        <v>43</v>
      </c>
      <c r="R336" s="116" t="s">
        <v>44</v>
      </c>
      <c r="S336" s="47">
        <v>46184</v>
      </c>
      <c r="T336" t="s">
        <v>219</v>
      </c>
      <c r="U336" t="s">
        <v>43</v>
      </c>
    </row>
    <row r="337" spans="1:22">
      <c r="A337" s="54">
        <f t="shared" si="13"/>
        <v>336</v>
      </c>
      <c r="B337" s="152" t="s">
        <v>5</v>
      </c>
      <c r="C337" t="s">
        <v>404</v>
      </c>
      <c r="F337">
        <v>3</v>
      </c>
      <c r="G337">
        <v>3</v>
      </c>
      <c r="H337">
        <v>1</v>
      </c>
      <c r="I337">
        <v>3</v>
      </c>
      <c r="J337">
        <v>3</v>
      </c>
      <c r="N337">
        <v>1</v>
      </c>
      <c r="O337" s="45" t="s">
        <v>72</v>
      </c>
      <c r="P337" t="s">
        <v>43</v>
      </c>
      <c r="R337" t="s">
        <v>97</v>
      </c>
      <c r="S337" s="47">
        <v>46184</v>
      </c>
      <c r="T337" t="s">
        <v>219</v>
      </c>
      <c r="U337" t="s">
        <v>43</v>
      </c>
    </row>
    <row r="338" spans="1:22">
      <c r="A338" s="54">
        <f t="shared" si="13"/>
        <v>337</v>
      </c>
      <c r="B338" s="152" t="s">
        <v>12</v>
      </c>
      <c r="C338" t="s">
        <v>405</v>
      </c>
      <c r="F338">
        <v>5</v>
      </c>
      <c r="G338">
        <v>1</v>
      </c>
      <c r="H338">
        <v>1</v>
      </c>
      <c r="I338">
        <v>4</v>
      </c>
      <c r="J338">
        <v>4</v>
      </c>
      <c r="K338">
        <v>1</v>
      </c>
      <c r="N338">
        <v>1</v>
      </c>
      <c r="O338" s="119" t="s">
        <v>57</v>
      </c>
      <c r="P338" t="s">
        <v>43</v>
      </c>
      <c r="R338" s="8" t="s">
        <v>55</v>
      </c>
      <c r="S338" s="47">
        <v>46184</v>
      </c>
      <c r="T338" t="s">
        <v>219</v>
      </c>
      <c r="U338" t="s">
        <v>43</v>
      </c>
    </row>
    <row r="339" spans="1:22">
      <c r="A339" s="54">
        <f t="shared" si="13"/>
        <v>338</v>
      </c>
      <c r="B339" s="152" t="s">
        <v>2</v>
      </c>
      <c r="C339" s="50" t="s">
        <v>406</v>
      </c>
      <c r="H339">
        <v>1</v>
      </c>
      <c r="I339">
        <v>4</v>
      </c>
      <c r="J339" s="55">
        <f>I339*H339</f>
        <v>4</v>
      </c>
      <c r="K339">
        <v>1</v>
      </c>
      <c r="M339">
        <v>1</v>
      </c>
      <c r="O339" t="s">
        <v>60</v>
      </c>
      <c r="P339" t="s">
        <v>43</v>
      </c>
      <c r="R339" s="50" t="s">
        <v>55</v>
      </c>
      <c r="S339" s="47">
        <v>46184</v>
      </c>
      <c r="T339" t="s">
        <v>219</v>
      </c>
      <c r="U339" t="s">
        <v>43</v>
      </c>
    </row>
    <row r="340" spans="1:22">
      <c r="A340" s="54">
        <f t="shared" ref="A340:A354" si="14">A339+1</f>
        <v>339</v>
      </c>
      <c r="B340" s="152" t="s">
        <v>16</v>
      </c>
      <c r="C340" s="8" t="s">
        <v>407</v>
      </c>
      <c r="D340" s="8"/>
      <c r="E340" s="8"/>
      <c r="F340" s="8">
        <v>13</v>
      </c>
      <c r="G340" s="8">
        <v>4</v>
      </c>
      <c r="H340" s="8">
        <v>1</v>
      </c>
      <c r="I340" s="8">
        <v>3</v>
      </c>
      <c r="J340" s="55">
        <f t="shared" ref="J340:J370" si="15">I340*H340</f>
        <v>3</v>
      </c>
      <c r="K340" s="8"/>
      <c r="L340" s="8"/>
      <c r="M340" s="8"/>
      <c r="N340" s="8">
        <v>1</v>
      </c>
      <c r="O340" s="8" t="s">
        <v>42</v>
      </c>
      <c r="P340" s="8" t="s">
        <v>43</v>
      </c>
      <c r="R340" s="116" t="s">
        <v>44</v>
      </c>
      <c r="S340" s="47">
        <v>46185</v>
      </c>
      <c r="T340" t="s">
        <v>219</v>
      </c>
      <c r="U340" s="8" t="s">
        <v>64</v>
      </c>
    </row>
    <row r="341" spans="1:22">
      <c r="A341" s="54">
        <f t="shared" si="14"/>
        <v>340</v>
      </c>
      <c r="B341" s="152" t="s">
        <v>8</v>
      </c>
      <c r="C341" s="18" t="s">
        <v>408</v>
      </c>
      <c r="D341" s="8"/>
      <c r="E341" s="8"/>
      <c r="F341" s="8">
        <v>0</v>
      </c>
      <c r="G341" s="8">
        <v>0</v>
      </c>
      <c r="H341" s="8">
        <v>1</v>
      </c>
      <c r="I341" s="8">
        <v>3</v>
      </c>
      <c r="J341" s="55">
        <f t="shared" si="15"/>
        <v>3</v>
      </c>
      <c r="K341" s="8"/>
      <c r="L341" s="8"/>
      <c r="M341" s="8">
        <v>1</v>
      </c>
      <c r="N341" s="8"/>
      <c r="O341" s="8" t="s">
        <v>69</v>
      </c>
      <c r="P341" s="8" t="s">
        <v>64</v>
      </c>
      <c r="Q341" t="s">
        <v>409</v>
      </c>
      <c r="R341" t="s">
        <v>97</v>
      </c>
      <c r="S341" s="47">
        <v>46185</v>
      </c>
      <c r="T341" t="s">
        <v>219</v>
      </c>
      <c r="U341" s="8" t="s">
        <v>64</v>
      </c>
      <c r="V341" s="47">
        <f>WEEKDAY(S341,3)</f>
        <v>4</v>
      </c>
    </row>
    <row r="342" spans="1:22">
      <c r="A342" s="54">
        <f t="shared" si="14"/>
        <v>341</v>
      </c>
      <c r="B342" s="152" t="s">
        <v>2</v>
      </c>
      <c r="C342" s="18" t="s">
        <v>410</v>
      </c>
      <c r="D342" s="8"/>
      <c r="E342" s="8"/>
      <c r="F342" s="8">
        <v>0</v>
      </c>
      <c r="G342" s="8">
        <v>0</v>
      </c>
      <c r="H342" s="8">
        <v>1</v>
      </c>
      <c r="I342" s="8">
        <v>3</v>
      </c>
      <c r="J342" s="55">
        <f t="shared" si="15"/>
        <v>3</v>
      </c>
      <c r="K342" s="8"/>
      <c r="L342" s="8"/>
      <c r="M342" s="8">
        <v>1</v>
      </c>
      <c r="N342" s="8"/>
      <c r="O342" s="116" t="s">
        <v>69</v>
      </c>
      <c r="P342" s="8" t="s">
        <v>43</v>
      </c>
      <c r="Q342" t="s">
        <v>248</v>
      </c>
      <c r="R342" t="s">
        <v>97</v>
      </c>
      <c r="S342" s="47">
        <v>46185</v>
      </c>
      <c r="T342" t="s">
        <v>219</v>
      </c>
      <c r="U342" s="8" t="s">
        <v>64</v>
      </c>
    </row>
    <row r="343" spans="1:22">
      <c r="A343" s="54">
        <f t="shared" si="14"/>
        <v>342</v>
      </c>
      <c r="B343" s="152" t="s">
        <v>2</v>
      </c>
      <c r="C343" s="18" t="s">
        <v>411</v>
      </c>
      <c r="D343" s="8"/>
      <c r="E343" s="8"/>
      <c r="F343" s="8">
        <v>0</v>
      </c>
      <c r="G343" s="8">
        <v>0</v>
      </c>
      <c r="H343" s="8">
        <v>1</v>
      </c>
      <c r="I343" s="8">
        <v>3</v>
      </c>
      <c r="J343" s="55">
        <f t="shared" si="15"/>
        <v>3</v>
      </c>
      <c r="K343" s="8"/>
      <c r="L343" s="8"/>
      <c r="M343" s="8">
        <v>1</v>
      </c>
      <c r="N343" s="8"/>
      <c r="O343" s="116" t="s">
        <v>69</v>
      </c>
      <c r="P343" s="8" t="s">
        <v>43</v>
      </c>
      <c r="R343" t="s">
        <v>97</v>
      </c>
      <c r="S343" s="47">
        <v>46185</v>
      </c>
      <c r="T343" t="s">
        <v>219</v>
      </c>
      <c r="U343" s="8" t="s">
        <v>43</v>
      </c>
    </row>
    <row r="344" spans="1:22">
      <c r="A344" s="54">
        <f t="shared" si="14"/>
        <v>343</v>
      </c>
      <c r="B344" s="152" t="s">
        <v>5</v>
      </c>
      <c r="C344" s="18" t="s">
        <v>412</v>
      </c>
      <c r="D344" s="8"/>
      <c r="E344" s="8"/>
      <c r="F344" s="8">
        <v>0</v>
      </c>
      <c r="G344" s="8">
        <v>0</v>
      </c>
      <c r="H344" s="8">
        <v>1</v>
      </c>
      <c r="I344" s="8">
        <v>4</v>
      </c>
      <c r="J344" s="55">
        <f t="shared" si="15"/>
        <v>4</v>
      </c>
      <c r="K344" s="8">
        <v>1</v>
      </c>
      <c r="L344" s="8"/>
      <c r="M344" s="8">
        <v>1</v>
      </c>
      <c r="N344" s="8"/>
      <c r="O344" s="116" t="s">
        <v>69</v>
      </c>
      <c r="P344" s="8" t="s">
        <v>43</v>
      </c>
      <c r="R344" t="s">
        <v>97</v>
      </c>
      <c r="S344" s="47">
        <v>46185</v>
      </c>
      <c r="T344" t="s">
        <v>219</v>
      </c>
      <c r="U344" s="8" t="s">
        <v>64</v>
      </c>
    </row>
    <row r="345" spans="1:22">
      <c r="A345" s="54">
        <f t="shared" si="14"/>
        <v>344</v>
      </c>
      <c r="B345" s="152" t="s">
        <v>2</v>
      </c>
      <c r="C345" s="8" t="s">
        <v>413</v>
      </c>
      <c r="D345" s="8"/>
      <c r="E345" s="8"/>
      <c r="F345" s="8">
        <v>0</v>
      </c>
      <c r="G345" s="8">
        <v>0</v>
      </c>
      <c r="H345" s="8">
        <v>1</v>
      </c>
      <c r="I345" s="8">
        <v>3</v>
      </c>
      <c r="J345" s="55">
        <f t="shared" si="15"/>
        <v>3</v>
      </c>
      <c r="K345" s="8"/>
      <c r="L345" s="8"/>
      <c r="M345" s="8">
        <v>1</v>
      </c>
      <c r="N345" s="8"/>
      <c r="O345" s="119" t="s">
        <v>57</v>
      </c>
      <c r="P345" s="8" t="s">
        <v>43</v>
      </c>
      <c r="R345" s="8" t="s">
        <v>55</v>
      </c>
      <c r="S345" s="47">
        <v>46185</v>
      </c>
      <c r="T345" t="s">
        <v>219</v>
      </c>
      <c r="U345" s="8" t="s">
        <v>64</v>
      </c>
    </row>
    <row r="346" spans="1:22">
      <c r="A346" s="54">
        <f t="shared" si="14"/>
        <v>345</v>
      </c>
      <c r="B346" s="152" t="s">
        <v>3</v>
      </c>
      <c r="C346" s="8" t="s">
        <v>414</v>
      </c>
      <c r="D346" s="8"/>
      <c r="E346" s="8"/>
      <c r="F346" s="8">
        <v>25</v>
      </c>
      <c r="G346" s="8">
        <v>1</v>
      </c>
      <c r="H346" s="8">
        <v>1</v>
      </c>
      <c r="I346" s="8">
        <v>3</v>
      </c>
      <c r="J346" s="55">
        <f t="shared" si="15"/>
        <v>3</v>
      </c>
      <c r="K346" s="8"/>
      <c r="L346" s="8">
        <v>1</v>
      </c>
      <c r="M346" s="8"/>
      <c r="N346" s="8">
        <v>1</v>
      </c>
      <c r="O346" s="119" t="s">
        <v>57</v>
      </c>
      <c r="P346" s="8" t="s">
        <v>43</v>
      </c>
      <c r="R346" s="8" t="s">
        <v>55</v>
      </c>
      <c r="S346" s="47">
        <v>46185</v>
      </c>
      <c r="T346" t="s">
        <v>219</v>
      </c>
      <c r="U346" s="8" t="s">
        <v>43</v>
      </c>
    </row>
    <row r="347" spans="1:22" ht="26.25">
      <c r="A347" s="54">
        <f t="shared" si="14"/>
        <v>346</v>
      </c>
      <c r="B347" s="152" t="s">
        <v>6</v>
      </c>
      <c r="C347" s="18" t="s">
        <v>415</v>
      </c>
      <c r="D347" s="8"/>
      <c r="E347" s="8"/>
      <c r="F347" s="8">
        <v>0</v>
      </c>
      <c r="G347" s="8">
        <v>0</v>
      </c>
      <c r="H347" s="8">
        <v>1</v>
      </c>
      <c r="I347" s="8">
        <v>2</v>
      </c>
      <c r="J347" s="55">
        <f t="shared" si="15"/>
        <v>2</v>
      </c>
      <c r="K347" s="8"/>
      <c r="L347" s="8"/>
      <c r="M347" s="8">
        <v>1</v>
      </c>
      <c r="N347" s="8"/>
      <c r="O347" s="8" t="s">
        <v>69</v>
      </c>
      <c r="P347" s="8" t="s">
        <v>64</v>
      </c>
      <c r="Q347" t="s">
        <v>102</v>
      </c>
      <c r="R347" s="8" t="s">
        <v>55</v>
      </c>
      <c r="S347" s="47">
        <v>46185</v>
      </c>
      <c r="T347" t="s">
        <v>219</v>
      </c>
      <c r="U347" s="8" t="s">
        <v>64</v>
      </c>
    </row>
    <row r="348" spans="1:22">
      <c r="A348" s="54">
        <f t="shared" si="14"/>
        <v>347</v>
      </c>
      <c r="B348" s="152" t="s">
        <v>2</v>
      </c>
      <c r="C348" s="8" t="s">
        <v>416</v>
      </c>
      <c r="D348" s="8"/>
      <c r="E348" s="8"/>
      <c r="F348" s="8">
        <v>0</v>
      </c>
      <c r="G348" s="8">
        <v>0</v>
      </c>
      <c r="H348" s="8">
        <v>1</v>
      </c>
      <c r="I348" s="8">
        <v>4</v>
      </c>
      <c r="J348" s="55">
        <f t="shared" si="15"/>
        <v>4</v>
      </c>
      <c r="K348" s="8">
        <v>1</v>
      </c>
      <c r="L348" s="8"/>
      <c r="M348" s="8">
        <v>1</v>
      </c>
      <c r="N348" s="8"/>
      <c r="O348" s="119" t="s">
        <v>57</v>
      </c>
      <c r="P348" s="8" t="s">
        <v>43</v>
      </c>
      <c r="R348" s="116" t="s">
        <v>44</v>
      </c>
      <c r="S348" s="47">
        <v>46185</v>
      </c>
      <c r="T348" t="s">
        <v>219</v>
      </c>
      <c r="U348" s="8" t="s">
        <v>43</v>
      </c>
    </row>
    <row r="349" spans="1:22">
      <c r="A349" s="54">
        <f t="shared" si="14"/>
        <v>348</v>
      </c>
      <c r="B349" s="152" t="s">
        <v>2</v>
      </c>
      <c r="C349" s="18" t="s">
        <v>417</v>
      </c>
      <c r="D349" s="8"/>
      <c r="E349" s="8"/>
      <c r="F349" s="8">
        <v>0</v>
      </c>
      <c r="G349" s="8">
        <v>0</v>
      </c>
      <c r="H349" s="8">
        <v>1</v>
      </c>
      <c r="I349" s="8">
        <v>3</v>
      </c>
      <c r="J349" s="55">
        <f t="shared" si="15"/>
        <v>3</v>
      </c>
      <c r="K349" s="8"/>
      <c r="L349" s="8"/>
      <c r="M349" s="8">
        <v>1</v>
      </c>
      <c r="N349" s="8"/>
      <c r="O349" s="118" t="s">
        <v>69</v>
      </c>
      <c r="P349" s="8" t="s">
        <v>43</v>
      </c>
      <c r="R349" s="116" t="s">
        <v>44</v>
      </c>
      <c r="S349" s="47">
        <v>46185</v>
      </c>
      <c r="T349" t="s">
        <v>219</v>
      </c>
      <c r="U349" s="8" t="s">
        <v>43</v>
      </c>
    </row>
    <row r="350" spans="1:22">
      <c r="A350" s="54">
        <f t="shared" si="14"/>
        <v>349</v>
      </c>
      <c r="B350" s="152" t="s">
        <v>11</v>
      </c>
      <c r="C350" s="8" t="s">
        <v>418</v>
      </c>
      <c r="D350" s="8"/>
      <c r="E350" s="8"/>
      <c r="F350" s="8">
        <v>4</v>
      </c>
      <c r="G350" s="8">
        <v>0</v>
      </c>
      <c r="H350" s="8">
        <v>1</v>
      </c>
      <c r="I350" s="8">
        <v>0</v>
      </c>
      <c r="J350" s="55">
        <f t="shared" si="15"/>
        <v>0</v>
      </c>
      <c r="K350" s="8"/>
      <c r="L350" s="8"/>
      <c r="M350" s="8"/>
      <c r="N350" s="8">
        <v>1</v>
      </c>
      <c r="O350" s="45" t="s">
        <v>72</v>
      </c>
      <c r="P350" s="8" t="s">
        <v>43</v>
      </c>
      <c r="R350" t="s">
        <v>97</v>
      </c>
      <c r="S350" s="47">
        <v>46185</v>
      </c>
      <c r="T350" t="s">
        <v>219</v>
      </c>
      <c r="U350" s="8" t="s">
        <v>43</v>
      </c>
    </row>
    <row r="351" spans="1:22">
      <c r="A351" s="54">
        <f t="shared" si="14"/>
        <v>350</v>
      </c>
      <c r="B351" s="152" t="s">
        <v>2</v>
      </c>
      <c r="C351" s="18" t="s">
        <v>419</v>
      </c>
      <c r="D351" s="8"/>
      <c r="E351" s="8"/>
      <c r="F351" s="8">
        <v>0</v>
      </c>
      <c r="G351" s="8">
        <v>0</v>
      </c>
      <c r="H351" s="8">
        <v>1</v>
      </c>
      <c r="I351" s="8">
        <v>2</v>
      </c>
      <c r="J351" s="55">
        <f t="shared" si="15"/>
        <v>2</v>
      </c>
      <c r="K351" s="8"/>
      <c r="L351" s="8"/>
      <c r="M351" s="8">
        <v>1</v>
      </c>
      <c r="N351" s="8"/>
      <c r="O351" s="118" t="s">
        <v>69</v>
      </c>
      <c r="P351" s="8" t="s">
        <v>43</v>
      </c>
      <c r="R351" t="s">
        <v>97</v>
      </c>
      <c r="S351" s="47">
        <v>46185</v>
      </c>
      <c r="T351" t="s">
        <v>219</v>
      </c>
      <c r="U351" s="8" t="s">
        <v>43</v>
      </c>
    </row>
    <row r="352" spans="1:22">
      <c r="A352" s="54">
        <f t="shared" si="14"/>
        <v>351</v>
      </c>
      <c r="B352" s="152" t="s">
        <v>8</v>
      </c>
      <c r="C352" s="8" t="s">
        <v>420</v>
      </c>
      <c r="D352" s="8"/>
      <c r="E352" s="8"/>
      <c r="F352" s="8">
        <v>0</v>
      </c>
      <c r="G352" s="8">
        <v>0</v>
      </c>
      <c r="H352" s="8">
        <v>1</v>
      </c>
      <c r="I352" s="8">
        <v>3</v>
      </c>
      <c r="J352" s="55">
        <f t="shared" si="15"/>
        <v>3</v>
      </c>
      <c r="K352" s="8"/>
      <c r="L352" s="8"/>
      <c r="M352" s="8">
        <v>1</v>
      </c>
      <c r="N352" s="8"/>
      <c r="O352" s="117" t="s">
        <v>108</v>
      </c>
      <c r="P352" s="8" t="s">
        <v>43</v>
      </c>
      <c r="R352" s="116" t="s">
        <v>99</v>
      </c>
      <c r="S352" s="47">
        <v>46186</v>
      </c>
      <c r="T352" t="s">
        <v>219</v>
      </c>
      <c r="U352" s="8" t="s">
        <v>43</v>
      </c>
    </row>
    <row r="353" spans="1:22">
      <c r="A353" s="54">
        <f t="shared" si="14"/>
        <v>352</v>
      </c>
      <c r="B353" s="152" t="s">
        <v>3</v>
      </c>
      <c r="C353" s="8" t="s">
        <v>421</v>
      </c>
      <c r="D353" s="8"/>
      <c r="E353" s="8"/>
      <c r="F353" s="8">
        <v>1</v>
      </c>
      <c r="G353" s="8">
        <v>1</v>
      </c>
      <c r="H353" s="8">
        <v>1</v>
      </c>
      <c r="I353" s="8">
        <v>3</v>
      </c>
      <c r="J353" s="55">
        <f t="shared" si="15"/>
        <v>3</v>
      </c>
      <c r="K353" s="8"/>
      <c r="L353" s="8">
        <v>1</v>
      </c>
      <c r="M353" s="8"/>
      <c r="N353" s="8">
        <v>1</v>
      </c>
      <c r="O353" s="119" t="s">
        <v>85</v>
      </c>
      <c r="P353" s="8" t="s">
        <v>43</v>
      </c>
      <c r="R353" s="116" t="s">
        <v>99</v>
      </c>
      <c r="S353" s="47">
        <v>46186</v>
      </c>
      <c r="T353" t="s">
        <v>219</v>
      </c>
      <c r="U353" s="8" t="s">
        <v>43</v>
      </c>
    </row>
    <row r="354" spans="1:22">
      <c r="A354" s="54">
        <f t="shared" si="14"/>
        <v>353</v>
      </c>
      <c r="B354" s="152" t="s">
        <v>7</v>
      </c>
      <c r="C354" s="8" t="s">
        <v>422</v>
      </c>
      <c r="D354" s="8"/>
      <c r="E354" s="8"/>
      <c r="F354" s="8">
        <v>17</v>
      </c>
      <c r="G354" s="8">
        <v>6</v>
      </c>
      <c r="H354" s="8">
        <v>1</v>
      </c>
      <c r="I354" s="8">
        <v>3</v>
      </c>
      <c r="J354" s="55">
        <f t="shared" si="15"/>
        <v>3</v>
      </c>
      <c r="K354" s="8"/>
      <c r="L354" s="8"/>
      <c r="M354" s="8"/>
      <c r="N354" s="8">
        <v>1</v>
      </c>
      <c r="O354" s="119" t="s">
        <v>57</v>
      </c>
      <c r="P354" s="8" t="s">
        <v>43</v>
      </c>
      <c r="R354" s="8" t="s">
        <v>55</v>
      </c>
      <c r="S354" s="47">
        <v>46186</v>
      </c>
      <c r="T354" t="s">
        <v>219</v>
      </c>
      <c r="U354" s="8" t="s">
        <v>64</v>
      </c>
      <c r="V354" s="47">
        <f>WEEKDAY(S354,2)</f>
        <v>6</v>
      </c>
    </row>
    <row r="355" spans="1:22">
      <c r="A355" s="54">
        <f t="shared" ref="A355:A418" si="16">A354+1</f>
        <v>354</v>
      </c>
      <c r="B355" s="152" t="s">
        <v>3</v>
      </c>
      <c r="C355" s="8" t="s">
        <v>423</v>
      </c>
      <c r="D355" s="8"/>
      <c r="E355" s="8"/>
      <c r="F355" s="8">
        <v>5</v>
      </c>
      <c r="G355" s="8">
        <v>1</v>
      </c>
      <c r="H355" s="8">
        <v>1</v>
      </c>
      <c r="I355" s="8">
        <v>3</v>
      </c>
      <c r="J355" s="55">
        <f t="shared" si="15"/>
        <v>3</v>
      </c>
      <c r="K355" s="8"/>
      <c r="L355" s="8"/>
      <c r="M355" s="8"/>
      <c r="N355" s="8">
        <v>1</v>
      </c>
      <c r="O355" s="119" t="s">
        <v>85</v>
      </c>
      <c r="P355" s="8" t="s">
        <v>43</v>
      </c>
      <c r="R355" s="8" t="s">
        <v>99</v>
      </c>
      <c r="S355" s="47">
        <v>46186</v>
      </c>
      <c r="T355" t="s">
        <v>219</v>
      </c>
      <c r="U355" s="8" t="s">
        <v>64</v>
      </c>
    </row>
    <row r="356" spans="1:22">
      <c r="A356" s="54">
        <f t="shared" si="16"/>
        <v>355</v>
      </c>
      <c r="B356" s="152" t="s">
        <v>4</v>
      </c>
      <c r="C356" s="8" t="s">
        <v>424</v>
      </c>
      <c r="D356" s="8"/>
      <c r="E356" s="8"/>
      <c r="F356" s="8">
        <v>0</v>
      </c>
      <c r="G356" s="8">
        <v>0</v>
      </c>
      <c r="H356" s="8">
        <v>1</v>
      </c>
      <c r="I356" s="8">
        <v>3</v>
      </c>
      <c r="J356" s="55">
        <f t="shared" si="15"/>
        <v>3</v>
      </c>
      <c r="K356" s="8"/>
      <c r="L356" s="8"/>
      <c r="M356" s="8">
        <v>1</v>
      </c>
      <c r="N356" s="8"/>
      <c r="O356" s="8" t="s">
        <v>124</v>
      </c>
      <c r="P356" s="8" t="s">
        <v>43</v>
      </c>
      <c r="R356" s="8" t="s">
        <v>99</v>
      </c>
      <c r="S356" s="47">
        <v>46186</v>
      </c>
      <c r="T356" t="s">
        <v>219</v>
      </c>
      <c r="U356" s="8" t="s">
        <v>64</v>
      </c>
      <c r="V356" s="47">
        <f t="shared" ref="V356:V358" si="17">WEEKDAY(S356,2)</f>
        <v>6</v>
      </c>
    </row>
    <row r="357" spans="1:22">
      <c r="A357" s="54">
        <f t="shared" si="16"/>
        <v>356</v>
      </c>
      <c r="B357" s="152" t="s">
        <v>4</v>
      </c>
      <c r="C357" s="8" t="s">
        <v>425</v>
      </c>
      <c r="D357" s="8"/>
      <c r="E357" s="8"/>
      <c r="F357" s="8">
        <v>10</v>
      </c>
      <c r="G357" s="8">
        <v>1</v>
      </c>
      <c r="H357" s="8">
        <v>1</v>
      </c>
      <c r="I357" s="8">
        <v>3</v>
      </c>
      <c r="J357" s="55">
        <f t="shared" si="15"/>
        <v>3</v>
      </c>
      <c r="K357" s="8"/>
      <c r="L357" s="8">
        <v>1</v>
      </c>
      <c r="M357" s="8"/>
      <c r="N357" s="8">
        <v>1</v>
      </c>
      <c r="O357" s="8" t="s">
        <v>124</v>
      </c>
      <c r="P357" s="8" t="s">
        <v>43</v>
      </c>
      <c r="R357" s="8" t="s">
        <v>99</v>
      </c>
      <c r="S357" s="47">
        <v>46186</v>
      </c>
      <c r="T357" t="s">
        <v>219</v>
      </c>
      <c r="U357" s="8" t="s">
        <v>64</v>
      </c>
      <c r="V357" s="47">
        <f t="shared" si="17"/>
        <v>6</v>
      </c>
    </row>
    <row r="358" spans="1:22">
      <c r="A358" s="54">
        <f t="shared" si="16"/>
        <v>357</v>
      </c>
      <c r="B358" s="152" t="s">
        <v>2</v>
      </c>
      <c r="C358" s="18" t="s">
        <v>426</v>
      </c>
      <c r="D358" s="8"/>
      <c r="E358" s="8"/>
      <c r="F358" s="8">
        <v>0</v>
      </c>
      <c r="G358" s="8">
        <v>0</v>
      </c>
      <c r="H358" s="8">
        <v>1</v>
      </c>
      <c r="I358" s="8">
        <v>2</v>
      </c>
      <c r="J358" s="55">
        <f t="shared" si="15"/>
        <v>2</v>
      </c>
      <c r="K358" s="8"/>
      <c r="L358" s="8"/>
      <c r="M358" s="8">
        <v>1</v>
      </c>
      <c r="N358" s="8"/>
      <c r="O358" s="118" t="s">
        <v>69</v>
      </c>
      <c r="P358" s="8" t="s">
        <v>64</v>
      </c>
      <c r="Q358" t="s">
        <v>427</v>
      </c>
      <c r="R358" s="8" t="s">
        <v>99</v>
      </c>
      <c r="S358" s="47">
        <v>46186</v>
      </c>
      <c r="T358" t="s">
        <v>219</v>
      </c>
      <c r="U358" s="8" t="s">
        <v>64</v>
      </c>
      <c r="V358" s="47">
        <f t="shared" si="17"/>
        <v>6</v>
      </c>
    </row>
    <row r="359" spans="1:22">
      <c r="A359" s="54">
        <f t="shared" si="16"/>
        <v>358</v>
      </c>
      <c r="B359" s="152" t="s">
        <v>12</v>
      </c>
      <c r="C359" s="8" t="s">
        <v>428</v>
      </c>
      <c r="D359" s="8"/>
      <c r="E359" s="8"/>
      <c r="F359" s="8">
        <v>0</v>
      </c>
      <c r="G359" s="8">
        <v>0</v>
      </c>
      <c r="H359" s="8">
        <v>1</v>
      </c>
      <c r="I359" s="8">
        <v>3</v>
      </c>
      <c r="J359" s="55">
        <f t="shared" si="15"/>
        <v>3</v>
      </c>
      <c r="K359" s="8"/>
      <c r="L359" s="8"/>
      <c r="M359" s="8">
        <v>1</v>
      </c>
      <c r="N359" s="8"/>
      <c r="O359" s="119" t="s">
        <v>57</v>
      </c>
      <c r="P359" s="8" t="s">
        <v>43</v>
      </c>
      <c r="R359" s="116" t="s">
        <v>44</v>
      </c>
      <c r="S359" s="47">
        <v>46186</v>
      </c>
      <c r="T359" t="s">
        <v>219</v>
      </c>
      <c r="U359" s="8" t="s">
        <v>64</v>
      </c>
    </row>
    <row r="360" spans="1:22">
      <c r="A360" s="54">
        <f t="shared" si="16"/>
        <v>359</v>
      </c>
      <c r="B360" s="152" t="s">
        <v>2</v>
      </c>
      <c r="C360" s="8" t="s">
        <v>429</v>
      </c>
      <c r="D360" s="8"/>
      <c r="E360" s="8"/>
      <c r="F360" s="8">
        <v>0</v>
      </c>
      <c r="G360" s="8">
        <v>0</v>
      </c>
      <c r="H360" s="8">
        <v>1</v>
      </c>
      <c r="I360" s="8">
        <v>3</v>
      </c>
      <c r="J360" s="55">
        <f t="shared" si="15"/>
        <v>3</v>
      </c>
      <c r="K360" s="8"/>
      <c r="L360" s="8"/>
      <c r="M360" s="8">
        <v>1</v>
      </c>
      <c r="N360" s="8"/>
      <c r="O360" s="8" t="s">
        <v>42</v>
      </c>
      <c r="P360" s="8" t="s">
        <v>43</v>
      </c>
      <c r="R360" s="116" t="s">
        <v>44</v>
      </c>
      <c r="S360" s="47">
        <v>46186</v>
      </c>
      <c r="T360" t="s">
        <v>219</v>
      </c>
      <c r="U360" s="8" t="s">
        <v>64</v>
      </c>
    </row>
    <row r="361" spans="1:22">
      <c r="A361" s="54">
        <f t="shared" si="16"/>
        <v>360</v>
      </c>
      <c r="B361" s="152" t="s">
        <v>12</v>
      </c>
      <c r="C361" s="8" t="s">
        <v>430</v>
      </c>
      <c r="D361" s="8"/>
      <c r="E361" s="8"/>
      <c r="F361" s="8">
        <v>4</v>
      </c>
      <c r="G361" s="8">
        <v>2</v>
      </c>
      <c r="H361" s="8">
        <v>1</v>
      </c>
      <c r="I361" s="8">
        <v>3</v>
      </c>
      <c r="J361" s="55">
        <f t="shared" si="15"/>
        <v>3</v>
      </c>
      <c r="K361" s="8"/>
      <c r="L361" s="8"/>
      <c r="M361" s="8"/>
      <c r="N361" s="8">
        <v>1</v>
      </c>
      <c r="O361" s="8" t="s">
        <v>124</v>
      </c>
      <c r="P361" s="8" t="s">
        <v>43</v>
      </c>
      <c r="R361" s="116" t="s">
        <v>44</v>
      </c>
      <c r="S361" s="47">
        <v>46186</v>
      </c>
      <c r="T361" t="s">
        <v>219</v>
      </c>
      <c r="U361" s="8" t="s">
        <v>64</v>
      </c>
    </row>
    <row r="362" spans="1:22" ht="26.25">
      <c r="A362" s="54">
        <f t="shared" si="16"/>
        <v>361</v>
      </c>
      <c r="B362" s="152" t="s">
        <v>6</v>
      </c>
      <c r="C362" s="18" t="s">
        <v>431</v>
      </c>
      <c r="D362" s="8"/>
      <c r="E362" s="8"/>
      <c r="F362" s="8">
        <v>3</v>
      </c>
      <c r="G362" s="8">
        <v>2</v>
      </c>
      <c r="H362" s="8">
        <v>1</v>
      </c>
      <c r="I362" s="8">
        <v>2</v>
      </c>
      <c r="J362" s="55">
        <f t="shared" si="15"/>
        <v>2</v>
      </c>
      <c r="K362" s="8"/>
      <c r="L362" s="8">
        <v>1</v>
      </c>
      <c r="M362" s="8"/>
      <c r="N362" s="8">
        <v>1</v>
      </c>
      <c r="O362" s="118" t="s">
        <v>69</v>
      </c>
      <c r="P362" s="8" t="s">
        <v>43</v>
      </c>
      <c r="R362" s="8" t="s">
        <v>99</v>
      </c>
      <c r="S362" s="47">
        <v>46188</v>
      </c>
      <c r="T362" t="s">
        <v>219</v>
      </c>
      <c r="U362" s="8" t="s">
        <v>64</v>
      </c>
    </row>
    <row r="363" spans="1:22">
      <c r="A363" s="54">
        <f t="shared" si="16"/>
        <v>362</v>
      </c>
      <c r="B363" s="152" t="s">
        <v>6</v>
      </c>
      <c r="C363" s="8" t="s">
        <v>432</v>
      </c>
      <c r="D363" s="8"/>
      <c r="E363" s="8"/>
      <c r="F363" s="8">
        <v>14</v>
      </c>
      <c r="G363" s="8">
        <v>0</v>
      </c>
      <c r="H363" s="8">
        <v>1</v>
      </c>
      <c r="I363" s="8">
        <v>1</v>
      </c>
      <c r="J363" s="55">
        <f t="shared" si="15"/>
        <v>1</v>
      </c>
      <c r="K363" s="8"/>
      <c r="L363" s="8"/>
      <c r="M363" s="8"/>
      <c r="N363" s="8"/>
      <c r="O363" s="8" t="s">
        <v>124</v>
      </c>
      <c r="P363" s="8" t="s">
        <v>43</v>
      </c>
      <c r="R363" s="8" t="s">
        <v>99</v>
      </c>
      <c r="S363" s="47">
        <v>46188</v>
      </c>
      <c r="T363" t="s">
        <v>219</v>
      </c>
      <c r="U363" s="8" t="s">
        <v>64</v>
      </c>
    </row>
    <row r="364" spans="1:22">
      <c r="A364" s="54">
        <f t="shared" si="16"/>
        <v>363</v>
      </c>
      <c r="B364" s="152" t="s">
        <v>7</v>
      </c>
      <c r="C364" s="8" t="s">
        <v>433</v>
      </c>
      <c r="D364" s="8"/>
      <c r="E364" s="8"/>
      <c r="F364" s="8">
        <v>0</v>
      </c>
      <c r="G364" s="8">
        <v>0</v>
      </c>
      <c r="H364" s="8">
        <v>1</v>
      </c>
      <c r="I364" s="8">
        <v>1</v>
      </c>
      <c r="J364" s="55">
        <f t="shared" si="15"/>
        <v>1</v>
      </c>
      <c r="K364" s="8"/>
      <c r="L364" s="8"/>
      <c r="M364" s="8">
        <v>1</v>
      </c>
      <c r="N364" s="8"/>
      <c r="O364" s="8" t="s">
        <v>124</v>
      </c>
      <c r="P364" s="8" t="s">
        <v>43</v>
      </c>
      <c r="R364" s="8" t="s">
        <v>99</v>
      </c>
      <c r="S364" s="47">
        <v>46188</v>
      </c>
      <c r="T364" t="s">
        <v>219</v>
      </c>
      <c r="U364" s="8" t="s">
        <v>64</v>
      </c>
      <c r="V364" s="47">
        <f>WEEKDAY(S364,2)</f>
        <v>1</v>
      </c>
    </row>
    <row r="365" spans="1:22">
      <c r="A365" s="54">
        <f t="shared" si="16"/>
        <v>364</v>
      </c>
      <c r="B365" s="152" t="s">
        <v>3</v>
      </c>
      <c r="C365" s="8" t="s">
        <v>434</v>
      </c>
      <c r="D365" s="8"/>
      <c r="E365" s="8"/>
      <c r="F365" s="8">
        <v>15</v>
      </c>
      <c r="G365" s="8">
        <v>1</v>
      </c>
      <c r="H365" s="8">
        <v>1</v>
      </c>
      <c r="I365" s="8">
        <v>1</v>
      </c>
      <c r="J365" s="55">
        <f t="shared" si="15"/>
        <v>1</v>
      </c>
      <c r="K365" s="8"/>
      <c r="L365" s="8">
        <v>1</v>
      </c>
      <c r="M365" s="8"/>
      <c r="N365" s="8">
        <v>1</v>
      </c>
      <c r="O365" s="8" t="s">
        <v>124</v>
      </c>
      <c r="P365" s="8" t="s">
        <v>43</v>
      </c>
      <c r="R365" s="8" t="s">
        <v>99</v>
      </c>
      <c r="S365" s="47">
        <v>46188</v>
      </c>
      <c r="T365" t="s">
        <v>219</v>
      </c>
      <c r="U365" s="8" t="s">
        <v>64</v>
      </c>
    </row>
    <row r="366" spans="1:22">
      <c r="A366" s="54">
        <f t="shared" si="16"/>
        <v>365</v>
      </c>
      <c r="B366" s="152" t="s">
        <v>2</v>
      </c>
      <c r="C366" s="8" t="s">
        <v>435</v>
      </c>
      <c r="D366" s="8"/>
      <c r="E366" s="8"/>
      <c r="F366" s="8">
        <v>5</v>
      </c>
      <c r="G366" s="8">
        <v>1</v>
      </c>
      <c r="H366" s="8">
        <v>1</v>
      </c>
      <c r="I366" s="8">
        <v>4</v>
      </c>
      <c r="J366" s="55">
        <f t="shared" si="15"/>
        <v>4</v>
      </c>
      <c r="K366" s="8">
        <v>1</v>
      </c>
      <c r="L366" s="8"/>
      <c r="M366" s="8"/>
      <c r="N366" s="8">
        <v>1</v>
      </c>
      <c r="O366" s="8" t="s">
        <v>42</v>
      </c>
      <c r="P366" s="8" t="s">
        <v>43</v>
      </c>
      <c r="R366" s="116" t="s">
        <v>44</v>
      </c>
      <c r="S366" s="47">
        <v>46188</v>
      </c>
      <c r="T366" t="s">
        <v>219</v>
      </c>
      <c r="U366" s="8" t="s">
        <v>64</v>
      </c>
    </row>
    <row r="367" spans="1:22">
      <c r="A367" s="54">
        <f t="shared" si="16"/>
        <v>366</v>
      </c>
      <c r="B367" s="152" t="s">
        <v>2</v>
      </c>
      <c r="C367" s="8" t="s">
        <v>436</v>
      </c>
      <c r="D367" s="8"/>
      <c r="E367" s="8"/>
      <c r="F367" s="8">
        <v>5</v>
      </c>
      <c r="G367" s="8">
        <v>1</v>
      </c>
      <c r="H367" s="8">
        <v>1</v>
      </c>
      <c r="I367" s="8">
        <v>3</v>
      </c>
      <c r="J367" s="55">
        <f t="shared" si="15"/>
        <v>3</v>
      </c>
      <c r="K367" s="8"/>
      <c r="L367" s="8"/>
      <c r="M367" s="8"/>
      <c r="N367" s="8">
        <v>1</v>
      </c>
      <c r="O367" s="119" t="s">
        <v>57</v>
      </c>
      <c r="P367" s="8" t="s">
        <v>64</v>
      </c>
      <c r="R367" s="116" t="s">
        <v>44</v>
      </c>
      <c r="S367" s="47">
        <v>46188</v>
      </c>
      <c r="T367" t="s">
        <v>219</v>
      </c>
      <c r="U367" s="8" t="s">
        <v>64</v>
      </c>
      <c r="V367" s="47">
        <f>WEEKDAY(S367,2)</f>
        <v>1</v>
      </c>
    </row>
    <row r="368" spans="1:22">
      <c r="A368" s="54">
        <f t="shared" si="16"/>
        <v>367</v>
      </c>
      <c r="B368" s="152" t="s">
        <v>2</v>
      </c>
      <c r="C368" s="8" t="s">
        <v>437</v>
      </c>
      <c r="D368" s="8"/>
      <c r="E368" s="8"/>
      <c r="F368" s="8">
        <v>5</v>
      </c>
      <c r="G368" s="8">
        <v>1</v>
      </c>
      <c r="H368" s="8">
        <v>1</v>
      </c>
      <c r="I368" s="8">
        <v>3</v>
      </c>
      <c r="J368" s="55">
        <f t="shared" si="15"/>
        <v>3</v>
      </c>
      <c r="K368" s="8"/>
      <c r="L368" s="8"/>
      <c r="M368" s="8"/>
      <c r="N368" s="8">
        <v>1</v>
      </c>
      <c r="O368" s="119" t="s">
        <v>92</v>
      </c>
      <c r="P368" s="8" t="s">
        <v>43</v>
      </c>
      <c r="R368" s="116" t="s">
        <v>44</v>
      </c>
      <c r="S368" s="47">
        <v>46188</v>
      </c>
      <c r="T368" t="s">
        <v>219</v>
      </c>
      <c r="U368" s="8" t="s">
        <v>64</v>
      </c>
    </row>
    <row r="369" spans="1:20" ht="64.5">
      <c r="A369" s="54">
        <f t="shared" si="16"/>
        <v>368</v>
      </c>
      <c r="B369" s="152" t="s">
        <v>2</v>
      </c>
      <c r="C369" s="120" t="s">
        <v>438</v>
      </c>
      <c r="D369" s="116"/>
      <c r="E369" s="116"/>
      <c r="F369" s="116">
        <v>20</v>
      </c>
      <c r="G369" s="116">
        <v>1</v>
      </c>
      <c r="H369" s="116">
        <v>1</v>
      </c>
      <c r="I369" s="116">
        <v>3</v>
      </c>
      <c r="J369" s="55">
        <f t="shared" si="15"/>
        <v>3</v>
      </c>
      <c r="K369" s="116"/>
      <c r="L369" s="116"/>
      <c r="M369" s="116">
        <v>1</v>
      </c>
      <c r="N369" s="116"/>
      <c r="O369" s="116" t="s">
        <v>69</v>
      </c>
      <c r="P369" s="8" t="s">
        <v>43</v>
      </c>
      <c r="Q369" t="s">
        <v>102</v>
      </c>
      <c r="R369" s="116" t="s">
        <v>77</v>
      </c>
      <c r="S369" s="47">
        <v>46189</v>
      </c>
      <c r="T369" t="s">
        <v>219</v>
      </c>
    </row>
    <row r="370" spans="1:20" ht="26.25">
      <c r="A370" s="54">
        <f t="shared" si="16"/>
        <v>369</v>
      </c>
      <c r="B370" s="152" t="s">
        <v>7</v>
      </c>
      <c r="C370" s="120" t="s">
        <v>439</v>
      </c>
      <c r="D370" s="116"/>
      <c r="E370" s="116"/>
      <c r="F370" s="116">
        <v>0</v>
      </c>
      <c r="G370" s="116">
        <v>0</v>
      </c>
      <c r="H370" s="116">
        <v>1</v>
      </c>
      <c r="I370" s="116">
        <v>3</v>
      </c>
      <c r="J370" s="55">
        <f t="shared" si="15"/>
        <v>3</v>
      </c>
      <c r="K370" s="116"/>
      <c r="L370" s="116"/>
      <c r="M370" s="116">
        <v>1</v>
      </c>
      <c r="N370" s="116"/>
      <c r="O370" s="116" t="s">
        <v>69</v>
      </c>
      <c r="P370" s="116" t="s">
        <v>64</v>
      </c>
      <c r="Q370" t="s">
        <v>440</v>
      </c>
      <c r="R370" s="116" t="s">
        <v>77</v>
      </c>
      <c r="S370" s="47">
        <v>46189</v>
      </c>
      <c r="T370" t="s">
        <v>219</v>
      </c>
    </row>
    <row r="371" spans="1:20" ht="26.25">
      <c r="A371" s="54">
        <f t="shared" si="16"/>
        <v>370</v>
      </c>
      <c r="B371" s="152" t="s">
        <v>7</v>
      </c>
      <c r="C371" s="120" t="s">
        <v>441</v>
      </c>
      <c r="D371" s="116"/>
      <c r="E371" s="116"/>
      <c r="F371" s="116">
        <v>8</v>
      </c>
      <c r="G371" s="116">
        <v>17</v>
      </c>
      <c r="H371" s="116">
        <v>1</v>
      </c>
      <c r="I371" s="116">
        <v>3</v>
      </c>
      <c r="J371" s="55">
        <f t="shared" ref="J371:J402" si="18">I371*H371</f>
        <v>3</v>
      </c>
      <c r="K371" s="116"/>
      <c r="L371" s="116"/>
      <c r="M371" s="116"/>
      <c r="N371" s="116">
        <v>1</v>
      </c>
      <c r="O371" s="116" t="s">
        <v>124</v>
      </c>
      <c r="P371" s="116" t="s">
        <v>43</v>
      </c>
      <c r="R371" s="116" t="s">
        <v>77</v>
      </c>
      <c r="S371" s="47">
        <v>46189</v>
      </c>
      <c r="T371" t="s">
        <v>219</v>
      </c>
    </row>
    <row r="372" spans="1:20">
      <c r="A372" s="54">
        <f t="shared" si="16"/>
        <v>371</v>
      </c>
      <c r="B372" s="152" t="s">
        <v>7</v>
      </c>
      <c r="C372" s="120" t="s">
        <v>442</v>
      </c>
      <c r="D372" s="116"/>
      <c r="E372" s="116"/>
      <c r="F372" s="116">
        <v>12</v>
      </c>
      <c r="G372" s="116">
        <v>0</v>
      </c>
      <c r="H372" s="116">
        <v>1</v>
      </c>
      <c r="I372" s="116">
        <v>2</v>
      </c>
      <c r="J372" s="55">
        <f t="shared" si="18"/>
        <v>2</v>
      </c>
      <c r="K372" s="116"/>
      <c r="L372" s="116"/>
      <c r="M372" s="116">
        <v>1</v>
      </c>
      <c r="N372" s="116"/>
      <c r="O372" s="45" t="s">
        <v>72</v>
      </c>
      <c r="P372" s="116" t="s">
        <v>43</v>
      </c>
      <c r="R372" s="116" t="s">
        <v>77</v>
      </c>
      <c r="S372" s="47">
        <v>46189</v>
      </c>
      <c r="T372" t="s">
        <v>219</v>
      </c>
    </row>
    <row r="373" spans="1:20">
      <c r="A373" s="54">
        <f t="shared" si="16"/>
        <v>372</v>
      </c>
      <c r="B373" s="152" t="s">
        <v>3</v>
      </c>
      <c r="C373" s="120" t="s">
        <v>443</v>
      </c>
      <c r="D373" s="116"/>
      <c r="E373" s="116"/>
      <c r="F373" s="116">
        <v>6</v>
      </c>
      <c r="G373" s="116">
        <v>0</v>
      </c>
      <c r="H373" s="116">
        <v>1</v>
      </c>
      <c r="I373" s="116">
        <v>1</v>
      </c>
      <c r="J373" s="55">
        <f t="shared" si="18"/>
        <v>1</v>
      </c>
      <c r="K373" s="116"/>
      <c r="L373" s="116"/>
      <c r="M373" s="116"/>
      <c r="N373" s="116">
        <v>1</v>
      </c>
      <c r="O373" s="116" t="s">
        <v>444</v>
      </c>
      <c r="P373" s="116" t="s">
        <v>43</v>
      </c>
      <c r="R373" s="116" t="s">
        <v>77</v>
      </c>
      <c r="S373" s="47">
        <v>46189</v>
      </c>
      <c r="T373" t="s">
        <v>219</v>
      </c>
    </row>
    <row r="374" spans="1:20">
      <c r="A374" s="54">
        <f t="shared" si="16"/>
        <v>373</v>
      </c>
      <c r="B374" s="152" t="s">
        <v>15</v>
      </c>
      <c r="C374" s="35" t="s">
        <v>445</v>
      </c>
      <c r="F374">
        <v>0</v>
      </c>
      <c r="G374">
        <v>3</v>
      </c>
      <c r="H374">
        <v>1</v>
      </c>
      <c r="I374">
        <v>4</v>
      </c>
      <c r="J374" s="55">
        <f t="shared" si="18"/>
        <v>4</v>
      </c>
      <c r="K374">
        <v>1</v>
      </c>
      <c r="N374">
        <v>1</v>
      </c>
      <c r="O374" t="s">
        <v>42</v>
      </c>
      <c r="P374" t="s">
        <v>43</v>
      </c>
      <c r="R374" s="116" t="s">
        <v>44</v>
      </c>
      <c r="S374" s="47">
        <v>46189</v>
      </c>
      <c r="T374" t="s">
        <v>219</v>
      </c>
    </row>
    <row r="375" spans="1:20">
      <c r="A375" s="54">
        <f t="shared" si="16"/>
        <v>374</v>
      </c>
      <c r="B375" s="152" t="s">
        <v>9</v>
      </c>
      <c r="C375" s="35" t="s">
        <v>446</v>
      </c>
      <c r="F375">
        <v>0</v>
      </c>
      <c r="G375">
        <v>2</v>
      </c>
      <c r="H375">
        <v>1</v>
      </c>
      <c r="I375">
        <v>4</v>
      </c>
      <c r="J375" s="55">
        <f t="shared" si="18"/>
        <v>4</v>
      </c>
      <c r="K375">
        <v>1</v>
      </c>
      <c r="N375">
        <v>1</v>
      </c>
      <c r="O375" s="121" t="s">
        <v>57</v>
      </c>
      <c r="P375" t="s">
        <v>43</v>
      </c>
      <c r="R375" s="116" t="s">
        <v>44</v>
      </c>
      <c r="S375" s="47">
        <v>46189</v>
      </c>
      <c r="T375" t="s">
        <v>219</v>
      </c>
    </row>
    <row r="376" spans="1:20">
      <c r="A376" s="54">
        <f t="shared" si="16"/>
        <v>375</v>
      </c>
      <c r="B376" s="152" t="s">
        <v>7</v>
      </c>
      <c r="C376" s="35" t="s">
        <v>447</v>
      </c>
      <c r="F376">
        <v>2</v>
      </c>
      <c r="G376">
        <v>0</v>
      </c>
      <c r="H376">
        <v>1</v>
      </c>
      <c r="I376">
        <v>1</v>
      </c>
      <c r="J376" s="55">
        <f t="shared" si="18"/>
        <v>1</v>
      </c>
      <c r="O376" s="122" t="s">
        <v>108</v>
      </c>
      <c r="P376" t="s">
        <v>43</v>
      </c>
      <c r="R376" s="116" t="s">
        <v>77</v>
      </c>
      <c r="S376" s="47">
        <v>46189</v>
      </c>
      <c r="T376" t="s">
        <v>219</v>
      </c>
    </row>
    <row r="377" spans="1:20">
      <c r="A377" s="54">
        <f t="shared" si="16"/>
        <v>376</v>
      </c>
      <c r="B377" s="152" t="s">
        <v>8</v>
      </c>
      <c r="C377" s="35" t="s">
        <v>448</v>
      </c>
      <c r="F377">
        <v>0</v>
      </c>
      <c r="G377">
        <v>0</v>
      </c>
      <c r="H377">
        <v>1</v>
      </c>
      <c r="I377">
        <v>3</v>
      </c>
      <c r="J377" s="55">
        <f t="shared" si="18"/>
        <v>3</v>
      </c>
      <c r="M377">
        <v>1</v>
      </c>
      <c r="O377" t="s">
        <v>69</v>
      </c>
      <c r="P377" t="s">
        <v>43</v>
      </c>
      <c r="Q377" t="s">
        <v>427</v>
      </c>
      <c r="R377" s="116" t="s">
        <v>44</v>
      </c>
      <c r="S377" s="47">
        <v>46189</v>
      </c>
      <c r="T377" t="s">
        <v>219</v>
      </c>
    </row>
    <row r="378" spans="1:20">
      <c r="A378" s="54">
        <f t="shared" si="16"/>
        <v>377</v>
      </c>
      <c r="B378" s="152" t="s">
        <v>2</v>
      </c>
      <c r="C378" s="35" t="s">
        <v>449</v>
      </c>
      <c r="F378">
        <v>0</v>
      </c>
      <c r="G378">
        <v>0</v>
      </c>
      <c r="H378">
        <v>1</v>
      </c>
      <c r="I378">
        <v>2</v>
      </c>
      <c r="J378" s="55">
        <f t="shared" si="18"/>
        <v>2</v>
      </c>
      <c r="M378">
        <v>1</v>
      </c>
      <c r="O378" t="s">
        <v>85</v>
      </c>
      <c r="P378" t="s">
        <v>64</v>
      </c>
      <c r="R378" s="116" t="s">
        <v>44</v>
      </c>
      <c r="S378" s="47">
        <v>46189</v>
      </c>
      <c r="T378" t="s">
        <v>219</v>
      </c>
    </row>
    <row r="379" spans="1:20">
      <c r="A379" s="54">
        <f t="shared" si="16"/>
        <v>378</v>
      </c>
      <c r="B379" s="152" t="s">
        <v>13</v>
      </c>
      <c r="C379" s="35" t="s">
        <v>450</v>
      </c>
      <c r="F379">
        <v>0</v>
      </c>
      <c r="G379">
        <v>0</v>
      </c>
      <c r="H379">
        <v>1</v>
      </c>
      <c r="I379">
        <v>2</v>
      </c>
      <c r="J379" s="55">
        <f t="shared" si="18"/>
        <v>2</v>
      </c>
      <c r="M379">
        <v>1</v>
      </c>
      <c r="O379" s="122" t="s">
        <v>108</v>
      </c>
      <c r="P379" t="s">
        <v>64</v>
      </c>
      <c r="R379" s="116" t="s">
        <v>44</v>
      </c>
      <c r="S379" s="47">
        <v>46189</v>
      </c>
      <c r="T379" t="s">
        <v>219</v>
      </c>
    </row>
    <row r="380" spans="1:20">
      <c r="A380" s="54">
        <f t="shared" si="16"/>
        <v>379</v>
      </c>
      <c r="B380" s="152" t="s">
        <v>3</v>
      </c>
      <c r="C380" s="35" t="s">
        <v>451</v>
      </c>
      <c r="F380">
        <v>7</v>
      </c>
      <c r="G380">
        <v>1</v>
      </c>
      <c r="H380">
        <v>1</v>
      </c>
      <c r="I380">
        <v>3</v>
      </c>
      <c r="J380" s="55">
        <f t="shared" si="18"/>
        <v>3</v>
      </c>
      <c r="L380">
        <v>1</v>
      </c>
      <c r="N380">
        <v>1</v>
      </c>
      <c r="O380" s="121" t="s">
        <v>57</v>
      </c>
      <c r="P380" t="s">
        <v>43</v>
      </c>
      <c r="R380" t="s">
        <v>97</v>
      </c>
      <c r="S380" s="47">
        <v>46189</v>
      </c>
      <c r="T380" t="s">
        <v>219</v>
      </c>
    </row>
    <row r="381" spans="1:20">
      <c r="A381" s="54">
        <f t="shared" si="16"/>
        <v>380</v>
      </c>
      <c r="B381" s="152" t="s">
        <v>6</v>
      </c>
      <c r="C381" s="35" t="s">
        <v>452</v>
      </c>
      <c r="F381">
        <v>0</v>
      </c>
      <c r="G381">
        <v>0</v>
      </c>
      <c r="H381">
        <v>1</v>
      </c>
      <c r="I381">
        <v>3</v>
      </c>
      <c r="J381" s="55">
        <f t="shared" si="18"/>
        <v>3</v>
      </c>
      <c r="M381">
        <v>1</v>
      </c>
      <c r="O381" s="121" t="s">
        <v>57</v>
      </c>
      <c r="P381" t="s">
        <v>43</v>
      </c>
      <c r="R381" t="s">
        <v>97</v>
      </c>
      <c r="S381" s="47">
        <v>46189</v>
      </c>
      <c r="T381" t="s">
        <v>219</v>
      </c>
    </row>
    <row r="382" spans="1:20">
      <c r="A382" s="54">
        <f t="shared" si="16"/>
        <v>381</v>
      </c>
      <c r="B382" s="152" t="s">
        <v>16</v>
      </c>
      <c r="C382" s="35" t="s">
        <v>453</v>
      </c>
      <c r="F382">
        <v>9</v>
      </c>
      <c r="G382">
        <v>2</v>
      </c>
      <c r="H382">
        <v>1</v>
      </c>
      <c r="I382">
        <v>3</v>
      </c>
      <c r="J382" s="55">
        <f t="shared" si="18"/>
        <v>3</v>
      </c>
      <c r="N382">
        <v>1</v>
      </c>
      <c r="O382" s="121" t="s">
        <v>57</v>
      </c>
      <c r="P382" t="s">
        <v>43</v>
      </c>
      <c r="R382" s="116" t="s">
        <v>44</v>
      </c>
      <c r="S382" s="47">
        <v>46189</v>
      </c>
      <c r="T382" t="s">
        <v>219</v>
      </c>
    </row>
    <row r="383" spans="1:20">
      <c r="A383" s="54">
        <f t="shared" si="16"/>
        <v>382</v>
      </c>
      <c r="B383" s="152" t="s">
        <v>13</v>
      </c>
      <c r="C383" s="35" t="s">
        <v>454</v>
      </c>
      <c r="F383">
        <v>0</v>
      </c>
      <c r="G383">
        <v>0</v>
      </c>
      <c r="H383">
        <v>1</v>
      </c>
      <c r="I383">
        <v>3</v>
      </c>
      <c r="J383" s="55">
        <f t="shared" si="18"/>
        <v>3</v>
      </c>
      <c r="M383">
        <v>1</v>
      </c>
      <c r="O383" s="121" t="s">
        <v>57</v>
      </c>
      <c r="P383" t="s">
        <v>43</v>
      </c>
      <c r="R383" s="116" t="s">
        <v>44</v>
      </c>
      <c r="S383" s="47">
        <v>46189</v>
      </c>
      <c r="T383" t="s">
        <v>219</v>
      </c>
    </row>
    <row r="384" spans="1:20">
      <c r="A384" s="54">
        <f t="shared" si="16"/>
        <v>383</v>
      </c>
      <c r="B384" s="152" t="s">
        <v>11</v>
      </c>
      <c r="C384" s="35" t="s">
        <v>455</v>
      </c>
      <c r="F384">
        <v>3</v>
      </c>
      <c r="G384">
        <v>1</v>
      </c>
      <c r="H384">
        <v>1</v>
      </c>
      <c r="I384">
        <v>3</v>
      </c>
      <c r="J384" s="55">
        <f t="shared" si="18"/>
        <v>3</v>
      </c>
      <c r="N384">
        <v>1</v>
      </c>
      <c r="O384" s="121" t="s">
        <v>57</v>
      </c>
      <c r="P384" t="s">
        <v>43</v>
      </c>
      <c r="R384" s="116" t="s">
        <v>44</v>
      </c>
      <c r="S384" s="47">
        <v>46189</v>
      </c>
      <c r="T384" t="s">
        <v>219</v>
      </c>
    </row>
    <row r="385" spans="1:35">
      <c r="A385" s="54">
        <f t="shared" si="16"/>
        <v>384</v>
      </c>
      <c r="B385" s="152" t="s">
        <v>7</v>
      </c>
      <c r="C385" s="35" t="s">
        <v>456</v>
      </c>
      <c r="F385">
        <v>0</v>
      </c>
      <c r="G385">
        <v>1</v>
      </c>
      <c r="H385">
        <v>1</v>
      </c>
      <c r="I385">
        <v>3</v>
      </c>
      <c r="J385" s="55">
        <f t="shared" si="18"/>
        <v>3</v>
      </c>
      <c r="M385">
        <v>1</v>
      </c>
      <c r="O385" s="121" t="s">
        <v>57</v>
      </c>
      <c r="P385" t="s">
        <v>64</v>
      </c>
      <c r="R385" t="s">
        <v>97</v>
      </c>
      <c r="S385" s="47">
        <v>46190</v>
      </c>
      <c r="T385" t="s">
        <v>219</v>
      </c>
    </row>
    <row r="386" spans="1:35">
      <c r="A386" s="54">
        <f t="shared" si="16"/>
        <v>385</v>
      </c>
      <c r="B386" s="152" t="s">
        <v>2</v>
      </c>
      <c r="C386" s="35" t="s">
        <v>457</v>
      </c>
      <c r="F386">
        <v>7</v>
      </c>
      <c r="G386">
        <v>0</v>
      </c>
      <c r="H386">
        <v>1</v>
      </c>
      <c r="I386">
        <v>1</v>
      </c>
      <c r="J386" s="55">
        <f t="shared" si="18"/>
        <v>1</v>
      </c>
      <c r="N386">
        <v>1</v>
      </c>
      <c r="O386" s="45" t="s">
        <v>72</v>
      </c>
      <c r="P386" t="s">
        <v>43</v>
      </c>
      <c r="R386" t="s">
        <v>97</v>
      </c>
      <c r="S386" s="47">
        <v>46190</v>
      </c>
      <c r="T386" t="s">
        <v>219</v>
      </c>
    </row>
    <row r="387" spans="1:35">
      <c r="A387" s="54">
        <f t="shared" si="16"/>
        <v>386</v>
      </c>
      <c r="B387" s="152" t="s">
        <v>9</v>
      </c>
      <c r="C387" s="35" t="s">
        <v>458</v>
      </c>
      <c r="F387">
        <v>8</v>
      </c>
      <c r="G387">
        <v>2</v>
      </c>
      <c r="H387">
        <v>1</v>
      </c>
      <c r="I387">
        <v>2</v>
      </c>
      <c r="J387" s="55">
        <f t="shared" si="18"/>
        <v>2</v>
      </c>
      <c r="N387">
        <v>1</v>
      </c>
      <c r="O387" s="121" t="s">
        <v>57</v>
      </c>
      <c r="P387" t="s">
        <v>64</v>
      </c>
      <c r="R387" s="116" t="s">
        <v>44</v>
      </c>
      <c r="S387" s="47">
        <v>46190</v>
      </c>
      <c r="T387" t="s">
        <v>219</v>
      </c>
      <c r="AH387" s="125" t="s">
        <v>108</v>
      </c>
      <c r="AI387" s="125">
        <v>2.69</v>
      </c>
    </row>
    <row r="388" spans="1:35">
      <c r="A388" s="54">
        <f t="shared" si="16"/>
        <v>387</v>
      </c>
      <c r="B388" s="152" t="s">
        <v>3</v>
      </c>
      <c r="C388" s="35" t="s">
        <v>459</v>
      </c>
      <c r="F388">
        <v>10</v>
      </c>
      <c r="G388">
        <v>0</v>
      </c>
      <c r="H388">
        <v>1</v>
      </c>
      <c r="I388">
        <v>4</v>
      </c>
      <c r="J388" s="55">
        <f t="shared" si="18"/>
        <v>4</v>
      </c>
      <c r="K388">
        <v>1</v>
      </c>
      <c r="M388">
        <v>1</v>
      </c>
      <c r="O388" s="121" t="s">
        <v>57</v>
      </c>
      <c r="P388" t="s">
        <v>43</v>
      </c>
      <c r="R388" s="116" t="s">
        <v>44</v>
      </c>
      <c r="S388" s="47">
        <v>46190</v>
      </c>
      <c r="T388" t="s">
        <v>219</v>
      </c>
      <c r="AH388" t="s">
        <v>92</v>
      </c>
      <c r="AI388">
        <v>2.88</v>
      </c>
    </row>
    <row r="389" spans="1:35" ht="30">
      <c r="A389" s="54">
        <f t="shared" si="16"/>
        <v>388</v>
      </c>
      <c r="B389" s="152" t="s">
        <v>4</v>
      </c>
      <c r="C389" s="35" t="s">
        <v>460</v>
      </c>
      <c r="F389">
        <v>6</v>
      </c>
      <c r="G389">
        <v>1</v>
      </c>
      <c r="H389">
        <v>1</v>
      </c>
      <c r="I389">
        <v>3</v>
      </c>
      <c r="J389" s="55">
        <f t="shared" si="18"/>
        <v>3</v>
      </c>
      <c r="N389">
        <v>1</v>
      </c>
      <c r="O389" s="121" t="s">
        <v>57</v>
      </c>
      <c r="P389" t="s">
        <v>43</v>
      </c>
      <c r="R389" s="116" t="s">
        <v>44</v>
      </c>
      <c r="S389" s="47">
        <v>46190</v>
      </c>
      <c r="T389" t="s">
        <v>219</v>
      </c>
      <c r="AH389" t="s">
        <v>318</v>
      </c>
      <c r="AI389">
        <v>3.04</v>
      </c>
    </row>
    <row r="390" spans="1:35">
      <c r="A390" s="54">
        <f t="shared" si="16"/>
        <v>389</v>
      </c>
      <c r="B390" s="152" t="s">
        <v>8</v>
      </c>
      <c r="C390" s="35" t="s">
        <v>461</v>
      </c>
      <c r="F390">
        <v>0</v>
      </c>
      <c r="G390">
        <v>0</v>
      </c>
      <c r="H390">
        <v>1</v>
      </c>
      <c r="I390">
        <v>2</v>
      </c>
      <c r="J390" s="55">
        <f t="shared" si="18"/>
        <v>2</v>
      </c>
      <c r="M390">
        <v>1</v>
      </c>
      <c r="O390" s="121" t="s">
        <v>57</v>
      </c>
      <c r="P390" t="s">
        <v>43</v>
      </c>
      <c r="R390" s="116" t="s">
        <v>44</v>
      </c>
      <c r="S390" s="47">
        <v>46190</v>
      </c>
      <c r="T390" t="s">
        <v>219</v>
      </c>
      <c r="AH390" t="s">
        <v>462</v>
      </c>
      <c r="AI390">
        <v>2.46</v>
      </c>
    </row>
    <row r="391" spans="1:35">
      <c r="A391" s="54">
        <f t="shared" si="16"/>
        <v>390</v>
      </c>
      <c r="B391" s="152" t="s">
        <v>8</v>
      </c>
      <c r="C391" s="35" t="s">
        <v>463</v>
      </c>
      <c r="F391">
        <v>0</v>
      </c>
      <c r="G391">
        <v>0</v>
      </c>
      <c r="H391">
        <v>1</v>
      </c>
      <c r="I391">
        <v>2</v>
      </c>
      <c r="J391" s="55">
        <f t="shared" si="18"/>
        <v>2</v>
      </c>
      <c r="M391">
        <v>1</v>
      </c>
      <c r="O391" s="121" t="s">
        <v>57</v>
      </c>
      <c r="P391" t="s">
        <v>64</v>
      </c>
      <c r="R391" s="116" t="s">
        <v>44</v>
      </c>
      <c r="S391" s="47">
        <v>46190</v>
      </c>
      <c r="T391" t="s">
        <v>219</v>
      </c>
      <c r="AH391" t="s">
        <v>464</v>
      </c>
      <c r="AI391">
        <v>2.61</v>
      </c>
    </row>
    <row r="392" spans="1:35">
      <c r="A392" s="54">
        <f t="shared" si="16"/>
        <v>391</v>
      </c>
      <c r="B392" s="152" t="s">
        <v>4</v>
      </c>
      <c r="C392" s="35" t="s">
        <v>465</v>
      </c>
      <c r="F392">
        <v>0</v>
      </c>
      <c r="G392">
        <v>0</v>
      </c>
      <c r="H392">
        <v>1</v>
      </c>
      <c r="I392">
        <v>3</v>
      </c>
      <c r="J392" s="55">
        <f t="shared" si="18"/>
        <v>3</v>
      </c>
      <c r="M392">
        <v>1</v>
      </c>
      <c r="O392" t="s">
        <v>42</v>
      </c>
      <c r="P392" t="s">
        <v>64</v>
      </c>
      <c r="R392" s="116" t="s">
        <v>44</v>
      </c>
      <c r="S392" s="47">
        <v>46190</v>
      </c>
      <c r="T392" t="s">
        <v>219</v>
      </c>
      <c r="AH392" t="s">
        <v>57</v>
      </c>
      <c r="AI392">
        <v>2.95</v>
      </c>
    </row>
    <row r="393" spans="1:35">
      <c r="A393" s="54">
        <f t="shared" si="16"/>
        <v>392</v>
      </c>
      <c r="B393" s="152" t="s">
        <v>6</v>
      </c>
      <c r="C393" s="35" t="s">
        <v>466</v>
      </c>
      <c r="F393">
        <v>0</v>
      </c>
      <c r="G393">
        <v>0</v>
      </c>
      <c r="H393">
        <v>1</v>
      </c>
      <c r="I393">
        <v>4</v>
      </c>
      <c r="J393" s="55">
        <f t="shared" si="18"/>
        <v>4</v>
      </c>
      <c r="K393">
        <v>1</v>
      </c>
      <c r="M393">
        <v>1</v>
      </c>
      <c r="O393" t="s">
        <v>42</v>
      </c>
      <c r="P393" t="s">
        <v>64</v>
      </c>
      <c r="R393" s="116" t="s">
        <v>44</v>
      </c>
      <c r="S393" s="47">
        <v>46190</v>
      </c>
      <c r="T393" t="s">
        <v>219</v>
      </c>
      <c r="AH393" t="s">
        <v>124</v>
      </c>
      <c r="AI393">
        <v>2.52</v>
      </c>
    </row>
    <row r="394" spans="1:35">
      <c r="A394" s="54">
        <f t="shared" si="16"/>
        <v>393</v>
      </c>
      <c r="B394" s="152" t="s">
        <v>6</v>
      </c>
      <c r="C394" s="35" t="s">
        <v>467</v>
      </c>
      <c r="F394">
        <v>0</v>
      </c>
      <c r="G394">
        <v>0</v>
      </c>
      <c r="H394">
        <v>1</v>
      </c>
      <c r="I394">
        <v>4</v>
      </c>
      <c r="J394" s="55">
        <f t="shared" si="18"/>
        <v>4</v>
      </c>
      <c r="K394">
        <v>1</v>
      </c>
      <c r="M394">
        <v>1</v>
      </c>
      <c r="O394" t="s">
        <v>42</v>
      </c>
      <c r="P394" t="s">
        <v>43</v>
      </c>
      <c r="R394" s="116" t="s">
        <v>44</v>
      </c>
      <c r="S394" s="47">
        <v>46190</v>
      </c>
      <c r="T394" t="s">
        <v>219</v>
      </c>
      <c r="AH394" t="s">
        <v>72</v>
      </c>
      <c r="AI394">
        <v>2.5299999999999998</v>
      </c>
    </row>
    <row r="395" spans="1:35">
      <c r="A395" s="54">
        <f t="shared" si="16"/>
        <v>394</v>
      </c>
      <c r="B395" s="152" t="s">
        <v>14</v>
      </c>
      <c r="C395" s="35" t="s">
        <v>468</v>
      </c>
      <c r="F395">
        <v>6</v>
      </c>
      <c r="G395">
        <v>2</v>
      </c>
      <c r="H395">
        <v>1</v>
      </c>
      <c r="I395">
        <v>3</v>
      </c>
      <c r="J395" s="55">
        <f t="shared" si="18"/>
        <v>3</v>
      </c>
      <c r="N395">
        <v>1</v>
      </c>
      <c r="O395" t="s">
        <v>42</v>
      </c>
      <c r="P395" t="s">
        <v>43</v>
      </c>
      <c r="R395" s="116" t="s">
        <v>44</v>
      </c>
      <c r="S395" s="47">
        <v>46190</v>
      </c>
      <c r="T395" t="s">
        <v>219</v>
      </c>
    </row>
    <row r="396" spans="1:35">
      <c r="A396" s="54">
        <f t="shared" si="16"/>
        <v>395</v>
      </c>
      <c r="B396" s="152" t="s">
        <v>14</v>
      </c>
      <c r="C396" s="35" t="s">
        <v>469</v>
      </c>
      <c r="F396">
        <v>5</v>
      </c>
      <c r="G396">
        <v>1</v>
      </c>
      <c r="H396">
        <v>1</v>
      </c>
      <c r="I396">
        <v>3</v>
      </c>
      <c r="J396" s="55">
        <f t="shared" si="18"/>
        <v>3</v>
      </c>
      <c r="N396">
        <v>1</v>
      </c>
      <c r="O396" s="121" t="s">
        <v>92</v>
      </c>
      <c r="P396" t="s">
        <v>43</v>
      </c>
      <c r="R396" s="116" t="s">
        <v>44</v>
      </c>
      <c r="S396" s="47">
        <v>46190</v>
      </c>
      <c r="T396" t="s">
        <v>219</v>
      </c>
    </row>
    <row r="397" spans="1:35">
      <c r="A397" s="54">
        <f t="shared" si="16"/>
        <v>396</v>
      </c>
      <c r="B397" s="152" t="s">
        <v>2</v>
      </c>
      <c r="C397" s="123" t="s">
        <v>470</v>
      </c>
      <c r="H397">
        <v>1</v>
      </c>
      <c r="I397">
        <v>3</v>
      </c>
      <c r="J397" s="55">
        <f t="shared" si="18"/>
        <v>3</v>
      </c>
      <c r="M397">
        <v>1</v>
      </c>
      <c r="O397" t="s">
        <v>42</v>
      </c>
      <c r="P397" t="s">
        <v>64</v>
      </c>
      <c r="R397" s="116" t="s">
        <v>44</v>
      </c>
      <c r="S397" s="47">
        <v>46190</v>
      </c>
      <c r="T397" t="s">
        <v>219</v>
      </c>
    </row>
    <row r="398" spans="1:35">
      <c r="A398" s="54">
        <f t="shared" si="16"/>
        <v>397</v>
      </c>
      <c r="B398" s="152" t="s">
        <v>2</v>
      </c>
      <c r="C398" s="120" t="s">
        <v>471</v>
      </c>
      <c r="D398" s="116"/>
      <c r="E398" s="116"/>
      <c r="F398" s="116">
        <v>4</v>
      </c>
      <c r="G398" s="116">
        <v>2</v>
      </c>
      <c r="H398" s="116">
        <v>1</v>
      </c>
      <c r="I398" s="116">
        <v>3</v>
      </c>
      <c r="J398" s="55">
        <f t="shared" si="18"/>
        <v>3</v>
      </c>
      <c r="K398" s="116"/>
      <c r="L398" s="116"/>
      <c r="M398" s="116">
        <v>1</v>
      </c>
      <c r="N398" s="116"/>
      <c r="O398" s="121" t="s">
        <v>57</v>
      </c>
      <c r="P398" s="116" t="s">
        <v>43</v>
      </c>
      <c r="R398" s="116" t="s">
        <v>44</v>
      </c>
      <c r="S398" s="47">
        <v>46190</v>
      </c>
      <c r="T398" t="s">
        <v>219</v>
      </c>
    </row>
    <row r="399" spans="1:35" s="129" customFormat="1">
      <c r="A399" s="54">
        <f t="shared" si="16"/>
        <v>398</v>
      </c>
      <c r="B399" s="152" t="s">
        <v>3</v>
      </c>
      <c r="C399" s="50" t="s">
        <v>472</v>
      </c>
      <c r="D399" s="127"/>
      <c r="E399" s="127"/>
      <c r="F399" s="127">
        <v>4</v>
      </c>
      <c r="G399" s="127">
        <v>1</v>
      </c>
      <c r="H399" s="127">
        <v>1</v>
      </c>
      <c r="I399" s="127">
        <v>2</v>
      </c>
      <c r="J399" s="55">
        <f t="shared" si="18"/>
        <v>2</v>
      </c>
      <c r="K399" s="127"/>
      <c r="L399" s="127">
        <v>1</v>
      </c>
      <c r="M399" s="127"/>
      <c r="N399" s="127">
        <v>1</v>
      </c>
      <c r="O399" s="128" t="s">
        <v>42</v>
      </c>
      <c r="P399" s="116" t="s">
        <v>43</v>
      </c>
      <c r="R399" s="116" t="s">
        <v>44</v>
      </c>
      <c r="S399" s="130">
        <v>46191</v>
      </c>
      <c r="T399" t="s">
        <v>219</v>
      </c>
    </row>
    <row r="400" spans="1:35" s="129" customFormat="1">
      <c r="A400" s="54">
        <f t="shared" si="16"/>
        <v>399</v>
      </c>
      <c r="B400" s="152" t="s">
        <v>8</v>
      </c>
      <c r="C400" s="126" t="s">
        <v>473</v>
      </c>
      <c r="D400" s="127"/>
      <c r="E400" s="127"/>
      <c r="F400" s="127">
        <v>4</v>
      </c>
      <c r="G400" s="127">
        <v>3</v>
      </c>
      <c r="H400" s="127">
        <v>3</v>
      </c>
      <c r="I400" s="127">
        <v>2</v>
      </c>
      <c r="J400" s="55">
        <f t="shared" si="18"/>
        <v>6</v>
      </c>
      <c r="K400" s="127"/>
      <c r="L400" s="127"/>
      <c r="M400" s="127">
        <v>1</v>
      </c>
      <c r="N400" s="127"/>
      <c r="O400" t="s">
        <v>85</v>
      </c>
      <c r="P400" s="116" t="s">
        <v>64</v>
      </c>
      <c r="R400" s="129" t="s">
        <v>99</v>
      </c>
      <c r="S400" s="130">
        <v>46191</v>
      </c>
      <c r="T400" t="s">
        <v>219</v>
      </c>
    </row>
    <row r="401" spans="1:20" s="129" customFormat="1">
      <c r="A401" s="54">
        <f t="shared" si="16"/>
        <v>400</v>
      </c>
      <c r="B401" s="152" t="s">
        <v>2</v>
      </c>
      <c r="C401" s="50" t="s">
        <v>474</v>
      </c>
      <c r="D401" s="127"/>
      <c r="E401" s="127"/>
      <c r="F401" s="127">
        <v>5</v>
      </c>
      <c r="G401" s="127"/>
      <c r="H401" s="127">
        <v>1</v>
      </c>
      <c r="I401" s="127">
        <v>1</v>
      </c>
      <c r="J401" s="55">
        <f t="shared" si="18"/>
        <v>1</v>
      </c>
      <c r="K401" s="127"/>
      <c r="L401" s="127"/>
      <c r="M401" s="127"/>
      <c r="N401" s="127"/>
      <c r="O401" s="127" t="s">
        <v>42</v>
      </c>
      <c r="P401" s="116" t="s">
        <v>43</v>
      </c>
      <c r="R401" t="s">
        <v>77</v>
      </c>
      <c r="S401" s="130">
        <v>46191</v>
      </c>
      <c r="T401" t="s">
        <v>219</v>
      </c>
    </row>
    <row r="402" spans="1:20" s="129" customFormat="1">
      <c r="A402" s="54">
        <f t="shared" si="16"/>
        <v>401</v>
      </c>
      <c r="B402" s="152" t="s">
        <v>6</v>
      </c>
      <c r="C402" s="126" t="s">
        <v>475</v>
      </c>
      <c r="D402" s="127"/>
      <c r="E402" s="127"/>
      <c r="F402" s="127">
        <v>14</v>
      </c>
      <c r="G402" s="127"/>
      <c r="H402" s="127">
        <v>1</v>
      </c>
      <c r="I402" s="127">
        <v>3</v>
      </c>
      <c r="J402" s="55">
        <f t="shared" si="18"/>
        <v>3</v>
      </c>
      <c r="K402" s="127"/>
      <c r="L402" s="127"/>
      <c r="M402" s="127">
        <v>1</v>
      </c>
      <c r="N402" s="127"/>
      <c r="O402" s="127" t="s">
        <v>42</v>
      </c>
      <c r="P402" s="116" t="s">
        <v>64</v>
      </c>
      <c r="R402" s="127" t="s">
        <v>44</v>
      </c>
      <c r="S402" s="130">
        <v>46191</v>
      </c>
      <c r="T402" t="s">
        <v>219</v>
      </c>
    </row>
    <row r="403" spans="1:20" s="129" customFormat="1">
      <c r="A403" s="54">
        <f t="shared" si="16"/>
        <v>402</v>
      </c>
      <c r="B403" s="152" t="s">
        <v>2</v>
      </c>
      <c r="C403" s="50" t="s">
        <v>476</v>
      </c>
      <c r="D403" s="127"/>
      <c r="E403" s="127"/>
      <c r="F403" s="127"/>
      <c r="G403" s="127"/>
      <c r="H403" s="127">
        <v>1</v>
      </c>
      <c r="I403" s="127">
        <v>3</v>
      </c>
      <c r="J403" s="55">
        <f t="shared" ref="J403:J410" si="19">I403*H403</f>
        <v>3</v>
      </c>
      <c r="K403" s="127"/>
      <c r="L403" s="127"/>
      <c r="M403" s="127">
        <v>1</v>
      </c>
      <c r="N403" s="127"/>
      <c r="O403" s="131" t="s">
        <v>57</v>
      </c>
      <c r="P403" s="116" t="s">
        <v>43</v>
      </c>
      <c r="R403" s="127" t="s">
        <v>44</v>
      </c>
      <c r="S403" s="130">
        <v>46191</v>
      </c>
      <c r="T403" t="s">
        <v>219</v>
      </c>
    </row>
    <row r="404" spans="1:20" s="129" customFormat="1">
      <c r="A404" s="54">
        <f t="shared" si="16"/>
        <v>403</v>
      </c>
      <c r="B404" s="152" t="s">
        <v>4</v>
      </c>
      <c r="C404" s="126" t="s">
        <v>477</v>
      </c>
      <c r="D404" s="127"/>
      <c r="E404" s="127"/>
      <c r="F404" s="127">
        <v>2</v>
      </c>
      <c r="G404" s="127">
        <v>1</v>
      </c>
      <c r="H404" s="127">
        <v>1</v>
      </c>
      <c r="I404" s="127">
        <v>3</v>
      </c>
      <c r="J404" s="55">
        <f t="shared" si="19"/>
        <v>3</v>
      </c>
      <c r="K404" s="127"/>
      <c r="L404" s="127"/>
      <c r="M404" s="127"/>
      <c r="N404" s="127">
        <v>1</v>
      </c>
      <c r="O404" t="s">
        <v>85</v>
      </c>
      <c r="P404" s="116" t="s">
        <v>43</v>
      </c>
      <c r="R404" s="127" t="s">
        <v>44</v>
      </c>
      <c r="S404" s="130">
        <v>46191</v>
      </c>
      <c r="T404" t="s">
        <v>219</v>
      </c>
    </row>
    <row r="405" spans="1:20" s="129" customFormat="1">
      <c r="A405" s="54">
        <f t="shared" si="16"/>
        <v>404</v>
      </c>
      <c r="B405" s="152" t="s">
        <v>3</v>
      </c>
      <c r="C405" s="126" t="s">
        <v>478</v>
      </c>
      <c r="F405" s="129">
        <v>12</v>
      </c>
      <c r="G405" s="129">
        <v>1</v>
      </c>
      <c r="H405" s="129">
        <v>1</v>
      </c>
      <c r="I405" s="129">
        <v>1</v>
      </c>
      <c r="J405" s="55">
        <f t="shared" si="19"/>
        <v>1</v>
      </c>
      <c r="L405" s="129">
        <v>1</v>
      </c>
      <c r="N405" s="129">
        <v>1</v>
      </c>
      <c r="O405" s="129" t="s">
        <v>42</v>
      </c>
      <c r="P405" s="116" t="s">
        <v>43</v>
      </c>
      <c r="R405" s="129" t="s">
        <v>97</v>
      </c>
      <c r="S405" s="130">
        <v>46191</v>
      </c>
      <c r="T405" t="s">
        <v>219</v>
      </c>
    </row>
    <row r="406" spans="1:20" s="129" customFormat="1">
      <c r="A406" s="54">
        <f t="shared" si="16"/>
        <v>405</v>
      </c>
      <c r="B406" s="152" t="s">
        <v>4</v>
      </c>
      <c r="C406" s="50" t="s">
        <v>479</v>
      </c>
      <c r="H406" s="129">
        <v>1</v>
      </c>
      <c r="I406" s="129">
        <v>3</v>
      </c>
      <c r="J406" s="55">
        <f t="shared" si="19"/>
        <v>3</v>
      </c>
      <c r="M406" s="129">
        <v>1</v>
      </c>
      <c r="O406" s="129" t="s">
        <v>124</v>
      </c>
      <c r="P406" s="116" t="s">
        <v>43</v>
      </c>
      <c r="R406" s="129" t="s">
        <v>99</v>
      </c>
      <c r="S406" s="130">
        <v>46191</v>
      </c>
      <c r="T406" t="s">
        <v>219</v>
      </c>
    </row>
    <row r="407" spans="1:20" s="129" customFormat="1">
      <c r="A407" s="54">
        <f t="shared" si="16"/>
        <v>406</v>
      </c>
      <c r="B407" s="152" t="s">
        <v>8</v>
      </c>
      <c r="C407" s="126" t="s">
        <v>480</v>
      </c>
      <c r="H407" s="129">
        <v>1</v>
      </c>
      <c r="I407" s="129">
        <v>2</v>
      </c>
      <c r="J407" s="55">
        <f t="shared" si="19"/>
        <v>2</v>
      </c>
      <c r="M407" s="129">
        <v>1</v>
      </c>
      <c r="O407" s="129" t="s">
        <v>108</v>
      </c>
      <c r="P407" s="116" t="s">
        <v>64</v>
      </c>
      <c r="R407" s="129" t="s">
        <v>99</v>
      </c>
      <c r="S407" s="130">
        <v>46191</v>
      </c>
      <c r="T407" t="s">
        <v>219</v>
      </c>
    </row>
    <row r="408" spans="1:20" s="129" customFormat="1">
      <c r="A408" s="54">
        <f t="shared" si="16"/>
        <v>407</v>
      </c>
      <c r="B408" s="152" t="s">
        <v>3</v>
      </c>
      <c r="C408" s="126" t="s">
        <v>481</v>
      </c>
      <c r="F408" s="129">
        <v>8</v>
      </c>
      <c r="G408" s="129">
        <v>1</v>
      </c>
      <c r="H408" s="129">
        <v>1</v>
      </c>
      <c r="I408" s="129">
        <v>3</v>
      </c>
      <c r="J408" s="55">
        <f t="shared" si="19"/>
        <v>3</v>
      </c>
      <c r="N408" s="129">
        <v>1</v>
      </c>
      <c r="O408" s="129" t="s">
        <v>57</v>
      </c>
      <c r="P408" s="116" t="s">
        <v>43</v>
      </c>
      <c r="R408" s="129" t="s">
        <v>99</v>
      </c>
      <c r="S408" s="130">
        <v>46191</v>
      </c>
      <c r="T408" t="s">
        <v>219</v>
      </c>
    </row>
    <row r="409" spans="1:20">
      <c r="A409" s="54">
        <f t="shared" si="16"/>
        <v>408</v>
      </c>
      <c r="B409" s="152" t="s">
        <v>15</v>
      </c>
      <c r="C409" s="50" t="s">
        <v>482</v>
      </c>
      <c r="F409" s="129">
        <v>3</v>
      </c>
      <c r="G409" s="129">
        <v>1</v>
      </c>
      <c r="H409" s="129">
        <v>1</v>
      </c>
      <c r="I409" s="129">
        <v>3</v>
      </c>
      <c r="J409" s="55">
        <f t="shared" si="19"/>
        <v>3</v>
      </c>
      <c r="N409" s="129">
        <v>1</v>
      </c>
      <c r="O409" t="s">
        <v>85</v>
      </c>
      <c r="P409" s="116" t="s">
        <v>43</v>
      </c>
      <c r="R409" s="50" t="s">
        <v>77</v>
      </c>
      <c r="S409" s="47">
        <v>46192</v>
      </c>
      <c r="T409" t="s">
        <v>219</v>
      </c>
    </row>
    <row r="410" spans="1:20">
      <c r="A410" s="54">
        <f t="shared" si="16"/>
        <v>409</v>
      </c>
      <c r="B410" s="152" t="s">
        <v>6</v>
      </c>
      <c r="C410" s="126" t="s">
        <v>483</v>
      </c>
      <c r="F410" s="133" t="s">
        <v>484</v>
      </c>
      <c r="G410" s="133" t="s">
        <v>383</v>
      </c>
      <c r="H410" s="133" t="s">
        <v>383</v>
      </c>
      <c r="I410" s="129">
        <v>2</v>
      </c>
      <c r="J410" s="55">
        <f t="shared" si="19"/>
        <v>4</v>
      </c>
      <c r="M410">
        <v>1</v>
      </c>
      <c r="O410" s="126" t="s">
        <v>57</v>
      </c>
      <c r="P410" s="116" t="s">
        <v>43</v>
      </c>
      <c r="R410" s="126" t="s">
        <v>44</v>
      </c>
      <c r="S410" s="47">
        <v>46192</v>
      </c>
      <c r="T410" t="s">
        <v>219</v>
      </c>
    </row>
    <row r="411" spans="1:20">
      <c r="A411" s="54">
        <f t="shared" si="16"/>
        <v>410</v>
      </c>
      <c r="B411" s="152" t="s">
        <v>5</v>
      </c>
      <c r="C411" s="50" t="s">
        <v>485</v>
      </c>
      <c r="F411" s="132" t="s">
        <v>384</v>
      </c>
      <c r="G411" s="132" t="s">
        <v>384</v>
      </c>
      <c r="H411" s="132" t="s">
        <v>384</v>
      </c>
      <c r="I411" s="129">
        <v>4</v>
      </c>
      <c r="J411" s="55">
        <f>I410*H410</f>
        <v>4</v>
      </c>
      <c r="K411">
        <v>1</v>
      </c>
      <c r="M411" s="129">
        <v>1</v>
      </c>
      <c r="O411" s="45" t="s">
        <v>72</v>
      </c>
      <c r="P411" s="116" t="s">
        <v>43</v>
      </c>
      <c r="R411" s="50" t="s">
        <v>77</v>
      </c>
      <c r="S411" s="47">
        <v>46192</v>
      </c>
      <c r="T411" t="s">
        <v>219</v>
      </c>
    </row>
    <row r="412" spans="1:20">
      <c r="A412" s="54">
        <f t="shared" si="16"/>
        <v>411</v>
      </c>
      <c r="B412" s="152" t="s">
        <v>12</v>
      </c>
      <c r="C412" s="126" t="s">
        <v>486</v>
      </c>
      <c r="F412" s="133" t="s">
        <v>484</v>
      </c>
      <c r="G412" s="133" t="s">
        <v>383</v>
      </c>
      <c r="H412" s="133" t="s">
        <v>383</v>
      </c>
      <c r="I412" s="129">
        <v>4</v>
      </c>
      <c r="J412" s="55">
        <f>I411*H411</f>
        <v>4</v>
      </c>
      <c r="K412">
        <v>1</v>
      </c>
      <c r="N412">
        <v>1</v>
      </c>
      <c r="O412" s="126" t="s">
        <v>57</v>
      </c>
      <c r="P412" s="116" t="s">
        <v>43</v>
      </c>
      <c r="R412" s="126" t="s">
        <v>44</v>
      </c>
      <c r="S412" s="47">
        <v>46192</v>
      </c>
      <c r="T412" t="s">
        <v>219</v>
      </c>
    </row>
    <row r="413" spans="1:20">
      <c r="A413" s="54">
        <f t="shared" si="16"/>
        <v>412</v>
      </c>
      <c r="B413" s="152" t="s">
        <v>6</v>
      </c>
      <c r="C413" s="50" t="s">
        <v>487</v>
      </c>
      <c r="F413" s="132" t="s">
        <v>488</v>
      </c>
      <c r="G413" s="132" t="s">
        <v>489</v>
      </c>
      <c r="H413" s="132">
        <v>1</v>
      </c>
      <c r="I413" s="129">
        <v>3</v>
      </c>
      <c r="J413" s="55">
        <f>I412*H412</f>
        <v>8</v>
      </c>
      <c r="M413">
        <v>1</v>
      </c>
      <c r="O413" t="s">
        <v>85</v>
      </c>
      <c r="P413" s="116" t="s">
        <v>64</v>
      </c>
      <c r="R413" s="50" t="s">
        <v>99</v>
      </c>
      <c r="S413" s="47">
        <v>46192</v>
      </c>
      <c r="T413" t="s">
        <v>219</v>
      </c>
    </row>
    <row r="414" spans="1:20">
      <c r="A414" s="54">
        <f t="shared" si="16"/>
        <v>413</v>
      </c>
      <c r="B414" s="152" t="s">
        <v>2</v>
      </c>
      <c r="C414" s="50" t="s">
        <v>490</v>
      </c>
      <c r="H414">
        <v>1</v>
      </c>
      <c r="I414" s="129">
        <v>2</v>
      </c>
      <c r="J414" s="55">
        <f>I413*H413</f>
        <v>3</v>
      </c>
      <c r="M414">
        <v>1</v>
      </c>
      <c r="O414" t="s">
        <v>57</v>
      </c>
      <c r="P414" s="116" t="s">
        <v>64</v>
      </c>
      <c r="R414" s="50" t="s">
        <v>77</v>
      </c>
      <c r="S414" s="47">
        <v>46192</v>
      </c>
      <c r="T414" t="s">
        <v>219</v>
      </c>
    </row>
    <row r="415" spans="1:20">
      <c r="A415" s="54">
        <f t="shared" si="16"/>
        <v>414</v>
      </c>
      <c r="B415" s="152" t="s">
        <v>7</v>
      </c>
      <c r="C415" s="50" t="s">
        <v>491</v>
      </c>
      <c r="H415">
        <v>1</v>
      </c>
      <c r="I415" s="129">
        <v>2</v>
      </c>
      <c r="J415" s="55">
        <f t="shared" ref="J415:J459" si="20">I415*H415</f>
        <v>2</v>
      </c>
      <c r="M415">
        <v>1</v>
      </c>
      <c r="O415" s="134" t="s">
        <v>492</v>
      </c>
      <c r="P415" s="116" t="s">
        <v>64</v>
      </c>
      <c r="R415" s="50" t="s">
        <v>77</v>
      </c>
      <c r="S415" s="47">
        <v>46192</v>
      </c>
      <c r="T415" t="s">
        <v>219</v>
      </c>
    </row>
    <row r="416" spans="1:20" ht="30">
      <c r="A416" s="54">
        <f t="shared" si="16"/>
        <v>415</v>
      </c>
      <c r="B416" s="152" t="s">
        <v>3</v>
      </c>
      <c r="C416" s="135" t="s">
        <v>493</v>
      </c>
      <c r="F416">
        <v>8</v>
      </c>
      <c r="G416">
        <v>0</v>
      </c>
      <c r="H416">
        <v>1</v>
      </c>
      <c r="I416" s="129">
        <v>0</v>
      </c>
      <c r="J416" s="55">
        <f t="shared" si="20"/>
        <v>0</v>
      </c>
      <c r="O416" t="s">
        <v>85</v>
      </c>
      <c r="P416" s="116" t="s">
        <v>43</v>
      </c>
      <c r="R416" s="50" t="s">
        <v>99</v>
      </c>
      <c r="S416" s="47">
        <v>46192</v>
      </c>
      <c r="T416" t="s">
        <v>219</v>
      </c>
    </row>
    <row r="417" spans="1:20">
      <c r="A417" s="54">
        <f t="shared" si="16"/>
        <v>416</v>
      </c>
      <c r="B417" s="152" t="s">
        <v>3</v>
      </c>
      <c r="C417" s="50" t="s">
        <v>494</v>
      </c>
      <c r="H417">
        <v>1</v>
      </c>
      <c r="I417" s="129">
        <v>2</v>
      </c>
      <c r="J417" s="55">
        <f t="shared" si="20"/>
        <v>2</v>
      </c>
      <c r="M417">
        <v>1</v>
      </c>
      <c r="O417" s="134" t="s">
        <v>57</v>
      </c>
      <c r="P417" s="116" t="s">
        <v>43</v>
      </c>
      <c r="R417" s="50" t="s">
        <v>77</v>
      </c>
      <c r="S417" s="47">
        <v>46192</v>
      </c>
      <c r="T417" t="s">
        <v>219</v>
      </c>
    </row>
    <row r="418" spans="1:20">
      <c r="A418" s="54">
        <f t="shared" si="16"/>
        <v>417</v>
      </c>
      <c r="B418" s="152" t="s">
        <v>7</v>
      </c>
      <c r="C418" s="50" t="s">
        <v>495</v>
      </c>
      <c r="H418">
        <v>1</v>
      </c>
      <c r="I418" s="129">
        <v>3</v>
      </c>
      <c r="J418" s="55">
        <f t="shared" si="20"/>
        <v>3</v>
      </c>
      <c r="M418">
        <v>1</v>
      </c>
      <c r="O418" t="s">
        <v>108</v>
      </c>
      <c r="P418" s="116" t="s">
        <v>64</v>
      </c>
      <c r="R418" s="50" t="s">
        <v>77</v>
      </c>
      <c r="S418" s="47">
        <v>46192</v>
      </c>
      <c r="T418" t="s">
        <v>219</v>
      </c>
    </row>
    <row r="419" spans="1:20">
      <c r="A419" s="54">
        <f t="shared" ref="A419:A482" si="21">A418+1</f>
        <v>418</v>
      </c>
      <c r="B419" s="152" t="s">
        <v>4</v>
      </c>
      <c r="C419" s="50" t="s">
        <v>496</v>
      </c>
      <c r="H419">
        <v>1</v>
      </c>
      <c r="I419" s="129">
        <v>3</v>
      </c>
      <c r="J419" s="55">
        <f t="shared" si="20"/>
        <v>3</v>
      </c>
      <c r="M419">
        <v>1</v>
      </c>
      <c r="O419" s="134" t="s">
        <v>124</v>
      </c>
      <c r="P419" s="116" t="s">
        <v>64</v>
      </c>
      <c r="R419" s="50" t="s">
        <v>99</v>
      </c>
      <c r="S419" s="47">
        <v>46192</v>
      </c>
      <c r="T419" t="s">
        <v>219</v>
      </c>
    </row>
    <row r="420" spans="1:20">
      <c r="A420" s="54">
        <f t="shared" si="21"/>
        <v>419</v>
      </c>
      <c r="B420" s="152" t="s">
        <v>2</v>
      </c>
      <c r="C420" s="50" t="s">
        <v>497</v>
      </c>
      <c r="H420">
        <v>1</v>
      </c>
      <c r="I420" s="129">
        <v>1</v>
      </c>
      <c r="J420" s="55">
        <f t="shared" si="20"/>
        <v>1</v>
      </c>
      <c r="M420">
        <v>1</v>
      </c>
      <c r="O420" t="s">
        <v>108</v>
      </c>
      <c r="P420" s="116" t="s">
        <v>43</v>
      </c>
      <c r="R420" s="50" t="s">
        <v>77</v>
      </c>
      <c r="S420" s="47">
        <v>46192</v>
      </c>
      <c r="T420" t="s">
        <v>219</v>
      </c>
    </row>
    <row r="421" spans="1:20">
      <c r="A421" s="54">
        <f t="shared" si="21"/>
        <v>420</v>
      </c>
      <c r="B421" s="152" t="s">
        <v>5</v>
      </c>
      <c r="C421" s="50" t="s">
        <v>498</v>
      </c>
      <c r="H421">
        <v>1</v>
      </c>
      <c r="I421" s="129">
        <v>2</v>
      </c>
      <c r="J421" s="55">
        <f t="shared" si="20"/>
        <v>2</v>
      </c>
      <c r="M421">
        <v>1</v>
      </c>
      <c r="O421" s="134" t="s">
        <v>124</v>
      </c>
      <c r="P421" s="116" t="s">
        <v>64</v>
      </c>
      <c r="R421" s="50" t="s">
        <v>99</v>
      </c>
      <c r="S421" s="47">
        <v>46192</v>
      </c>
      <c r="T421" t="s">
        <v>219</v>
      </c>
    </row>
    <row r="422" spans="1:20">
      <c r="A422" s="54">
        <f t="shared" si="21"/>
        <v>421</v>
      </c>
      <c r="B422" s="152" t="s">
        <v>5</v>
      </c>
      <c r="C422" s="135" t="s">
        <v>499</v>
      </c>
      <c r="H422">
        <v>1</v>
      </c>
      <c r="I422" s="129">
        <v>3</v>
      </c>
      <c r="J422" s="55">
        <f t="shared" si="20"/>
        <v>3</v>
      </c>
      <c r="M422">
        <v>1</v>
      </c>
      <c r="O422" t="s">
        <v>69</v>
      </c>
      <c r="P422" s="116" t="s">
        <v>43</v>
      </c>
      <c r="Q422" t="s">
        <v>427</v>
      </c>
      <c r="R422" s="50" t="s">
        <v>99</v>
      </c>
      <c r="S422" s="47">
        <v>46192</v>
      </c>
      <c r="T422" t="s">
        <v>219</v>
      </c>
    </row>
    <row r="423" spans="1:20">
      <c r="A423" s="54">
        <f t="shared" si="21"/>
        <v>422</v>
      </c>
      <c r="B423" s="152" t="s">
        <v>6</v>
      </c>
      <c r="C423" s="8" t="s">
        <v>500</v>
      </c>
      <c r="D423" s="8"/>
      <c r="E423" s="8"/>
      <c r="F423" s="8">
        <v>14</v>
      </c>
      <c r="G423" s="8">
        <v>0</v>
      </c>
      <c r="H423" s="8">
        <v>1</v>
      </c>
      <c r="I423" s="8">
        <v>3</v>
      </c>
      <c r="J423" s="55">
        <f t="shared" si="20"/>
        <v>3</v>
      </c>
      <c r="K423" s="8"/>
      <c r="L423" s="8"/>
      <c r="M423" s="8">
        <v>1</v>
      </c>
      <c r="N423" s="8"/>
      <c r="O423" s="8" t="s">
        <v>492</v>
      </c>
      <c r="P423" s="8" t="s">
        <v>64</v>
      </c>
      <c r="R423" s="8" t="s">
        <v>77</v>
      </c>
      <c r="S423" s="47">
        <v>46193</v>
      </c>
      <c r="T423" t="s">
        <v>219</v>
      </c>
    </row>
    <row r="424" spans="1:20">
      <c r="A424" s="54">
        <f t="shared" si="21"/>
        <v>423</v>
      </c>
      <c r="B424" s="152" t="s">
        <v>5</v>
      </c>
      <c r="C424" s="8" t="s">
        <v>501</v>
      </c>
      <c r="D424" s="8"/>
      <c r="E424" s="8"/>
      <c r="F424" s="8">
        <v>0</v>
      </c>
      <c r="G424" s="8">
        <v>0</v>
      </c>
      <c r="H424" s="8">
        <v>1</v>
      </c>
      <c r="I424" s="8">
        <v>3</v>
      </c>
      <c r="J424" s="55">
        <f t="shared" si="20"/>
        <v>3</v>
      </c>
      <c r="K424" s="8"/>
      <c r="L424" s="8"/>
      <c r="M424" s="8">
        <v>1</v>
      </c>
      <c r="N424" s="8"/>
      <c r="O424" s="8" t="s">
        <v>108</v>
      </c>
      <c r="P424" s="8" t="s">
        <v>64</v>
      </c>
      <c r="R424" s="8" t="s">
        <v>77</v>
      </c>
      <c r="S424" s="47">
        <v>46193</v>
      </c>
      <c r="T424" t="s">
        <v>219</v>
      </c>
    </row>
    <row r="425" spans="1:20">
      <c r="A425" s="54">
        <f t="shared" si="21"/>
        <v>424</v>
      </c>
      <c r="B425" s="152" t="s">
        <v>7</v>
      </c>
      <c r="C425" s="8" t="s">
        <v>502</v>
      </c>
      <c r="D425" s="8"/>
      <c r="E425" s="8"/>
      <c r="F425" s="8">
        <v>0</v>
      </c>
      <c r="G425" s="8">
        <v>0</v>
      </c>
      <c r="H425" s="8">
        <v>1</v>
      </c>
      <c r="I425" s="8">
        <v>2</v>
      </c>
      <c r="J425" s="55">
        <f t="shared" si="20"/>
        <v>2</v>
      </c>
      <c r="K425" s="8"/>
      <c r="L425" s="8"/>
      <c r="M425" s="8">
        <v>1</v>
      </c>
      <c r="N425" s="8"/>
      <c r="O425" s="8" t="s">
        <v>492</v>
      </c>
      <c r="P425" s="8" t="s">
        <v>64</v>
      </c>
      <c r="R425" s="8" t="s">
        <v>77</v>
      </c>
      <c r="S425" s="47">
        <v>46193</v>
      </c>
      <c r="T425" t="s">
        <v>219</v>
      </c>
    </row>
    <row r="426" spans="1:20">
      <c r="A426" s="54">
        <f t="shared" si="21"/>
        <v>425</v>
      </c>
      <c r="B426" s="152" t="s">
        <v>9</v>
      </c>
      <c r="C426" s="8" t="s">
        <v>503</v>
      </c>
      <c r="D426" s="8"/>
      <c r="E426" s="8"/>
      <c r="F426" s="8">
        <v>4</v>
      </c>
      <c r="G426" s="8">
        <v>1</v>
      </c>
      <c r="H426" s="8">
        <v>1</v>
      </c>
      <c r="I426" s="8">
        <v>3</v>
      </c>
      <c r="J426" s="55">
        <f t="shared" si="20"/>
        <v>3</v>
      </c>
      <c r="K426" s="8"/>
      <c r="L426" s="8"/>
      <c r="M426" s="8"/>
      <c r="N426" s="8">
        <v>1</v>
      </c>
      <c r="O426" s="8" t="s">
        <v>42</v>
      </c>
      <c r="P426" s="8" t="s">
        <v>64</v>
      </c>
      <c r="R426" s="8" t="s">
        <v>97</v>
      </c>
      <c r="S426" s="47">
        <v>46193</v>
      </c>
      <c r="T426" t="s">
        <v>219</v>
      </c>
    </row>
    <row r="427" spans="1:20">
      <c r="A427" s="54">
        <f t="shared" si="21"/>
        <v>426</v>
      </c>
      <c r="B427" s="152" t="s">
        <v>4</v>
      </c>
      <c r="C427" s="8" t="s">
        <v>504</v>
      </c>
      <c r="D427" s="8"/>
      <c r="E427" s="8"/>
      <c r="F427" s="8">
        <v>3</v>
      </c>
      <c r="G427" s="8">
        <v>5</v>
      </c>
      <c r="H427" s="8">
        <v>1</v>
      </c>
      <c r="I427" s="8">
        <v>3</v>
      </c>
      <c r="J427" s="55">
        <f t="shared" si="20"/>
        <v>3</v>
      </c>
      <c r="K427" s="8"/>
      <c r="L427" s="8"/>
      <c r="M427" s="8"/>
      <c r="N427" s="8">
        <v>1</v>
      </c>
      <c r="O427" s="8" t="s">
        <v>42</v>
      </c>
      <c r="P427" s="8" t="s">
        <v>43</v>
      </c>
      <c r="R427" s="8" t="s">
        <v>97</v>
      </c>
      <c r="S427" s="47">
        <v>46193</v>
      </c>
      <c r="T427" t="s">
        <v>219</v>
      </c>
    </row>
    <row r="428" spans="1:20">
      <c r="A428" s="54">
        <f t="shared" si="21"/>
        <v>427</v>
      </c>
      <c r="B428" s="152" t="s">
        <v>5</v>
      </c>
      <c r="C428" s="8" t="s">
        <v>505</v>
      </c>
      <c r="D428" s="8"/>
      <c r="E428" s="8"/>
      <c r="F428" s="8">
        <v>0</v>
      </c>
      <c r="G428" s="8">
        <v>0</v>
      </c>
      <c r="H428" s="8">
        <v>1</v>
      </c>
      <c r="I428" s="8">
        <v>2</v>
      </c>
      <c r="J428" s="55">
        <f t="shared" si="20"/>
        <v>2</v>
      </c>
      <c r="K428" s="8"/>
      <c r="L428" s="8"/>
      <c r="M428" s="8">
        <v>1</v>
      </c>
      <c r="N428" s="8"/>
      <c r="O428" s="8" t="s">
        <v>69</v>
      </c>
      <c r="P428" s="8" t="s">
        <v>64</v>
      </c>
      <c r="Q428" t="s">
        <v>506</v>
      </c>
      <c r="R428" s="8" t="s">
        <v>97</v>
      </c>
      <c r="S428" s="47">
        <v>46193</v>
      </c>
      <c r="T428" t="s">
        <v>219</v>
      </c>
    </row>
    <row r="429" spans="1:20">
      <c r="A429" s="54">
        <f t="shared" si="21"/>
        <v>428</v>
      </c>
      <c r="B429" s="152" t="s">
        <v>4</v>
      </c>
      <c r="C429" s="8" t="s">
        <v>507</v>
      </c>
      <c r="D429" s="8"/>
      <c r="E429" s="8"/>
      <c r="F429" s="8">
        <v>0</v>
      </c>
      <c r="G429" s="8">
        <v>0</v>
      </c>
      <c r="H429" s="8">
        <v>1</v>
      </c>
      <c r="I429" s="8">
        <v>2</v>
      </c>
      <c r="J429" s="55">
        <f t="shared" si="20"/>
        <v>2</v>
      </c>
      <c r="K429" s="8"/>
      <c r="L429" s="8"/>
      <c r="M429" s="8">
        <v>1</v>
      </c>
      <c r="N429" s="8"/>
      <c r="O429" s="8" t="s">
        <v>69</v>
      </c>
      <c r="P429" s="8" t="s">
        <v>64</v>
      </c>
      <c r="Q429" t="s">
        <v>506</v>
      </c>
      <c r="R429" s="8" t="s">
        <v>97</v>
      </c>
      <c r="S429" s="47">
        <v>46193</v>
      </c>
      <c r="T429" t="s">
        <v>219</v>
      </c>
    </row>
    <row r="430" spans="1:20">
      <c r="A430" s="54">
        <f t="shared" si="21"/>
        <v>429</v>
      </c>
      <c r="B430" s="152" t="s">
        <v>2</v>
      </c>
      <c r="C430" s="134" t="s">
        <v>508</v>
      </c>
      <c r="F430" s="8">
        <v>10</v>
      </c>
      <c r="G430" s="8">
        <v>1</v>
      </c>
      <c r="H430" s="8">
        <v>1</v>
      </c>
      <c r="I430" s="8">
        <v>3</v>
      </c>
      <c r="J430" s="55">
        <f t="shared" si="20"/>
        <v>3</v>
      </c>
      <c r="M430" s="8">
        <v>1</v>
      </c>
      <c r="O430" s="8" t="s">
        <v>42</v>
      </c>
      <c r="P430" s="8" t="s">
        <v>64</v>
      </c>
      <c r="R430" s="8" t="s">
        <v>44</v>
      </c>
      <c r="S430" s="47">
        <v>46193</v>
      </c>
      <c r="T430" t="s">
        <v>219</v>
      </c>
    </row>
    <row r="431" spans="1:20">
      <c r="A431" s="54">
        <f t="shared" si="21"/>
        <v>430</v>
      </c>
      <c r="B431" s="152" t="s">
        <v>2</v>
      </c>
      <c r="C431" s="134" t="s">
        <v>509</v>
      </c>
      <c r="F431" s="8">
        <v>1</v>
      </c>
      <c r="G431" s="8">
        <v>1</v>
      </c>
      <c r="H431" s="8">
        <v>1</v>
      </c>
      <c r="I431" s="8">
        <v>3</v>
      </c>
      <c r="J431" s="55">
        <f t="shared" si="20"/>
        <v>3</v>
      </c>
      <c r="N431">
        <v>1</v>
      </c>
      <c r="O431" s="134" t="s">
        <v>42</v>
      </c>
      <c r="P431" s="8" t="s">
        <v>64</v>
      </c>
      <c r="R431" s="8" t="s">
        <v>44</v>
      </c>
      <c r="S431" s="47">
        <v>46193</v>
      </c>
      <c r="T431" t="s">
        <v>219</v>
      </c>
    </row>
    <row r="432" spans="1:20">
      <c r="A432" s="54">
        <f t="shared" si="21"/>
        <v>431</v>
      </c>
      <c r="B432" s="152" t="s">
        <v>5</v>
      </c>
      <c r="C432" t="s">
        <v>510</v>
      </c>
      <c r="F432" s="8">
        <v>1</v>
      </c>
      <c r="G432" s="8">
        <v>1</v>
      </c>
      <c r="H432" s="8">
        <v>1</v>
      </c>
      <c r="I432" s="8">
        <v>3</v>
      </c>
      <c r="J432" s="55">
        <f t="shared" si="20"/>
        <v>3</v>
      </c>
      <c r="O432" s="8" t="s">
        <v>492</v>
      </c>
      <c r="P432" s="8" t="s">
        <v>43</v>
      </c>
      <c r="R432" s="8" t="s">
        <v>77</v>
      </c>
      <c r="S432" s="47">
        <v>46193</v>
      </c>
      <c r="T432" t="s">
        <v>219</v>
      </c>
    </row>
    <row r="433" spans="1:20">
      <c r="A433" s="54">
        <f t="shared" si="21"/>
        <v>432</v>
      </c>
      <c r="B433" s="152" t="s">
        <v>7</v>
      </c>
      <c r="C433" t="s">
        <v>511</v>
      </c>
      <c r="H433" s="8">
        <v>1</v>
      </c>
      <c r="I433" s="8">
        <v>2</v>
      </c>
      <c r="J433" s="55">
        <f t="shared" si="20"/>
        <v>2</v>
      </c>
      <c r="M433" s="8">
        <v>1</v>
      </c>
      <c r="O433" s="8" t="s">
        <v>492</v>
      </c>
      <c r="P433" s="8" t="s">
        <v>64</v>
      </c>
      <c r="R433" s="8" t="s">
        <v>99</v>
      </c>
      <c r="S433" s="47">
        <v>46193</v>
      </c>
      <c r="T433" t="s">
        <v>219</v>
      </c>
    </row>
    <row r="434" spans="1:20">
      <c r="A434" s="54">
        <f t="shared" si="21"/>
        <v>433</v>
      </c>
      <c r="B434" s="152" t="s">
        <v>3</v>
      </c>
      <c r="C434" s="8" t="s">
        <v>512</v>
      </c>
      <c r="D434" s="8"/>
      <c r="E434" s="8"/>
      <c r="F434" s="8">
        <v>7</v>
      </c>
      <c r="G434" s="8">
        <v>2</v>
      </c>
      <c r="H434" s="8">
        <v>1</v>
      </c>
      <c r="I434" s="8">
        <v>3</v>
      </c>
      <c r="J434" s="55">
        <f t="shared" si="20"/>
        <v>3</v>
      </c>
      <c r="K434" s="8"/>
      <c r="L434" s="8">
        <v>1</v>
      </c>
      <c r="M434" s="8"/>
      <c r="N434" s="8">
        <v>1</v>
      </c>
      <c r="O434" s="8" t="s">
        <v>57</v>
      </c>
      <c r="P434" s="8" t="s">
        <v>43</v>
      </c>
      <c r="R434" s="8" t="s">
        <v>97</v>
      </c>
      <c r="S434" s="47">
        <v>46194</v>
      </c>
      <c r="T434" t="s">
        <v>219</v>
      </c>
    </row>
    <row r="435" spans="1:20">
      <c r="A435" s="54">
        <f t="shared" si="21"/>
        <v>434</v>
      </c>
      <c r="B435" s="152" t="s">
        <v>12</v>
      </c>
      <c r="C435" s="8" t="s">
        <v>513</v>
      </c>
      <c r="D435" s="8"/>
      <c r="E435" s="8"/>
      <c r="F435" s="8">
        <v>0</v>
      </c>
      <c r="G435" s="8">
        <v>0</v>
      </c>
      <c r="H435" s="8">
        <v>1</v>
      </c>
      <c r="I435" s="8">
        <v>3</v>
      </c>
      <c r="J435" s="55">
        <f t="shared" si="20"/>
        <v>3</v>
      </c>
      <c r="K435" s="8"/>
      <c r="L435" s="8"/>
      <c r="M435" s="8">
        <v>1</v>
      </c>
      <c r="N435" s="8"/>
      <c r="O435" s="8" t="s">
        <v>92</v>
      </c>
      <c r="P435" s="8" t="s">
        <v>64</v>
      </c>
      <c r="R435" s="8" t="s">
        <v>97</v>
      </c>
      <c r="S435" s="47">
        <v>46194</v>
      </c>
      <c r="T435" t="s">
        <v>219</v>
      </c>
    </row>
    <row r="436" spans="1:20">
      <c r="A436" s="54">
        <f t="shared" si="21"/>
        <v>435</v>
      </c>
      <c r="B436" s="152" t="s">
        <v>3</v>
      </c>
      <c r="C436" s="8" t="s">
        <v>514</v>
      </c>
      <c r="D436" s="8"/>
      <c r="E436" s="8"/>
      <c r="F436" s="8">
        <v>2</v>
      </c>
      <c r="G436" s="8">
        <v>1</v>
      </c>
      <c r="H436" s="8">
        <v>1</v>
      </c>
      <c r="I436" s="8">
        <v>2</v>
      </c>
      <c r="J436" s="55">
        <f t="shared" si="20"/>
        <v>2</v>
      </c>
      <c r="K436" s="8"/>
      <c r="L436" s="8">
        <v>1</v>
      </c>
      <c r="M436" s="8">
        <v>1</v>
      </c>
      <c r="N436" s="8">
        <v>1</v>
      </c>
      <c r="O436" s="8" t="s">
        <v>108</v>
      </c>
      <c r="P436" s="8" t="s">
        <v>43</v>
      </c>
      <c r="R436" s="8" t="s">
        <v>99</v>
      </c>
      <c r="S436" s="47">
        <v>46195</v>
      </c>
      <c r="T436" t="s">
        <v>219</v>
      </c>
    </row>
    <row r="437" spans="1:20">
      <c r="A437" s="54">
        <f t="shared" si="21"/>
        <v>436</v>
      </c>
      <c r="B437" s="152" t="s">
        <v>2</v>
      </c>
      <c r="C437" s="8" t="s">
        <v>515</v>
      </c>
      <c r="D437" s="8"/>
      <c r="E437" s="8"/>
      <c r="F437" s="8">
        <v>7</v>
      </c>
      <c r="G437" s="8">
        <v>0</v>
      </c>
      <c r="H437" s="8">
        <v>1</v>
      </c>
      <c r="I437" s="8">
        <v>2</v>
      </c>
      <c r="J437" s="55">
        <f t="shared" si="20"/>
        <v>2</v>
      </c>
      <c r="K437" s="8"/>
      <c r="L437" s="8"/>
      <c r="M437" s="8">
        <v>1</v>
      </c>
      <c r="N437" s="8"/>
      <c r="O437" s="8" t="s">
        <v>516</v>
      </c>
      <c r="P437" s="8" t="s">
        <v>64</v>
      </c>
      <c r="R437" s="8" t="s">
        <v>44</v>
      </c>
      <c r="S437" s="47">
        <v>46195</v>
      </c>
      <c r="T437" t="s">
        <v>219</v>
      </c>
    </row>
    <row r="438" spans="1:20">
      <c r="A438" s="54">
        <f t="shared" si="21"/>
        <v>437</v>
      </c>
      <c r="B438" s="152" t="s">
        <v>5</v>
      </c>
      <c r="C438" s="18" t="s">
        <v>517</v>
      </c>
      <c r="D438" s="8"/>
      <c r="E438" s="8"/>
      <c r="F438" s="8">
        <v>0</v>
      </c>
      <c r="G438" s="8">
        <v>0</v>
      </c>
      <c r="H438" s="8">
        <v>1</v>
      </c>
      <c r="I438" s="8">
        <v>3</v>
      </c>
      <c r="J438" s="55">
        <f t="shared" si="20"/>
        <v>3</v>
      </c>
      <c r="K438" s="8"/>
      <c r="L438" s="8"/>
      <c r="M438" s="8">
        <v>1</v>
      </c>
      <c r="N438" s="8"/>
      <c r="O438" s="8" t="s">
        <v>69</v>
      </c>
      <c r="P438" s="8" t="s">
        <v>64</v>
      </c>
      <c r="Q438" t="s">
        <v>102</v>
      </c>
      <c r="R438" s="8" t="s">
        <v>44</v>
      </c>
      <c r="S438" s="47">
        <v>46195</v>
      </c>
      <c r="T438" t="s">
        <v>219</v>
      </c>
    </row>
    <row r="439" spans="1:20">
      <c r="A439" s="54">
        <f t="shared" si="21"/>
        <v>438</v>
      </c>
      <c r="B439" s="152" t="s">
        <v>6</v>
      </c>
      <c r="C439" s="8" t="s">
        <v>518</v>
      </c>
      <c r="D439" s="8"/>
      <c r="E439" s="8"/>
      <c r="F439" s="8">
        <v>0</v>
      </c>
      <c r="G439" s="8">
        <v>0</v>
      </c>
      <c r="H439" s="8">
        <v>1</v>
      </c>
      <c r="I439" s="8">
        <v>3</v>
      </c>
      <c r="J439" s="55">
        <f t="shared" si="20"/>
        <v>3</v>
      </c>
      <c r="K439" s="8"/>
      <c r="L439" s="8"/>
      <c r="M439" s="8">
        <v>1</v>
      </c>
      <c r="N439" s="8"/>
      <c r="O439" s="8" t="s">
        <v>69</v>
      </c>
      <c r="P439" s="8" t="s">
        <v>64</v>
      </c>
      <c r="Q439" t="s">
        <v>314</v>
      </c>
      <c r="R439" s="8" t="s">
        <v>44</v>
      </c>
      <c r="S439" s="47">
        <v>46195</v>
      </c>
      <c r="T439" t="s">
        <v>219</v>
      </c>
    </row>
    <row r="440" spans="1:20">
      <c r="A440" s="54">
        <f t="shared" si="21"/>
        <v>439</v>
      </c>
      <c r="B440" s="152" t="s">
        <v>7</v>
      </c>
      <c r="C440" s="8" t="s">
        <v>519</v>
      </c>
      <c r="D440" s="8"/>
      <c r="E440" s="8"/>
      <c r="F440" s="8">
        <v>0</v>
      </c>
      <c r="G440" s="8">
        <v>0</v>
      </c>
      <c r="H440" s="8">
        <v>1</v>
      </c>
      <c r="I440" s="8">
        <v>2</v>
      </c>
      <c r="J440" s="55">
        <f t="shared" si="20"/>
        <v>2</v>
      </c>
      <c r="K440" s="8"/>
      <c r="L440" s="8"/>
      <c r="M440" s="8">
        <v>1</v>
      </c>
      <c r="N440" s="8"/>
      <c r="O440" s="8" t="s">
        <v>42</v>
      </c>
      <c r="P440" s="8" t="s">
        <v>64</v>
      </c>
      <c r="R440" s="8" t="s">
        <v>44</v>
      </c>
      <c r="S440" s="47">
        <v>46195</v>
      </c>
      <c r="T440" t="s">
        <v>219</v>
      </c>
    </row>
    <row r="441" spans="1:20">
      <c r="A441" s="54">
        <f t="shared" si="21"/>
        <v>440</v>
      </c>
      <c r="B441" s="152" t="s">
        <v>5</v>
      </c>
      <c r="C441" s="8" t="s">
        <v>520</v>
      </c>
      <c r="D441" s="8"/>
      <c r="E441" s="8"/>
      <c r="F441" s="8">
        <v>0</v>
      </c>
      <c r="G441" s="8">
        <v>0</v>
      </c>
      <c r="H441" s="8">
        <v>1</v>
      </c>
      <c r="I441" s="8">
        <v>3</v>
      </c>
      <c r="J441" s="55">
        <f t="shared" si="20"/>
        <v>3</v>
      </c>
      <c r="K441" s="8"/>
      <c r="L441" s="8"/>
      <c r="M441" s="8">
        <v>1</v>
      </c>
      <c r="N441" s="8"/>
      <c r="O441" s="8" t="s">
        <v>66</v>
      </c>
      <c r="P441" s="8" t="s">
        <v>64</v>
      </c>
      <c r="R441" s="8" t="s">
        <v>44</v>
      </c>
      <c r="S441" s="47">
        <v>46195</v>
      </c>
      <c r="T441" t="s">
        <v>219</v>
      </c>
    </row>
    <row r="442" spans="1:20">
      <c r="A442" s="54">
        <f t="shared" si="21"/>
        <v>441</v>
      </c>
      <c r="B442" s="152" t="s">
        <v>6</v>
      </c>
      <c r="C442" s="8" t="s">
        <v>521</v>
      </c>
      <c r="D442" s="8"/>
      <c r="E442" s="8"/>
      <c r="F442" s="8">
        <v>0</v>
      </c>
      <c r="G442" s="8">
        <v>0</v>
      </c>
      <c r="H442" s="8">
        <v>1</v>
      </c>
      <c r="I442" s="8">
        <v>3</v>
      </c>
      <c r="J442" s="55">
        <f t="shared" si="20"/>
        <v>3</v>
      </c>
      <c r="K442" s="8"/>
      <c r="L442" s="8"/>
      <c r="M442" s="8">
        <v>1</v>
      </c>
      <c r="N442" s="8"/>
      <c r="O442" s="8" t="s">
        <v>42</v>
      </c>
      <c r="P442" s="8" t="s">
        <v>64</v>
      </c>
      <c r="R442" s="8" t="s">
        <v>44</v>
      </c>
      <c r="S442" s="47">
        <v>46195</v>
      </c>
      <c r="T442" t="s">
        <v>219</v>
      </c>
    </row>
    <row r="443" spans="1:20">
      <c r="A443" s="54">
        <f t="shared" si="21"/>
        <v>442</v>
      </c>
      <c r="B443" s="152" t="s">
        <v>3</v>
      </c>
      <c r="C443" s="8" t="s">
        <v>522</v>
      </c>
      <c r="D443" s="8"/>
      <c r="E443" s="8"/>
      <c r="F443" s="8">
        <v>8</v>
      </c>
      <c r="G443" s="8">
        <v>0</v>
      </c>
      <c r="H443" s="8">
        <v>1</v>
      </c>
      <c r="I443" s="8">
        <v>0</v>
      </c>
      <c r="J443" s="55">
        <f t="shared" si="20"/>
        <v>0</v>
      </c>
      <c r="K443" s="8"/>
      <c r="L443" s="8"/>
      <c r="M443" s="8"/>
      <c r="N443" s="8">
        <v>1</v>
      </c>
      <c r="O443" s="8" t="s">
        <v>523</v>
      </c>
      <c r="P443" s="8" t="s">
        <v>43</v>
      </c>
      <c r="R443" s="8" t="s">
        <v>44</v>
      </c>
      <c r="S443" s="47">
        <v>46195</v>
      </c>
      <c r="T443" t="s">
        <v>219</v>
      </c>
    </row>
    <row r="444" spans="1:20">
      <c r="A444" s="54">
        <f t="shared" si="21"/>
        <v>443</v>
      </c>
      <c r="B444" s="152" t="s">
        <v>2</v>
      </c>
      <c r="C444" s="8" t="s">
        <v>524</v>
      </c>
      <c r="D444" s="8"/>
      <c r="E444" s="8"/>
      <c r="F444" s="8">
        <v>0</v>
      </c>
      <c r="G444" s="8">
        <v>0</v>
      </c>
      <c r="H444" s="8">
        <v>1</v>
      </c>
      <c r="I444" s="8">
        <v>4</v>
      </c>
      <c r="J444" s="55">
        <f t="shared" si="20"/>
        <v>4</v>
      </c>
      <c r="K444" s="8">
        <v>1</v>
      </c>
      <c r="L444" s="8"/>
      <c r="M444" s="8">
        <v>1</v>
      </c>
      <c r="N444" s="8"/>
      <c r="O444" s="8" t="s">
        <v>42</v>
      </c>
      <c r="P444" s="8" t="s">
        <v>43</v>
      </c>
      <c r="R444" s="8" t="s">
        <v>44</v>
      </c>
      <c r="S444" s="47">
        <v>46195</v>
      </c>
      <c r="T444" t="s">
        <v>219</v>
      </c>
    </row>
    <row r="445" spans="1:20">
      <c r="A445" s="54">
        <f t="shared" si="21"/>
        <v>444</v>
      </c>
      <c r="B445" s="152" t="s">
        <v>6</v>
      </c>
      <c r="C445" s="8" t="s">
        <v>525</v>
      </c>
      <c r="D445" s="8"/>
      <c r="E445" s="8"/>
      <c r="F445" s="8">
        <v>0</v>
      </c>
      <c r="G445" s="8">
        <v>0</v>
      </c>
      <c r="H445" s="8">
        <v>1</v>
      </c>
      <c r="I445" s="8">
        <v>3</v>
      </c>
      <c r="J445" s="55">
        <f t="shared" si="20"/>
        <v>3</v>
      </c>
      <c r="K445" s="8"/>
      <c r="L445" s="8"/>
      <c r="M445" s="8">
        <v>1</v>
      </c>
      <c r="N445" s="8"/>
      <c r="O445" s="8" t="s">
        <v>42</v>
      </c>
      <c r="P445" s="8" t="s">
        <v>64</v>
      </c>
      <c r="R445" s="8" t="s">
        <v>44</v>
      </c>
      <c r="S445" s="47">
        <v>46195</v>
      </c>
      <c r="T445" t="s">
        <v>219</v>
      </c>
    </row>
    <row r="446" spans="1:20">
      <c r="A446" s="54">
        <f t="shared" si="21"/>
        <v>445</v>
      </c>
      <c r="B446" s="152" t="s">
        <v>4</v>
      </c>
      <c r="C446" s="73" t="s">
        <v>526</v>
      </c>
      <c r="D446" s="8"/>
      <c r="E446" s="8"/>
      <c r="F446" s="8">
        <v>0</v>
      </c>
      <c r="G446" s="8">
        <v>0</v>
      </c>
      <c r="H446" s="8">
        <v>1</v>
      </c>
      <c r="I446" s="8">
        <v>3</v>
      </c>
      <c r="J446" s="55">
        <f t="shared" si="20"/>
        <v>3</v>
      </c>
      <c r="K446" s="8"/>
      <c r="L446" s="8"/>
      <c r="M446" s="8">
        <v>1</v>
      </c>
      <c r="N446" s="8"/>
      <c r="O446" s="8" t="s">
        <v>42</v>
      </c>
      <c r="P446" s="8" t="s">
        <v>43</v>
      </c>
      <c r="R446" s="8" t="s">
        <v>44</v>
      </c>
      <c r="S446" s="47">
        <v>46195</v>
      </c>
      <c r="T446" t="s">
        <v>219</v>
      </c>
    </row>
    <row r="447" spans="1:20">
      <c r="A447" s="54">
        <f t="shared" si="21"/>
        <v>446</v>
      </c>
      <c r="B447" s="152" t="s">
        <v>2</v>
      </c>
      <c r="C447" s="8" t="s">
        <v>527</v>
      </c>
      <c r="D447" s="8"/>
      <c r="E447" s="8"/>
      <c r="F447" s="8">
        <v>12</v>
      </c>
      <c r="G447" s="8">
        <v>4</v>
      </c>
      <c r="H447" s="8">
        <v>1</v>
      </c>
      <c r="I447" s="8">
        <v>4</v>
      </c>
      <c r="J447" s="55">
        <f t="shared" si="20"/>
        <v>4</v>
      </c>
      <c r="K447" s="8">
        <v>1</v>
      </c>
      <c r="L447" s="8"/>
      <c r="M447" s="8"/>
      <c r="N447" s="8">
        <v>1</v>
      </c>
      <c r="O447" s="8" t="s">
        <v>57</v>
      </c>
      <c r="P447" s="8" t="s">
        <v>43</v>
      </c>
      <c r="R447" s="8" t="s">
        <v>44</v>
      </c>
      <c r="S447" s="47">
        <v>46195</v>
      </c>
      <c r="T447" t="s">
        <v>219</v>
      </c>
    </row>
    <row r="448" spans="1:20">
      <c r="A448" s="54">
        <f t="shared" si="21"/>
        <v>447</v>
      </c>
      <c r="B448" s="152" t="s">
        <v>2</v>
      </c>
      <c r="C448" s="8" t="s">
        <v>528</v>
      </c>
      <c r="D448" s="8"/>
      <c r="E448" s="8"/>
      <c r="F448" s="8">
        <v>0</v>
      </c>
      <c r="G448" s="8">
        <v>0</v>
      </c>
      <c r="H448" s="8">
        <v>1</v>
      </c>
      <c r="I448" s="8">
        <v>3</v>
      </c>
      <c r="J448" s="55">
        <f t="shared" si="20"/>
        <v>3</v>
      </c>
      <c r="K448" s="8"/>
      <c r="L448" s="8"/>
      <c r="M448" s="8">
        <v>1</v>
      </c>
      <c r="N448" s="8"/>
      <c r="O448" s="8" t="s">
        <v>42</v>
      </c>
      <c r="P448" s="8" t="s">
        <v>64</v>
      </c>
      <c r="R448" s="8" t="s">
        <v>44</v>
      </c>
      <c r="S448" s="47">
        <v>46195</v>
      </c>
      <c r="T448" t="s">
        <v>219</v>
      </c>
    </row>
    <row r="449" spans="1:20">
      <c r="A449" s="54">
        <f t="shared" si="21"/>
        <v>448</v>
      </c>
      <c r="B449" s="152" t="s">
        <v>8</v>
      </c>
      <c r="C449" s="8" t="s">
        <v>529</v>
      </c>
      <c r="D449" s="8"/>
      <c r="E449" s="8"/>
      <c r="F449" s="8">
        <v>1</v>
      </c>
      <c r="G449" s="8">
        <v>1</v>
      </c>
      <c r="H449" s="8">
        <v>1</v>
      </c>
      <c r="I449" s="8">
        <v>3</v>
      </c>
      <c r="J449" s="55">
        <f t="shared" si="20"/>
        <v>3</v>
      </c>
      <c r="K449" s="8"/>
      <c r="L449" s="8"/>
      <c r="M449" s="8">
        <v>1</v>
      </c>
      <c r="N449" s="8"/>
      <c r="O449" t="s">
        <v>85</v>
      </c>
      <c r="P449" s="8" t="s">
        <v>64</v>
      </c>
      <c r="R449" s="8" t="s">
        <v>99</v>
      </c>
      <c r="S449" s="47">
        <v>46195</v>
      </c>
      <c r="T449" t="s">
        <v>219</v>
      </c>
    </row>
    <row r="450" spans="1:20">
      <c r="A450" s="54">
        <f t="shared" si="21"/>
        <v>449</v>
      </c>
      <c r="B450" s="152" t="s">
        <v>2</v>
      </c>
      <c r="C450" s="8" t="s">
        <v>530</v>
      </c>
      <c r="D450" s="8"/>
      <c r="E450" s="8"/>
      <c r="F450" s="8">
        <v>1</v>
      </c>
      <c r="G450" s="8">
        <v>1</v>
      </c>
      <c r="H450" s="8">
        <v>1</v>
      </c>
      <c r="I450" s="8">
        <v>2</v>
      </c>
      <c r="J450" s="55">
        <f t="shared" si="20"/>
        <v>2</v>
      </c>
      <c r="K450" s="8"/>
      <c r="L450" s="8"/>
      <c r="M450" s="8">
        <v>1</v>
      </c>
      <c r="N450" s="8"/>
      <c r="O450" s="8" t="s">
        <v>69</v>
      </c>
      <c r="P450" s="8" t="s">
        <v>64</v>
      </c>
      <c r="R450" s="8" t="s">
        <v>77</v>
      </c>
      <c r="S450" s="47">
        <v>46195</v>
      </c>
      <c r="T450" t="s">
        <v>219</v>
      </c>
    </row>
    <row r="451" spans="1:20">
      <c r="A451" s="54">
        <f t="shared" si="21"/>
        <v>450</v>
      </c>
      <c r="B451" s="152" t="s">
        <v>6</v>
      </c>
      <c r="C451" s="163" t="s">
        <v>531</v>
      </c>
      <c r="D451" s="8"/>
      <c r="E451" s="8"/>
      <c r="F451" s="8">
        <v>1</v>
      </c>
      <c r="G451" s="8">
        <v>1</v>
      </c>
      <c r="H451" s="8">
        <v>1</v>
      </c>
      <c r="I451" s="8">
        <v>3</v>
      </c>
      <c r="J451" s="55">
        <f t="shared" si="20"/>
        <v>3</v>
      </c>
      <c r="K451" s="8"/>
      <c r="L451" s="8"/>
      <c r="M451" s="8">
        <v>1</v>
      </c>
      <c r="N451" s="8"/>
      <c r="O451" s="8" t="s">
        <v>69</v>
      </c>
      <c r="P451" s="8" t="s">
        <v>64</v>
      </c>
      <c r="Q451" t="s">
        <v>427</v>
      </c>
      <c r="R451" s="8" t="s">
        <v>99</v>
      </c>
      <c r="S451" s="47">
        <v>46195</v>
      </c>
      <c r="T451" t="s">
        <v>219</v>
      </c>
    </row>
    <row r="452" spans="1:20">
      <c r="A452" s="54">
        <f t="shared" si="21"/>
        <v>451</v>
      </c>
      <c r="B452" s="152" t="s">
        <v>4</v>
      </c>
      <c r="C452" s="140" t="s">
        <v>532</v>
      </c>
      <c r="D452" s="8"/>
      <c r="E452" s="8"/>
      <c r="F452" s="8">
        <v>3</v>
      </c>
      <c r="G452" s="8">
        <v>5</v>
      </c>
      <c r="H452" s="8">
        <v>1</v>
      </c>
      <c r="I452" s="8">
        <v>3</v>
      </c>
      <c r="J452" s="55">
        <f t="shared" si="20"/>
        <v>3</v>
      </c>
      <c r="K452" s="8"/>
      <c r="L452" s="8"/>
      <c r="M452" s="8"/>
      <c r="N452" s="8">
        <v>1</v>
      </c>
      <c r="O452" s="140" t="s">
        <v>124</v>
      </c>
      <c r="P452" s="8" t="s">
        <v>43</v>
      </c>
      <c r="R452" s="8" t="s">
        <v>99</v>
      </c>
      <c r="S452" s="47">
        <v>46195</v>
      </c>
      <c r="T452" t="s">
        <v>219</v>
      </c>
    </row>
    <row r="453" spans="1:20">
      <c r="A453" s="54">
        <f t="shared" si="21"/>
        <v>452</v>
      </c>
      <c r="B453" s="152" t="s">
        <v>4</v>
      </c>
      <c r="C453" s="140" t="s">
        <v>533</v>
      </c>
      <c r="D453" s="8"/>
      <c r="E453" s="8"/>
      <c r="F453" s="8">
        <v>0</v>
      </c>
      <c r="G453" s="8">
        <v>0</v>
      </c>
      <c r="H453" s="8">
        <v>1</v>
      </c>
      <c r="I453" s="8">
        <v>3</v>
      </c>
      <c r="J453" s="55">
        <f t="shared" si="20"/>
        <v>3</v>
      </c>
      <c r="K453" s="8"/>
      <c r="L453" s="8"/>
      <c r="M453" s="8">
        <v>1</v>
      </c>
      <c r="N453" s="8"/>
      <c r="O453" s="8" t="s">
        <v>124</v>
      </c>
      <c r="P453" s="8" t="s">
        <v>64</v>
      </c>
      <c r="R453" s="8" t="s">
        <v>99</v>
      </c>
      <c r="S453" s="47">
        <v>46195</v>
      </c>
      <c r="T453" t="s">
        <v>219</v>
      </c>
    </row>
    <row r="454" spans="1:20">
      <c r="A454" s="54">
        <f t="shared" si="21"/>
        <v>453</v>
      </c>
      <c r="B454" s="152" t="s">
        <v>5</v>
      </c>
      <c r="C454" s="140" t="s">
        <v>534</v>
      </c>
      <c r="D454" s="8"/>
      <c r="E454" s="8"/>
      <c r="F454" s="8">
        <v>0</v>
      </c>
      <c r="G454" s="8">
        <v>0</v>
      </c>
      <c r="H454" s="8">
        <v>1</v>
      </c>
      <c r="I454" s="8">
        <v>3</v>
      </c>
      <c r="J454" s="55">
        <f t="shared" si="20"/>
        <v>3</v>
      </c>
      <c r="K454" s="8"/>
      <c r="L454" s="8"/>
      <c r="M454" s="8">
        <v>1</v>
      </c>
      <c r="N454" s="8"/>
      <c r="O454" s="8" t="s">
        <v>69</v>
      </c>
      <c r="P454" s="8" t="s">
        <v>64</v>
      </c>
      <c r="Q454" t="s">
        <v>427</v>
      </c>
      <c r="R454" s="8" t="s">
        <v>99</v>
      </c>
      <c r="S454" s="47">
        <v>46195</v>
      </c>
      <c r="T454" t="s">
        <v>219</v>
      </c>
    </row>
    <row r="455" spans="1:20">
      <c r="A455" s="54">
        <f t="shared" si="21"/>
        <v>454</v>
      </c>
      <c r="B455" s="152" t="s">
        <v>4</v>
      </c>
      <c r="C455" s="73" t="s">
        <v>535</v>
      </c>
      <c r="F455" s="8">
        <v>0</v>
      </c>
      <c r="G455" s="8">
        <v>2</v>
      </c>
      <c r="H455" s="8">
        <v>2</v>
      </c>
      <c r="I455" s="8">
        <v>4</v>
      </c>
      <c r="J455" s="141">
        <f t="shared" si="20"/>
        <v>8</v>
      </c>
      <c r="K455" s="8">
        <v>1</v>
      </c>
      <c r="M455" s="8">
        <v>1</v>
      </c>
      <c r="O455" s="8" t="s">
        <v>124</v>
      </c>
      <c r="P455" s="8" t="s">
        <v>43</v>
      </c>
      <c r="R455" s="8" t="s">
        <v>99</v>
      </c>
      <c r="S455" s="47">
        <v>46195</v>
      </c>
      <c r="T455" t="s">
        <v>219</v>
      </c>
    </row>
    <row r="456" spans="1:20">
      <c r="A456" s="54">
        <f t="shared" si="21"/>
        <v>455</v>
      </c>
      <c r="B456" s="152" t="s">
        <v>4</v>
      </c>
      <c r="C456" s="73" t="s">
        <v>536</v>
      </c>
      <c r="F456" s="8">
        <v>0</v>
      </c>
      <c r="G456" s="8">
        <v>2</v>
      </c>
      <c r="H456" s="8">
        <v>2</v>
      </c>
      <c r="I456" s="8">
        <v>4</v>
      </c>
      <c r="J456" s="141">
        <f t="shared" si="20"/>
        <v>8</v>
      </c>
      <c r="K456" s="8">
        <v>1</v>
      </c>
      <c r="N456">
        <v>1</v>
      </c>
      <c r="O456" s="8" t="s">
        <v>92</v>
      </c>
      <c r="P456" s="8" t="s">
        <v>43</v>
      </c>
      <c r="R456" s="8" t="s">
        <v>99</v>
      </c>
      <c r="S456" s="47">
        <v>46195</v>
      </c>
      <c r="T456" t="s">
        <v>219</v>
      </c>
    </row>
    <row r="457" spans="1:20">
      <c r="A457" s="54">
        <f t="shared" si="21"/>
        <v>456</v>
      </c>
      <c r="B457" s="152" t="s">
        <v>12</v>
      </c>
      <c r="C457" s="73" t="s">
        <v>537</v>
      </c>
      <c r="H457" s="8">
        <v>1</v>
      </c>
      <c r="I457" s="8">
        <v>3</v>
      </c>
      <c r="J457" s="141">
        <f t="shared" si="20"/>
        <v>3</v>
      </c>
      <c r="M457" s="8">
        <v>1</v>
      </c>
      <c r="O457" s="8" t="s">
        <v>124</v>
      </c>
      <c r="P457" s="8" t="s">
        <v>43</v>
      </c>
      <c r="R457" s="8" t="s">
        <v>99</v>
      </c>
      <c r="S457" s="47">
        <v>46195</v>
      </c>
      <c r="T457" t="s">
        <v>219</v>
      </c>
    </row>
    <row r="458" spans="1:20">
      <c r="A458" s="54">
        <f t="shared" si="21"/>
        <v>457</v>
      </c>
      <c r="B458" s="152" t="s">
        <v>4</v>
      </c>
      <c r="C458" s="73" t="s">
        <v>538</v>
      </c>
      <c r="F458" s="8">
        <v>3</v>
      </c>
      <c r="G458" s="8">
        <v>1</v>
      </c>
      <c r="H458" s="8">
        <v>1</v>
      </c>
      <c r="I458" s="8">
        <v>3</v>
      </c>
      <c r="J458" s="141">
        <f t="shared" si="20"/>
        <v>3</v>
      </c>
      <c r="N458">
        <v>1</v>
      </c>
      <c r="O458" s="8" t="s">
        <v>57</v>
      </c>
      <c r="P458" s="8" t="s">
        <v>64</v>
      </c>
      <c r="R458" s="8" t="s">
        <v>99</v>
      </c>
      <c r="S458" s="47">
        <v>46195</v>
      </c>
      <c r="T458" t="s">
        <v>219</v>
      </c>
    </row>
    <row r="459" spans="1:20">
      <c r="A459" s="54">
        <f t="shared" si="21"/>
        <v>458</v>
      </c>
      <c r="B459" s="152" t="s">
        <v>4</v>
      </c>
      <c r="C459" s="73" t="s">
        <v>539</v>
      </c>
      <c r="F459" s="8">
        <v>0</v>
      </c>
      <c r="G459" s="8">
        <v>3</v>
      </c>
      <c r="H459" s="8">
        <v>3</v>
      </c>
      <c r="I459" s="8">
        <v>3</v>
      </c>
      <c r="J459" s="141">
        <f t="shared" si="20"/>
        <v>9</v>
      </c>
      <c r="N459">
        <v>1</v>
      </c>
      <c r="O459" s="8" t="s">
        <v>42</v>
      </c>
      <c r="P459" s="8" t="s">
        <v>64</v>
      </c>
      <c r="R459" s="8" t="s">
        <v>99</v>
      </c>
      <c r="S459" s="47">
        <v>46195</v>
      </c>
      <c r="T459" t="s">
        <v>219</v>
      </c>
    </row>
    <row r="460" spans="1:20" ht="26.25">
      <c r="A460" s="54">
        <f t="shared" si="21"/>
        <v>459</v>
      </c>
      <c r="B460" s="152" t="s">
        <v>6</v>
      </c>
      <c r="C460" s="120" t="s">
        <v>540</v>
      </c>
      <c r="D460" s="116"/>
      <c r="E460" s="116"/>
      <c r="F460" s="116">
        <v>1</v>
      </c>
      <c r="G460" s="116">
        <v>2</v>
      </c>
      <c r="H460" s="116">
        <v>1</v>
      </c>
      <c r="I460" s="116">
        <v>2</v>
      </c>
      <c r="J460" s="116">
        <v>2</v>
      </c>
      <c r="K460" s="116"/>
      <c r="L460" s="116"/>
      <c r="M460" s="116">
        <v>1</v>
      </c>
      <c r="N460" s="116"/>
      <c r="O460" s="116" t="s">
        <v>108</v>
      </c>
      <c r="P460" s="116" t="s">
        <v>43</v>
      </c>
      <c r="R460" s="116" t="s">
        <v>97</v>
      </c>
      <c r="S460" s="47">
        <v>46196</v>
      </c>
      <c r="T460" t="s">
        <v>219</v>
      </c>
    </row>
    <row r="461" spans="1:20">
      <c r="A461" s="54">
        <f t="shared" si="21"/>
        <v>460</v>
      </c>
      <c r="B461" s="152" t="s">
        <v>7</v>
      </c>
      <c r="C461" s="116" t="s">
        <v>541</v>
      </c>
      <c r="D461" s="116"/>
      <c r="E461" s="116"/>
      <c r="F461" s="116">
        <v>16</v>
      </c>
      <c r="G461" s="116">
        <v>6</v>
      </c>
      <c r="H461" s="116">
        <v>1</v>
      </c>
      <c r="I461" s="116">
        <v>3</v>
      </c>
      <c r="J461" s="116">
        <v>3</v>
      </c>
      <c r="K461" s="116"/>
      <c r="L461" s="116"/>
      <c r="M461" s="116">
        <v>1</v>
      </c>
      <c r="N461" s="116"/>
      <c r="O461" s="116" t="s">
        <v>57</v>
      </c>
      <c r="P461" s="116" t="s">
        <v>64</v>
      </c>
      <c r="R461" s="116" t="s">
        <v>44</v>
      </c>
      <c r="S461" s="47">
        <v>46196</v>
      </c>
      <c r="T461" t="s">
        <v>219</v>
      </c>
    </row>
    <row r="462" spans="1:20">
      <c r="A462" s="54">
        <f t="shared" si="21"/>
        <v>461</v>
      </c>
      <c r="B462" s="152" t="s">
        <v>4</v>
      </c>
      <c r="C462" s="116" t="s">
        <v>542</v>
      </c>
      <c r="D462" s="116"/>
      <c r="E462" s="116"/>
      <c r="F462" s="116">
        <v>14</v>
      </c>
      <c r="G462" s="116">
        <v>1</v>
      </c>
      <c r="H462" s="116">
        <v>1</v>
      </c>
      <c r="I462" s="116">
        <v>3</v>
      </c>
      <c r="J462" s="116">
        <v>3</v>
      </c>
      <c r="K462" s="116"/>
      <c r="L462" s="116"/>
      <c r="M462" s="116"/>
      <c r="N462" s="116">
        <v>1</v>
      </c>
      <c r="O462" s="116" t="s">
        <v>124</v>
      </c>
      <c r="P462" s="116" t="s">
        <v>43</v>
      </c>
      <c r="R462" s="116" t="s">
        <v>99</v>
      </c>
      <c r="S462" s="47">
        <v>46196</v>
      </c>
      <c r="T462" t="s">
        <v>219</v>
      </c>
    </row>
    <row r="463" spans="1:20">
      <c r="A463" s="54">
        <f t="shared" si="21"/>
        <v>462</v>
      </c>
      <c r="B463" s="152" t="s">
        <v>4</v>
      </c>
      <c r="C463" s="116" t="s">
        <v>543</v>
      </c>
      <c r="D463" s="116"/>
      <c r="E463" s="116"/>
      <c r="F463" s="116">
        <v>14</v>
      </c>
      <c r="G463" s="116">
        <v>2</v>
      </c>
      <c r="H463" s="116">
        <v>1</v>
      </c>
      <c r="I463" s="116">
        <v>4</v>
      </c>
      <c r="J463" s="116">
        <v>4</v>
      </c>
      <c r="K463" s="116">
        <v>1</v>
      </c>
      <c r="L463" s="116"/>
      <c r="M463" s="116"/>
      <c r="N463" s="116">
        <v>1</v>
      </c>
      <c r="O463" s="116" t="s">
        <v>124</v>
      </c>
      <c r="P463" s="116" t="s">
        <v>43</v>
      </c>
      <c r="R463" s="116" t="s">
        <v>99</v>
      </c>
      <c r="S463" s="47">
        <v>46196</v>
      </c>
      <c r="T463" t="s">
        <v>219</v>
      </c>
    </row>
    <row r="464" spans="1:20">
      <c r="A464" s="54">
        <f t="shared" si="21"/>
        <v>463</v>
      </c>
      <c r="B464" s="152" t="s">
        <v>7</v>
      </c>
      <c r="C464" s="116" t="s">
        <v>544</v>
      </c>
      <c r="D464" s="116"/>
      <c r="E464" s="116"/>
      <c r="F464" s="116">
        <v>0</v>
      </c>
      <c r="G464" s="116">
        <v>0</v>
      </c>
      <c r="H464" s="116">
        <v>1</v>
      </c>
      <c r="I464" s="116">
        <v>1</v>
      </c>
      <c r="J464" s="116">
        <v>1</v>
      </c>
      <c r="K464" s="116"/>
      <c r="L464" s="116"/>
      <c r="M464" s="116">
        <v>1</v>
      </c>
      <c r="N464" s="116"/>
      <c r="O464" s="116" t="s">
        <v>108</v>
      </c>
      <c r="P464" s="116" t="s">
        <v>64</v>
      </c>
      <c r="R464" s="116" t="s">
        <v>99</v>
      </c>
      <c r="S464" s="47">
        <v>46196</v>
      </c>
      <c r="T464" t="s">
        <v>219</v>
      </c>
    </row>
    <row r="465" spans="1:20">
      <c r="A465" s="54">
        <f t="shared" si="21"/>
        <v>464</v>
      </c>
      <c r="B465" s="152" t="s">
        <v>14</v>
      </c>
      <c r="C465" s="120" t="s">
        <v>545</v>
      </c>
      <c r="D465" s="116"/>
      <c r="E465" s="116"/>
      <c r="F465" s="116">
        <v>0</v>
      </c>
      <c r="G465" s="116">
        <v>0</v>
      </c>
      <c r="H465" s="116">
        <v>1</v>
      </c>
      <c r="I465" s="116">
        <v>3</v>
      </c>
      <c r="J465" s="116">
        <v>3</v>
      </c>
      <c r="K465" s="116"/>
      <c r="L465" s="116"/>
      <c r="M465" s="116">
        <v>1</v>
      </c>
      <c r="N465" s="116"/>
      <c r="O465" s="116" t="s">
        <v>69</v>
      </c>
      <c r="P465" s="116" t="s">
        <v>64</v>
      </c>
      <c r="Q465" t="s">
        <v>427</v>
      </c>
      <c r="R465" s="116" t="s">
        <v>99</v>
      </c>
      <c r="S465" s="47">
        <v>46196</v>
      </c>
      <c r="T465" t="s">
        <v>219</v>
      </c>
    </row>
    <row r="466" spans="1:20">
      <c r="A466" s="54">
        <f t="shared" si="21"/>
        <v>465</v>
      </c>
      <c r="B466" s="152" t="s">
        <v>2</v>
      </c>
      <c r="C466" s="116" t="s">
        <v>546</v>
      </c>
      <c r="D466" s="116"/>
      <c r="E466" s="116"/>
      <c r="F466" s="116">
        <v>3</v>
      </c>
      <c r="G466" s="116">
        <v>5</v>
      </c>
      <c r="H466" s="116">
        <v>1</v>
      </c>
      <c r="I466" s="116">
        <v>3</v>
      </c>
      <c r="J466" s="116">
        <v>3</v>
      </c>
      <c r="K466" s="116"/>
      <c r="L466" s="116"/>
      <c r="M466" s="116">
        <v>1</v>
      </c>
      <c r="N466" s="116"/>
      <c r="O466" s="116" t="s">
        <v>57</v>
      </c>
      <c r="P466" s="116" t="s">
        <v>64</v>
      </c>
      <c r="R466" s="116" t="s">
        <v>44</v>
      </c>
      <c r="S466" s="47">
        <v>46196</v>
      </c>
      <c r="T466" t="s">
        <v>219</v>
      </c>
    </row>
    <row r="467" spans="1:20">
      <c r="A467" s="54">
        <f t="shared" si="21"/>
        <v>466</v>
      </c>
      <c r="B467" s="152" t="s">
        <v>4</v>
      </c>
      <c r="C467" s="116" t="s">
        <v>547</v>
      </c>
      <c r="D467" s="116"/>
      <c r="E467" s="116"/>
      <c r="F467" s="116">
        <v>0</v>
      </c>
      <c r="G467" s="116">
        <v>0</v>
      </c>
      <c r="H467" s="116">
        <v>1</v>
      </c>
      <c r="I467" s="116">
        <v>3</v>
      </c>
      <c r="J467" s="116">
        <v>3</v>
      </c>
      <c r="K467" s="116"/>
      <c r="L467" s="116"/>
      <c r="M467" s="116">
        <v>1</v>
      </c>
      <c r="N467" s="116"/>
      <c r="O467" s="116" t="s">
        <v>57</v>
      </c>
      <c r="P467" s="116" t="s">
        <v>64</v>
      </c>
      <c r="R467" s="116" t="s">
        <v>44</v>
      </c>
      <c r="S467" s="47">
        <v>46196</v>
      </c>
      <c r="T467" t="s">
        <v>219</v>
      </c>
    </row>
    <row r="468" spans="1:20">
      <c r="A468" s="54">
        <f t="shared" si="21"/>
        <v>467</v>
      </c>
      <c r="B468" s="152" t="s">
        <v>8</v>
      </c>
      <c r="C468" s="116" t="s">
        <v>548</v>
      </c>
      <c r="D468" s="116"/>
      <c r="E468" s="116"/>
      <c r="F468" s="116">
        <v>0</v>
      </c>
      <c r="G468" s="116">
        <v>1</v>
      </c>
      <c r="H468" s="116">
        <v>1</v>
      </c>
      <c r="I468" s="116">
        <v>5</v>
      </c>
      <c r="J468" s="116">
        <v>5</v>
      </c>
      <c r="K468" s="116">
        <v>1</v>
      </c>
      <c r="L468" s="116"/>
      <c r="M468" s="116"/>
      <c r="N468" s="116">
        <v>1</v>
      </c>
      <c r="O468" s="116" t="s">
        <v>42</v>
      </c>
      <c r="P468" s="116" t="s">
        <v>43</v>
      </c>
      <c r="R468" s="116" t="s">
        <v>44</v>
      </c>
      <c r="S468" s="47">
        <v>46196</v>
      </c>
      <c r="T468" t="s">
        <v>219</v>
      </c>
    </row>
    <row r="469" spans="1:20">
      <c r="A469" s="54">
        <f t="shared" si="21"/>
        <v>468</v>
      </c>
      <c r="B469" s="152" t="s">
        <v>4</v>
      </c>
      <c r="C469" s="116" t="s">
        <v>549</v>
      </c>
      <c r="D469" s="116"/>
      <c r="E469" s="116"/>
      <c r="F469" s="116">
        <v>0</v>
      </c>
      <c r="G469" s="116">
        <v>0</v>
      </c>
      <c r="H469" s="116">
        <v>1</v>
      </c>
      <c r="I469" s="116">
        <v>4</v>
      </c>
      <c r="J469" s="116">
        <v>4</v>
      </c>
      <c r="K469" s="116">
        <v>1</v>
      </c>
      <c r="L469" s="116"/>
      <c r="M469" s="116">
        <v>1</v>
      </c>
      <c r="N469" s="116"/>
      <c r="O469" s="116" t="s">
        <v>124</v>
      </c>
      <c r="P469" s="116" t="s">
        <v>64</v>
      </c>
      <c r="R469" s="116" t="s">
        <v>99</v>
      </c>
      <c r="S469" s="47">
        <v>46196</v>
      </c>
      <c r="T469" t="s">
        <v>219</v>
      </c>
    </row>
    <row r="470" spans="1:20">
      <c r="A470" s="54">
        <f t="shared" si="21"/>
        <v>469</v>
      </c>
      <c r="B470" s="152" t="s">
        <v>7</v>
      </c>
      <c r="C470" s="116" t="s">
        <v>550</v>
      </c>
      <c r="D470" s="116"/>
      <c r="E470" s="116"/>
      <c r="F470" s="116">
        <v>0</v>
      </c>
      <c r="G470" s="116">
        <v>0</v>
      </c>
      <c r="H470" s="116">
        <v>1</v>
      </c>
      <c r="I470" s="116">
        <v>3</v>
      </c>
      <c r="J470" s="116">
        <v>3</v>
      </c>
      <c r="K470" s="116"/>
      <c r="L470" s="116"/>
      <c r="M470" s="116">
        <v>1</v>
      </c>
      <c r="N470" s="116"/>
      <c r="O470" s="116" t="s">
        <v>124</v>
      </c>
      <c r="P470" s="116" t="s">
        <v>64</v>
      </c>
      <c r="R470" s="116" t="s">
        <v>99</v>
      </c>
      <c r="S470" s="47">
        <v>46196</v>
      </c>
      <c r="T470" t="s">
        <v>219</v>
      </c>
    </row>
    <row r="471" spans="1:20">
      <c r="A471" s="54">
        <f t="shared" si="21"/>
        <v>470</v>
      </c>
      <c r="B471" s="152" t="s">
        <v>15</v>
      </c>
      <c r="C471" s="116" t="s">
        <v>551</v>
      </c>
      <c r="D471" s="116"/>
      <c r="E471" s="116"/>
      <c r="F471" s="116">
        <v>0</v>
      </c>
      <c r="G471" s="116">
        <v>0</v>
      </c>
      <c r="H471" s="116">
        <v>1</v>
      </c>
      <c r="I471" s="116">
        <v>3</v>
      </c>
      <c r="J471" s="116">
        <v>3</v>
      </c>
      <c r="K471" s="116"/>
      <c r="L471" s="116"/>
      <c r="M471" s="116"/>
      <c r="N471" s="116">
        <v>1</v>
      </c>
      <c r="O471" s="116" t="s">
        <v>124</v>
      </c>
      <c r="P471" s="116" t="s">
        <v>43</v>
      </c>
      <c r="R471" s="116" t="s">
        <v>99</v>
      </c>
      <c r="S471" s="47">
        <v>46196</v>
      </c>
      <c r="T471" t="s">
        <v>219</v>
      </c>
    </row>
    <row r="472" spans="1:20">
      <c r="A472" s="54">
        <f t="shared" si="21"/>
        <v>471</v>
      </c>
      <c r="B472" s="152" t="s">
        <v>4</v>
      </c>
      <c r="C472" s="116" t="s">
        <v>552</v>
      </c>
      <c r="D472" s="116"/>
      <c r="E472" s="116"/>
      <c r="F472" s="116">
        <v>0</v>
      </c>
      <c r="G472" s="116">
        <v>0</v>
      </c>
      <c r="H472" s="116">
        <v>1</v>
      </c>
      <c r="I472" s="116">
        <v>3</v>
      </c>
      <c r="J472" s="116">
        <v>3</v>
      </c>
      <c r="K472" s="116"/>
      <c r="L472" s="116"/>
      <c r="M472" s="116">
        <v>1</v>
      </c>
      <c r="N472" s="116"/>
      <c r="O472" s="116" t="s">
        <v>124</v>
      </c>
      <c r="P472" s="116" t="s">
        <v>64</v>
      </c>
      <c r="R472" s="116" t="s">
        <v>99</v>
      </c>
      <c r="S472" s="47">
        <v>46196</v>
      </c>
      <c r="T472" t="s">
        <v>219</v>
      </c>
    </row>
    <row r="473" spans="1:20">
      <c r="A473" s="54">
        <f t="shared" si="21"/>
        <v>472</v>
      </c>
      <c r="B473" s="152" t="s">
        <v>3</v>
      </c>
      <c r="C473" s="116" t="s">
        <v>553</v>
      </c>
      <c r="D473" s="116"/>
      <c r="E473" s="116"/>
      <c r="F473" s="116">
        <v>18</v>
      </c>
      <c r="G473" s="116">
        <v>1</v>
      </c>
      <c r="H473" s="116">
        <v>1</v>
      </c>
      <c r="I473" s="116">
        <v>3</v>
      </c>
      <c r="J473" s="116">
        <v>3</v>
      </c>
      <c r="K473" s="116"/>
      <c r="L473" s="116">
        <v>1</v>
      </c>
      <c r="M473" s="116"/>
      <c r="N473" s="116">
        <v>1</v>
      </c>
      <c r="O473" s="116" t="s">
        <v>124</v>
      </c>
      <c r="P473" s="116" t="s">
        <v>43</v>
      </c>
      <c r="R473" s="116" t="s">
        <v>99</v>
      </c>
      <c r="S473" s="47">
        <v>46196</v>
      </c>
      <c r="T473" t="s">
        <v>219</v>
      </c>
    </row>
    <row r="474" spans="1:20">
      <c r="A474" s="54">
        <f t="shared" si="21"/>
        <v>473</v>
      </c>
      <c r="B474" s="152" t="s">
        <v>2</v>
      </c>
      <c r="C474" s="116" t="s">
        <v>554</v>
      </c>
      <c r="D474" s="116"/>
      <c r="E474" s="116"/>
      <c r="F474" s="116">
        <v>0</v>
      </c>
      <c r="G474" s="116">
        <v>0</v>
      </c>
      <c r="H474" s="116">
        <v>1</v>
      </c>
      <c r="I474" s="116">
        <v>2</v>
      </c>
      <c r="J474" s="116">
        <v>2</v>
      </c>
      <c r="K474" s="116"/>
      <c r="L474" s="116"/>
      <c r="M474" s="116"/>
      <c r="N474" s="116">
        <v>1</v>
      </c>
      <c r="O474" s="116" t="s">
        <v>124</v>
      </c>
      <c r="P474" s="116" t="s">
        <v>64</v>
      </c>
      <c r="R474" s="116" t="s">
        <v>99</v>
      </c>
      <c r="S474" s="47">
        <v>46196</v>
      </c>
      <c r="T474" t="s">
        <v>219</v>
      </c>
    </row>
    <row r="475" spans="1:20">
      <c r="A475" s="54">
        <f t="shared" si="21"/>
        <v>474</v>
      </c>
      <c r="B475" s="152" t="s">
        <v>4</v>
      </c>
      <c r="C475" s="116" t="s">
        <v>555</v>
      </c>
      <c r="D475" s="116"/>
      <c r="E475" s="116"/>
      <c r="F475" s="116">
        <v>3</v>
      </c>
      <c r="G475" s="116">
        <v>1</v>
      </c>
      <c r="H475" s="116">
        <v>1</v>
      </c>
      <c r="I475" s="116">
        <v>5</v>
      </c>
      <c r="J475" s="116">
        <v>5</v>
      </c>
      <c r="K475" s="116">
        <v>1</v>
      </c>
      <c r="L475" s="116"/>
      <c r="M475" s="116"/>
      <c r="N475" s="116">
        <v>1</v>
      </c>
      <c r="O475" s="116" t="s">
        <v>42</v>
      </c>
      <c r="P475" s="116" t="s">
        <v>43</v>
      </c>
      <c r="R475" s="116" t="s">
        <v>44</v>
      </c>
      <c r="S475" s="47">
        <v>46196</v>
      </c>
      <c r="T475" t="s">
        <v>219</v>
      </c>
    </row>
    <row r="476" spans="1:20">
      <c r="A476" s="54">
        <f t="shared" si="21"/>
        <v>475</v>
      </c>
      <c r="B476" s="152" t="s">
        <v>11</v>
      </c>
      <c r="C476" s="116" t="s">
        <v>556</v>
      </c>
      <c r="D476" s="116"/>
      <c r="E476" s="116"/>
      <c r="F476" s="116">
        <v>2</v>
      </c>
      <c r="G476" s="116">
        <v>2</v>
      </c>
      <c r="H476" s="116">
        <v>1</v>
      </c>
      <c r="I476" s="116">
        <v>3</v>
      </c>
      <c r="J476" s="116">
        <v>3</v>
      </c>
      <c r="K476" s="116"/>
      <c r="L476" s="116"/>
      <c r="M476" s="116"/>
      <c r="N476" s="116">
        <v>1</v>
      </c>
      <c r="O476" s="116" t="s">
        <v>57</v>
      </c>
      <c r="P476" s="116" t="s">
        <v>43</v>
      </c>
      <c r="R476" s="116" t="s">
        <v>44</v>
      </c>
      <c r="S476" s="47">
        <v>46196</v>
      </c>
      <c r="T476" t="s">
        <v>219</v>
      </c>
    </row>
    <row r="477" spans="1:20">
      <c r="A477" s="54">
        <f t="shared" si="21"/>
        <v>476</v>
      </c>
      <c r="B477" s="152" t="s">
        <v>2</v>
      </c>
      <c r="C477" s="116" t="s">
        <v>557</v>
      </c>
      <c r="D477" s="116"/>
      <c r="E477" s="116"/>
      <c r="F477" s="116">
        <v>3</v>
      </c>
      <c r="G477" s="116">
        <v>2</v>
      </c>
      <c r="H477" s="116">
        <v>1</v>
      </c>
      <c r="I477" s="116">
        <v>3</v>
      </c>
      <c r="J477" s="116">
        <v>3</v>
      </c>
      <c r="K477" s="116"/>
      <c r="L477" s="116"/>
      <c r="M477" s="116">
        <v>1</v>
      </c>
      <c r="N477" s="116"/>
      <c r="O477" s="116" t="s">
        <v>42</v>
      </c>
      <c r="P477" s="116" t="s">
        <v>43</v>
      </c>
      <c r="R477" s="116" t="s">
        <v>44</v>
      </c>
      <c r="S477" s="47">
        <v>46196</v>
      </c>
      <c r="T477" t="s">
        <v>219</v>
      </c>
    </row>
    <row r="478" spans="1:20">
      <c r="A478" s="54">
        <f t="shared" si="21"/>
        <v>477</v>
      </c>
      <c r="B478" s="152" t="s">
        <v>6</v>
      </c>
      <c r="C478" s="116" t="s">
        <v>558</v>
      </c>
      <c r="D478" s="116"/>
      <c r="E478" s="116"/>
      <c r="F478" s="116">
        <v>1</v>
      </c>
      <c r="G478" s="116">
        <v>1</v>
      </c>
      <c r="H478" s="116">
        <v>1</v>
      </c>
      <c r="I478" s="116">
        <v>3</v>
      </c>
      <c r="J478" s="116">
        <v>3</v>
      </c>
      <c r="K478" s="116"/>
      <c r="L478" s="116"/>
      <c r="M478" s="116">
        <v>1</v>
      </c>
      <c r="N478" s="116"/>
      <c r="O478" s="116" t="s">
        <v>124</v>
      </c>
      <c r="P478" s="116" t="s">
        <v>64</v>
      </c>
      <c r="R478" s="116" t="s">
        <v>99</v>
      </c>
      <c r="S478" s="47">
        <v>46196</v>
      </c>
      <c r="T478" t="s">
        <v>219</v>
      </c>
    </row>
    <row r="479" spans="1:20">
      <c r="A479" s="54">
        <f t="shared" si="21"/>
        <v>478</v>
      </c>
      <c r="B479" s="152" t="s">
        <v>7</v>
      </c>
      <c r="C479" s="116" t="s">
        <v>559</v>
      </c>
      <c r="D479" s="116"/>
      <c r="E479" s="116"/>
      <c r="F479" s="116">
        <v>0</v>
      </c>
      <c r="G479" s="116">
        <v>0</v>
      </c>
      <c r="H479" s="116">
        <v>1</v>
      </c>
      <c r="I479" s="116">
        <v>2</v>
      </c>
      <c r="J479" s="116">
        <v>2</v>
      </c>
      <c r="K479" s="116"/>
      <c r="L479" s="116"/>
      <c r="M479" s="116">
        <v>1</v>
      </c>
      <c r="N479" s="116"/>
      <c r="O479" s="116" t="s">
        <v>108</v>
      </c>
      <c r="P479" s="116" t="s">
        <v>64</v>
      </c>
      <c r="R479" s="116" t="s">
        <v>99</v>
      </c>
      <c r="S479" s="47">
        <v>46196</v>
      </c>
      <c r="T479" t="s">
        <v>219</v>
      </c>
    </row>
    <row r="480" spans="1:20">
      <c r="A480" s="54">
        <f t="shared" si="21"/>
        <v>479</v>
      </c>
      <c r="B480" s="152" t="s">
        <v>9</v>
      </c>
      <c r="C480" s="116" t="s">
        <v>560</v>
      </c>
      <c r="D480" s="116"/>
      <c r="E480" s="116"/>
      <c r="F480" s="116">
        <v>0</v>
      </c>
      <c r="G480" s="116">
        <v>1</v>
      </c>
      <c r="H480" s="116">
        <v>1</v>
      </c>
      <c r="I480" s="116">
        <v>3</v>
      </c>
      <c r="J480" s="116">
        <v>3</v>
      </c>
      <c r="K480" s="116"/>
      <c r="L480" s="116"/>
      <c r="M480" s="116"/>
      <c r="N480" s="116">
        <v>1</v>
      </c>
      <c r="O480" s="45" t="s">
        <v>57</v>
      </c>
      <c r="P480" s="116" t="s">
        <v>43</v>
      </c>
      <c r="Q480" s="116"/>
      <c r="R480" s="116" t="s">
        <v>97</v>
      </c>
      <c r="S480" s="47">
        <v>46196</v>
      </c>
      <c r="T480" t="s">
        <v>219</v>
      </c>
    </row>
    <row r="481" spans="1:20">
      <c r="A481" s="54">
        <f t="shared" si="21"/>
        <v>480</v>
      </c>
      <c r="B481" s="152" t="s">
        <v>2</v>
      </c>
      <c r="C481" s="116" t="s">
        <v>561</v>
      </c>
      <c r="D481" s="116"/>
      <c r="E481" s="116"/>
      <c r="F481" s="116">
        <v>3</v>
      </c>
      <c r="G481" s="116">
        <v>1</v>
      </c>
      <c r="H481" s="116">
        <v>1</v>
      </c>
      <c r="I481" s="116">
        <v>2</v>
      </c>
      <c r="J481" s="116">
        <v>2</v>
      </c>
      <c r="K481" s="116"/>
      <c r="L481" s="116"/>
      <c r="M481" s="116">
        <v>1</v>
      </c>
      <c r="N481" s="116"/>
      <c r="O481" t="s">
        <v>85</v>
      </c>
      <c r="P481" s="116" t="s">
        <v>43</v>
      </c>
      <c r="Q481" s="116"/>
      <c r="R481" s="116" t="s">
        <v>99</v>
      </c>
      <c r="S481" s="47">
        <v>46197</v>
      </c>
      <c r="T481" t="s">
        <v>219</v>
      </c>
    </row>
    <row r="482" spans="1:20">
      <c r="A482" s="54">
        <f t="shared" si="21"/>
        <v>481</v>
      </c>
      <c r="B482" s="152" t="s">
        <v>4</v>
      </c>
      <c r="C482" s="116" t="s">
        <v>562</v>
      </c>
      <c r="D482" s="116"/>
      <c r="E482" s="116"/>
      <c r="F482" s="116">
        <v>8</v>
      </c>
      <c r="G482" s="116">
        <v>0</v>
      </c>
      <c r="H482" s="116">
        <v>1</v>
      </c>
      <c r="I482" s="116">
        <v>4</v>
      </c>
      <c r="J482" s="116">
        <v>4</v>
      </c>
      <c r="K482" s="116">
        <v>1</v>
      </c>
      <c r="L482" s="116"/>
      <c r="M482" s="116">
        <v>1</v>
      </c>
      <c r="N482" s="116"/>
      <c r="O482" s="116" t="s">
        <v>124</v>
      </c>
      <c r="P482" s="116" t="s">
        <v>43</v>
      </c>
      <c r="Q482" s="116"/>
      <c r="R482" s="116" t="s">
        <v>99</v>
      </c>
      <c r="S482" s="47">
        <v>46197</v>
      </c>
      <c r="T482" t="s">
        <v>219</v>
      </c>
    </row>
    <row r="483" spans="1:20">
      <c r="A483" s="54">
        <f t="shared" ref="A483:A538" si="22">A482+1</f>
        <v>482</v>
      </c>
      <c r="B483" s="152" t="s">
        <v>13</v>
      </c>
      <c r="C483" s="120" t="s">
        <v>563</v>
      </c>
      <c r="D483" s="116"/>
      <c r="E483" s="116"/>
      <c r="F483" s="116">
        <v>0</v>
      </c>
      <c r="G483" s="116">
        <v>0</v>
      </c>
      <c r="H483" s="116">
        <v>1</v>
      </c>
      <c r="I483" s="116">
        <v>3</v>
      </c>
      <c r="J483" s="116">
        <v>3</v>
      </c>
      <c r="K483" s="116"/>
      <c r="L483" s="116"/>
      <c r="M483" s="116">
        <v>1</v>
      </c>
      <c r="N483" s="116"/>
      <c r="O483" s="116" t="s">
        <v>69</v>
      </c>
      <c r="P483" s="116" t="s">
        <v>64</v>
      </c>
      <c r="Q483" s="116" t="s">
        <v>102</v>
      </c>
      <c r="R483" s="116" t="s">
        <v>77</v>
      </c>
      <c r="S483" s="47">
        <v>46197</v>
      </c>
      <c r="T483" t="s">
        <v>219</v>
      </c>
    </row>
    <row r="484" spans="1:20">
      <c r="A484" s="54">
        <f t="shared" si="22"/>
        <v>483</v>
      </c>
      <c r="B484" s="152" t="s">
        <v>2</v>
      </c>
      <c r="C484" s="120" t="s">
        <v>564</v>
      </c>
      <c r="D484" s="116"/>
      <c r="E484" s="116"/>
      <c r="F484" s="116">
        <v>0</v>
      </c>
      <c r="G484" s="116">
        <v>0</v>
      </c>
      <c r="H484" s="116">
        <v>1</v>
      </c>
      <c r="I484" s="116">
        <v>3</v>
      </c>
      <c r="J484" s="116">
        <v>3</v>
      </c>
      <c r="K484" s="116"/>
      <c r="L484" s="116"/>
      <c r="M484" s="116">
        <v>1</v>
      </c>
      <c r="N484" s="116"/>
      <c r="O484" s="116" t="s">
        <v>69</v>
      </c>
      <c r="P484" s="116" t="s">
        <v>64</v>
      </c>
      <c r="Q484" s="116" t="s">
        <v>248</v>
      </c>
      <c r="R484" s="116" t="s">
        <v>77</v>
      </c>
      <c r="S484" s="47">
        <v>46197</v>
      </c>
      <c r="T484" t="s">
        <v>219</v>
      </c>
    </row>
    <row r="485" spans="1:20">
      <c r="A485" s="54">
        <f t="shared" si="22"/>
        <v>484</v>
      </c>
      <c r="B485" s="152" t="s">
        <v>565</v>
      </c>
      <c r="C485" s="116" t="s">
        <v>566</v>
      </c>
      <c r="D485" s="116"/>
      <c r="E485" s="116"/>
      <c r="F485" s="116">
        <v>0</v>
      </c>
      <c r="G485" s="116">
        <v>0</v>
      </c>
      <c r="H485" s="116">
        <v>1</v>
      </c>
      <c r="I485" s="116">
        <v>3</v>
      </c>
      <c r="J485" s="116">
        <v>3</v>
      </c>
      <c r="K485" s="116"/>
      <c r="L485" s="116"/>
      <c r="M485" s="116">
        <v>1</v>
      </c>
      <c r="N485" s="116"/>
      <c r="O485" t="s">
        <v>85</v>
      </c>
      <c r="P485" s="116" t="s">
        <v>64</v>
      </c>
      <c r="Q485" s="116"/>
      <c r="R485" s="116" t="s">
        <v>77</v>
      </c>
      <c r="S485" s="47">
        <v>46197</v>
      </c>
      <c r="T485" t="s">
        <v>219</v>
      </c>
    </row>
    <row r="486" spans="1:20">
      <c r="A486" s="54">
        <f t="shared" si="22"/>
        <v>485</v>
      </c>
      <c r="B486" s="152" t="s">
        <v>5</v>
      </c>
      <c r="C486" s="116" t="s">
        <v>567</v>
      </c>
      <c r="D486" s="116"/>
      <c r="E486" s="116"/>
      <c r="F486" s="116">
        <v>0</v>
      </c>
      <c r="G486" s="116">
        <v>0</v>
      </c>
      <c r="H486" s="116">
        <v>1</v>
      </c>
      <c r="I486" s="116">
        <v>3</v>
      </c>
      <c r="J486" s="116">
        <v>3</v>
      </c>
      <c r="K486" s="116"/>
      <c r="L486" s="116"/>
      <c r="M486" s="116">
        <v>1</v>
      </c>
      <c r="N486" s="116"/>
      <c r="O486" s="116" t="s">
        <v>444</v>
      </c>
      <c r="P486" s="116" t="s">
        <v>64</v>
      </c>
      <c r="Q486" s="116"/>
      <c r="R486" s="116" t="s">
        <v>77</v>
      </c>
      <c r="S486" s="47">
        <v>46197</v>
      </c>
      <c r="T486" t="s">
        <v>219</v>
      </c>
    </row>
    <row r="487" spans="1:20">
      <c r="A487" s="54">
        <f t="shared" si="22"/>
        <v>486</v>
      </c>
      <c r="B487" s="152" t="s">
        <v>5</v>
      </c>
      <c r="C487" s="116" t="s">
        <v>568</v>
      </c>
      <c r="D487" s="116"/>
      <c r="E487" s="116"/>
      <c r="F487" s="116">
        <v>0</v>
      </c>
      <c r="G487" s="116">
        <v>0</v>
      </c>
      <c r="H487" s="116">
        <v>1</v>
      </c>
      <c r="I487" s="116">
        <v>4</v>
      </c>
      <c r="J487" s="116">
        <v>4</v>
      </c>
      <c r="K487" s="116">
        <v>1</v>
      </c>
      <c r="L487" s="116"/>
      <c r="M487" s="116">
        <v>1</v>
      </c>
      <c r="N487" s="116"/>
      <c r="O487" s="116" t="s">
        <v>444</v>
      </c>
      <c r="P487" s="116" t="s">
        <v>64</v>
      </c>
      <c r="Q487" s="116"/>
      <c r="R487" s="116" t="s">
        <v>77</v>
      </c>
      <c r="S487" s="47">
        <v>46197</v>
      </c>
      <c r="T487" t="s">
        <v>219</v>
      </c>
    </row>
    <row r="488" spans="1:20">
      <c r="A488" s="54">
        <f t="shared" si="22"/>
        <v>487</v>
      </c>
      <c r="B488" s="152" t="s">
        <v>3</v>
      </c>
      <c r="C488" s="116" t="s">
        <v>569</v>
      </c>
      <c r="D488" s="116"/>
      <c r="E488" s="116"/>
      <c r="F488" s="116">
        <v>5</v>
      </c>
      <c r="G488" s="116">
        <v>2</v>
      </c>
      <c r="H488" s="116">
        <v>1</v>
      </c>
      <c r="I488" s="116">
        <v>2</v>
      </c>
      <c r="J488" s="116">
        <v>2</v>
      </c>
      <c r="K488" s="116"/>
      <c r="L488" s="116"/>
      <c r="M488" s="116"/>
      <c r="N488" s="116">
        <v>1</v>
      </c>
      <c r="O488" s="116" t="s">
        <v>42</v>
      </c>
      <c r="P488" s="116" t="s">
        <v>64</v>
      </c>
      <c r="Q488" s="116"/>
      <c r="R488" s="116" t="s">
        <v>44</v>
      </c>
      <c r="S488" s="47">
        <v>46197</v>
      </c>
      <c r="T488" t="s">
        <v>219</v>
      </c>
    </row>
    <row r="489" spans="1:20">
      <c r="A489" s="54">
        <f t="shared" si="22"/>
        <v>488</v>
      </c>
      <c r="B489" s="152" t="s">
        <v>12</v>
      </c>
      <c r="C489" s="116" t="s">
        <v>570</v>
      </c>
      <c r="D489" s="116"/>
      <c r="E489" s="116"/>
      <c r="F489" s="116">
        <v>0</v>
      </c>
      <c r="G489" s="116">
        <v>0</v>
      </c>
      <c r="H489" s="116">
        <v>1</v>
      </c>
      <c r="I489" s="116">
        <v>3</v>
      </c>
      <c r="J489" s="116">
        <v>3</v>
      </c>
      <c r="K489" s="116"/>
      <c r="L489" s="116"/>
      <c r="M489" s="116">
        <v>1</v>
      </c>
      <c r="N489" s="116"/>
      <c r="O489" s="116" t="s">
        <v>57</v>
      </c>
      <c r="P489" s="116" t="s">
        <v>64</v>
      </c>
      <c r="Q489" s="116"/>
      <c r="R489" s="116" t="s">
        <v>44</v>
      </c>
      <c r="S489" s="47">
        <v>46197</v>
      </c>
      <c r="T489" t="s">
        <v>219</v>
      </c>
    </row>
    <row r="490" spans="1:20">
      <c r="A490" s="54">
        <f t="shared" si="22"/>
        <v>489</v>
      </c>
      <c r="B490" s="152" t="s">
        <v>3</v>
      </c>
      <c r="C490" s="116" t="s">
        <v>571</v>
      </c>
      <c r="D490" s="116"/>
      <c r="E490" s="116"/>
      <c r="F490" s="116">
        <v>4</v>
      </c>
      <c r="G490" s="116">
        <v>1</v>
      </c>
      <c r="H490" s="116">
        <v>1</v>
      </c>
      <c r="I490" s="116">
        <v>3</v>
      </c>
      <c r="J490" s="116">
        <v>3</v>
      </c>
      <c r="K490" s="116"/>
      <c r="L490" s="116">
        <v>1</v>
      </c>
      <c r="M490" s="116"/>
      <c r="N490" s="116">
        <v>1</v>
      </c>
      <c r="O490" s="116" t="s">
        <v>42</v>
      </c>
      <c r="P490" s="116" t="s">
        <v>43</v>
      </c>
      <c r="Q490" s="116"/>
      <c r="R490" s="116" t="s">
        <v>44</v>
      </c>
      <c r="S490" s="47">
        <v>46197</v>
      </c>
      <c r="T490" t="s">
        <v>219</v>
      </c>
    </row>
    <row r="491" spans="1:20">
      <c r="A491" s="54">
        <f t="shared" si="22"/>
        <v>490</v>
      </c>
      <c r="B491" s="152" t="s">
        <v>8</v>
      </c>
      <c r="C491" s="116" t="s">
        <v>572</v>
      </c>
      <c r="D491" s="116"/>
      <c r="E491" s="116"/>
      <c r="F491" s="116">
        <v>13</v>
      </c>
      <c r="G491" s="116">
        <v>0</v>
      </c>
      <c r="H491" s="116">
        <v>1</v>
      </c>
      <c r="I491" s="116">
        <v>2</v>
      </c>
      <c r="J491" s="116">
        <v>2</v>
      </c>
      <c r="K491" s="116"/>
      <c r="L491" s="116"/>
      <c r="M491" s="116">
        <v>1</v>
      </c>
      <c r="N491" s="116"/>
      <c r="O491" s="116" t="s">
        <v>69</v>
      </c>
      <c r="P491" s="116" t="s">
        <v>64</v>
      </c>
      <c r="Q491" t="s">
        <v>506</v>
      </c>
      <c r="R491" s="116" t="s">
        <v>97</v>
      </c>
      <c r="S491" s="47">
        <v>46197</v>
      </c>
      <c r="T491" t="s">
        <v>219</v>
      </c>
    </row>
    <row r="492" spans="1:20">
      <c r="A492" s="54">
        <f t="shared" si="22"/>
        <v>491</v>
      </c>
      <c r="B492" s="152" t="s">
        <v>3</v>
      </c>
      <c r="C492" s="116" t="s">
        <v>573</v>
      </c>
      <c r="D492" s="116"/>
      <c r="E492" s="116"/>
      <c r="F492" s="116">
        <v>9</v>
      </c>
      <c r="G492" s="116">
        <v>3</v>
      </c>
      <c r="H492" s="116">
        <v>1</v>
      </c>
      <c r="I492" s="116">
        <v>3</v>
      </c>
      <c r="J492" s="116">
        <v>3</v>
      </c>
      <c r="K492" s="116"/>
      <c r="L492" s="116">
        <v>1</v>
      </c>
      <c r="M492" s="116"/>
      <c r="N492" s="116">
        <v>1</v>
      </c>
      <c r="O492" s="116" t="s">
        <v>57</v>
      </c>
      <c r="P492" s="116" t="s">
        <v>43</v>
      </c>
      <c r="R492" s="116" t="s">
        <v>97</v>
      </c>
      <c r="S492" s="47">
        <v>46197</v>
      </c>
      <c r="T492" t="s">
        <v>219</v>
      </c>
    </row>
    <row r="493" spans="1:20">
      <c r="A493" s="54">
        <f t="shared" si="22"/>
        <v>492</v>
      </c>
      <c r="B493" s="152" t="s">
        <v>3</v>
      </c>
      <c r="C493" s="116" t="s">
        <v>574</v>
      </c>
      <c r="D493" s="116"/>
      <c r="E493" s="116"/>
      <c r="F493" s="116">
        <v>1</v>
      </c>
      <c r="G493" s="116">
        <v>2</v>
      </c>
      <c r="H493" s="116">
        <v>1</v>
      </c>
      <c r="I493" s="116">
        <v>3</v>
      </c>
      <c r="J493" s="116">
        <v>3</v>
      </c>
      <c r="K493" s="116"/>
      <c r="L493" s="116"/>
      <c r="M493" s="116">
        <v>1</v>
      </c>
      <c r="N493" s="116"/>
      <c r="O493" s="116" t="s">
        <v>575</v>
      </c>
      <c r="P493" s="116" t="s">
        <v>43</v>
      </c>
      <c r="Q493" s="116"/>
      <c r="R493" s="116" t="s">
        <v>77</v>
      </c>
      <c r="S493" s="47">
        <v>46198</v>
      </c>
      <c r="T493" t="s">
        <v>219</v>
      </c>
    </row>
    <row r="494" spans="1:20">
      <c r="A494" s="54">
        <f t="shared" si="22"/>
        <v>493</v>
      </c>
      <c r="B494" s="152" t="s">
        <v>6</v>
      </c>
      <c r="C494" s="116" t="s">
        <v>576</v>
      </c>
      <c r="D494" s="116"/>
      <c r="E494" s="116"/>
      <c r="F494" s="116">
        <v>1</v>
      </c>
      <c r="G494" s="116">
        <v>1</v>
      </c>
      <c r="H494" s="116">
        <v>1</v>
      </c>
      <c r="I494" s="116">
        <v>3</v>
      </c>
      <c r="J494" s="116">
        <v>3</v>
      </c>
      <c r="K494" s="116"/>
      <c r="L494" s="116"/>
      <c r="M494" s="116">
        <v>1</v>
      </c>
      <c r="N494" s="116"/>
      <c r="O494" s="116" t="s">
        <v>57</v>
      </c>
      <c r="P494" s="116" t="s">
        <v>64</v>
      </c>
      <c r="Q494" s="116"/>
      <c r="R494" s="116" t="s">
        <v>99</v>
      </c>
      <c r="S494" s="47">
        <v>46198</v>
      </c>
      <c r="T494" t="s">
        <v>219</v>
      </c>
    </row>
    <row r="495" spans="1:20">
      <c r="A495" s="54">
        <f t="shared" si="22"/>
        <v>494</v>
      </c>
      <c r="B495" s="152" t="s">
        <v>8</v>
      </c>
      <c r="C495" s="116" t="s">
        <v>577</v>
      </c>
      <c r="D495" s="116"/>
      <c r="E495" s="116"/>
      <c r="F495" s="116">
        <v>12</v>
      </c>
      <c r="G495" s="116">
        <v>0</v>
      </c>
      <c r="H495" s="116">
        <v>1</v>
      </c>
      <c r="I495" s="116">
        <v>3</v>
      </c>
      <c r="J495" s="116">
        <v>3</v>
      </c>
      <c r="K495" s="116"/>
      <c r="L495" s="116"/>
      <c r="M495" s="116">
        <v>1</v>
      </c>
      <c r="N495" s="116"/>
      <c r="O495" s="116" t="s">
        <v>57</v>
      </c>
      <c r="P495" s="116" t="s">
        <v>64</v>
      </c>
      <c r="R495" s="116" t="s">
        <v>44</v>
      </c>
      <c r="S495" s="47">
        <v>46198</v>
      </c>
      <c r="T495" t="s">
        <v>219</v>
      </c>
    </row>
    <row r="496" spans="1:20">
      <c r="A496" s="54">
        <f t="shared" si="22"/>
        <v>495</v>
      </c>
      <c r="B496" s="152" t="s">
        <v>5</v>
      </c>
      <c r="C496" s="116" t="s">
        <v>578</v>
      </c>
      <c r="D496" s="116"/>
      <c r="E496" s="116"/>
      <c r="F496" s="116">
        <v>0</v>
      </c>
      <c r="G496" s="116">
        <v>0</v>
      </c>
      <c r="H496" s="116">
        <v>1</v>
      </c>
      <c r="I496" s="116">
        <v>3</v>
      </c>
      <c r="J496" s="116">
        <v>3</v>
      </c>
      <c r="K496" s="116"/>
      <c r="L496" s="116"/>
      <c r="M496" s="116">
        <v>1</v>
      </c>
      <c r="N496" s="116"/>
      <c r="O496" s="116" t="s">
        <v>57</v>
      </c>
      <c r="P496" s="116" t="s">
        <v>64</v>
      </c>
      <c r="R496" s="116" t="s">
        <v>44</v>
      </c>
      <c r="S496" s="47">
        <v>46198</v>
      </c>
      <c r="T496" t="s">
        <v>219</v>
      </c>
    </row>
    <row r="497" spans="1:20">
      <c r="A497" s="54">
        <f t="shared" si="22"/>
        <v>496</v>
      </c>
      <c r="B497" s="152" t="s">
        <v>15</v>
      </c>
      <c r="C497" s="116" t="s">
        <v>579</v>
      </c>
      <c r="D497" s="116"/>
      <c r="E497" s="116"/>
      <c r="F497" s="116">
        <v>6</v>
      </c>
      <c r="G497" s="116">
        <v>4</v>
      </c>
      <c r="H497" s="116">
        <v>1</v>
      </c>
      <c r="I497" s="116">
        <v>3</v>
      </c>
      <c r="J497" s="116">
        <v>3</v>
      </c>
      <c r="K497" s="116"/>
      <c r="L497" s="116"/>
      <c r="M497" s="116"/>
      <c r="N497" s="116">
        <v>1</v>
      </c>
      <c r="O497" s="116" t="s">
        <v>231</v>
      </c>
      <c r="P497" s="116" t="s">
        <v>43</v>
      </c>
      <c r="R497" s="116" t="s">
        <v>44</v>
      </c>
      <c r="S497" s="47">
        <v>46198</v>
      </c>
      <c r="T497" t="s">
        <v>219</v>
      </c>
    </row>
    <row r="498" spans="1:20" ht="26.25">
      <c r="A498" s="54">
        <f t="shared" si="22"/>
        <v>497</v>
      </c>
      <c r="B498" s="152" t="s">
        <v>9</v>
      </c>
      <c r="C498" s="120" t="s">
        <v>580</v>
      </c>
      <c r="D498" s="116"/>
      <c r="E498" s="116"/>
      <c r="F498" s="116">
        <v>0</v>
      </c>
      <c r="G498" s="116">
        <v>2</v>
      </c>
      <c r="H498" s="116">
        <v>1</v>
      </c>
      <c r="I498" s="116">
        <v>3</v>
      </c>
      <c r="J498" s="116">
        <v>3</v>
      </c>
      <c r="K498" s="116"/>
      <c r="L498" s="116"/>
      <c r="M498" s="116"/>
      <c r="N498" s="116">
        <v>1</v>
      </c>
      <c r="O498" s="116" t="s">
        <v>69</v>
      </c>
      <c r="P498" s="116" t="s">
        <v>64</v>
      </c>
      <c r="Q498" t="s">
        <v>271</v>
      </c>
      <c r="R498" s="116" t="s">
        <v>77</v>
      </c>
      <c r="S498" s="47">
        <v>46199</v>
      </c>
      <c r="T498" t="s">
        <v>219</v>
      </c>
    </row>
    <row r="499" spans="1:20">
      <c r="A499" s="54">
        <f t="shared" si="22"/>
        <v>498</v>
      </c>
      <c r="B499" s="152" t="s">
        <v>2</v>
      </c>
      <c r="C499" s="116" t="s">
        <v>581</v>
      </c>
      <c r="D499" s="116"/>
      <c r="E499" s="116"/>
      <c r="F499" s="116">
        <v>1</v>
      </c>
      <c r="G499" s="116">
        <v>1</v>
      </c>
      <c r="H499" s="116">
        <v>1</v>
      </c>
      <c r="I499" s="116">
        <v>4</v>
      </c>
      <c r="J499" s="116">
        <v>4</v>
      </c>
      <c r="K499" s="116">
        <v>1</v>
      </c>
      <c r="L499" s="116"/>
      <c r="M499" s="116">
        <v>1</v>
      </c>
      <c r="N499" s="116"/>
      <c r="O499" s="116" t="s">
        <v>42</v>
      </c>
      <c r="P499" s="116" t="s">
        <v>64</v>
      </c>
      <c r="R499" s="116" t="s">
        <v>44</v>
      </c>
      <c r="S499" s="47">
        <v>46199</v>
      </c>
      <c r="T499" t="s">
        <v>219</v>
      </c>
    </row>
    <row r="500" spans="1:20">
      <c r="A500" s="54">
        <f t="shared" si="22"/>
        <v>499</v>
      </c>
      <c r="B500" s="152" t="s">
        <v>6</v>
      </c>
      <c r="C500" s="116" t="s">
        <v>582</v>
      </c>
      <c r="D500" s="116"/>
      <c r="E500" s="116"/>
      <c r="F500" s="116">
        <v>10</v>
      </c>
      <c r="G500" s="116">
        <v>1</v>
      </c>
      <c r="H500" s="116">
        <v>1</v>
      </c>
      <c r="I500" s="116">
        <v>3</v>
      </c>
      <c r="J500" s="116">
        <v>3</v>
      </c>
      <c r="K500" s="116"/>
      <c r="L500" s="116"/>
      <c r="M500" s="116">
        <v>1</v>
      </c>
      <c r="N500" s="116"/>
      <c r="O500" s="116" t="s">
        <v>57</v>
      </c>
      <c r="P500" s="116" t="s">
        <v>64</v>
      </c>
      <c r="R500" s="116" t="s">
        <v>44</v>
      </c>
      <c r="S500" s="47">
        <v>46199</v>
      </c>
      <c r="T500" t="s">
        <v>219</v>
      </c>
    </row>
    <row r="501" spans="1:20">
      <c r="A501" s="54">
        <f t="shared" si="22"/>
        <v>500</v>
      </c>
      <c r="B501" s="152" t="s">
        <v>2</v>
      </c>
      <c r="C501" s="116" t="s">
        <v>583</v>
      </c>
      <c r="D501" s="116"/>
      <c r="E501" s="116"/>
      <c r="F501" s="116">
        <v>0</v>
      </c>
      <c r="G501" s="116">
        <v>0</v>
      </c>
      <c r="H501" s="116">
        <v>1</v>
      </c>
      <c r="I501" s="116">
        <v>3</v>
      </c>
      <c r="J501" s="116">
        <v>3</v>
      </c>
      <c r="K501" s="116"/>
      <c r="L501" s="116"/>
      <c r="M501" s="116">
        <v>1</v>
      </c>
      <c r="N501" s="116"/>
      <c r="O501" s="116" t="s">
        <v>69</v>
      </c>
      <c r="P501" s="116" t="s">
        <v>64</v>
      </c>
      <c r="R501" s="116" t="s">
        <v>44</v>
      </c>
      <c r="S501" s="47">
        <v>46199</v>
      </c>
      <c r="T501" t="s">
        <v>219</v>
      </c>
    </row>
    <row r="502" spans="1:20">
      <c r="A502" s="54">
        <f t="shared" si="22"/>
        <v>501</v>
      </c>
      <c r="B502" s="152" t="s">
        <v>5</v>
      </c>
      <c r="C502" s="116" t="s">
        <v>584</v>
      </c>
      <c r="D502" s="116"/>
      <c r="E502" s="116"/>
      <c r="F502" s="116">
        <v>5</v>
      </c>
      <c r="G502" s="116">
        <v>3</v>
      </c>
      <c r="H502" s="116">
        <v>1</v>
      </c>
      <c r="I502" s="116">
        <v>3</v>
      </c>
      <c r="J502" s="116">
        <v>3</v>
      </c>
      <c r="K502" s="116"/>
      <c r="L502" s="116"/>
      <c r="M502" s="116">
        <v>1</v>
      </c>
      <c r="N502" s="116"/>
      <c r="O502" s="116" t="s">
        <v>124</v>
      </c>
      <c r="P502" s="116" t="s">
        <v>64</v>
      </c>
      <c r="R502" s="116" t="s">
        <v>99</v>
      </c>
      <c r="S502" s="47">
        <v>46199</v>
      </c>
      <c r="T502" t="s">
        <v>219</v>
      </c>
    </row>
    <row r="503" spans="1:20">
      <c r="A503" s="54">
        <f t="shared" si="22"/>
        <v>502</v>
      </c>
      <c r="B503" s="152" t="s">
        <v>8</v>
      </c>
      <c r="C503" s="116" t="s">
        <v>585</v>
      </c>
      <c r="D503" s="116"/>
      <c r="E503" s="116"/>
      <c r="F503" s="116">
        <v>0</v>
      </c>
      <c r="G503" s="116">
        <v>0</v>
      </c>
      <c r="H503" s="116">
        <v>1</v>
      </c>
      <c r="I503" s="116">
        <v>2</v>
      </c>
      <c r="J503" s="116">
        <v>2</v>
      </c>
      <c r="K503" s="116"/>
      <c r="L503" s="116"/>
      <c r="M503" s="116">
        <v>1</v>
      </c>
      <c r="N503" s="116"/>
      <c r="O503" s="116" t="s">
        <v>124</v>
      </c>
      <c r="P503" s="116" t="s">
        <v>64</v>
      </c>
      <c r="R503" s="116" t="s">
        <v>99</v>
      </c>
      <c r="S503" s="47">
        <v>46199</v>
      </c>
      <c r="T503" t="s">
        <v>219</v>
      </c>
    </row>
    <row r="504" spans="1:20">
      <c r="A504" s="54">
        <f t="shared" si="22"/>
        <v>503</v>
      </c>
      <c r="B504" s="152" t="s">
        <v>7</v>
      </c>
      <c r="C504" s="116" t="s">
        <v>586</v>
      </c>
      <c r="D504" s="116"/>
      <c r="E504" s="116"/>
      <c r="F504" s="116">
        <v>2</v>
      </c>
      <c r="G504" s="116">
        <v>0</v>
      </c>
      <c r="H504" s="116">
        <v>1</v>
      </c>
      <c r="I504" s="116">
        <v>1</v>
      </c>
      <c r="J504" s="116">
        <v>1</v>
      </c>
      <c r="K504" s="116"/>
      <c r="L504" s="116"/>
      <c r="M504" s="116">
        <v>1</v>
      </c>
      <c r="N504" s="116"/>
      <c r="O504" s="116" t="s">
        <v>575</v>
      </c>
      <c r="P504" s="116" t="s">
        <v>43</v>
      </c>
      <c r="R504" s="116" t="s">
        <v>97</v>
      </c>
      <c r="S504" s="47">
        <v>46200</v>
      </c>
      <c r="T504" t="s">
        <v>219</v>
      </c>
    </row>
    <row r="505" spans="1:20">
      <c r="A505" s="54">
        <f t="shared" si="22"/>
        <v>504</v>
      </c>
      <c r="B505" s="152" t="s">
        <v>3</v>
      </c>
      <c r="C505" s="116" t="s">
        <v>587</v>
      </c>
      <c r="D505" s="116"/>
      <c r="E505" s="116"/>
      <c r="F505" s="116">
        <v>5</v>
      </c>
      <c r="G505" s="116">
        <v>7</v>
      </c>
      <c r="H505" s="116">
        <v>1</v>
      </c>
      <c r="I505" s="116">
        <v>3</v>
      </c>
      <c r="J505" s="116">
        <v>3</v>
      </c>
      <c r="K505" s="116"/>
      <c r="L505" s="116">
        <v>1</v>
      </c>
      <c r="M505" s="116"/>
      <c r="N505" s="116">
        <v>1</v>
      </c>
      <c r="O505" s="116" t="s">
        <v>42</v>
      </c>
      <c r="P505" s="116" t="s">
        <v>43</v>
      </c>
      <c r="R505" s="116" t="s">
        <v>44</v>
      </c>
      <c r="S505" s="47">
        <v>46200</v>
      </c>
      <c r="T505" t="s">
        <v>219</v>
      </c>
    </row>
    <row r="506" spans="1:20">
      <c r="A506" s="54">
        <f t="shared" si="22"/>
        <v>505</v>
      </c>
      <c r="B506" s="152" t="s">
        <v>2</v>
      </c>
      <c r="C506" s="116" t="s">
        <v>588</v>
      </c>
      <c r="D506" s="116"/>
      <c r="E506" s="116"/>
      <c r="F506" s="116">
        <v>1</v>
      </c>
      <c r="G506" s="116">
        <v>1</v>
      </c>
      <c r="H506" s="116">
        <v>1</v>
      </c>
      <c r="I506" s="116">
        <v>3</v>
      </c>
      <c r="J506" s="116">
        <v>3</v>
      </c>
      <c r="K506" s="116"/>
      <c r="L506" s="116"/>
      <c r="M506" s="116">
        <v>1</v>
      </c>
      <c r="N506" s="116"/>
      <c r="O506" s="116" t="s">
        <v>57</v>
      </c>
      <c r="P506" s="116" t="s">
        <v>64</v>
      </c>
      <c r="R506" s="116" t="s">
        <v>44</v>
      </c>
      <c r="S506" s="47">
        <v>46200</v>
      </c>
      <c r="T506" t="s">
        <v>219</v>
      </c>
    </row>
    <row r="507" spans="1:20">
      <c r="A507" s="54">
        <f t="shared" si="22"/>
        <v>506</v>
      </c>
      <c r="B507" s="152" t="s">
        <v>4</v>
      </c>
      <c r="C507" s="116" t="s">
        <v>589</v>
      </c>
      <c r="D507" s="116"/>
      <c r="E507" s="116"/>
      <c r="F507" s="116">
        <v>10</v>
      </c>
      <c r="G507" s="116">
        <v>1</v>
      </c>
      <c r="H507" s="116">
        <v>1</v>
      </c>
      <c r="I507" s="116">
        <v>2</v>
      </c>
      <c r="J507" s="116">
        <v>2</v>
      </c>
      <c r="K507" s="116"/>
      <c r="L507" s="116"/>
      <c r="M507" s="116"/>
      <c r="N507" s="116">
        <v>1</v>
      </c>
      <c r="O507" s="116" t="s">
        <v>57</v>
      </c>
      <c r="P507" s="116" t="s">
        <v>64</v>
      </c>
      <c r="R507" s="116" t="s">
        <v>44</v>
      </c>
      <c r="S507" s="47">
        <v>46200</v>
      </c>
      <c r="T507" t="s">
        <v>219</v>
      </c>
    </row>
    <row r="508" spans="1:20">
      <c r="A508" s="54">
        <f t="shared" si="22"/>
        <v>507</v>
      </c>
      <c r="B508" s="152" t="s">
        <v>6</v>
      </c>
      <c r="C508" s="116" t="s">
        <v>590</v>
      </c>
      <c r="D508" s="116"/>
      <c r="E508" s="116"/>
      <c r="F508" s="116">
        <v>0</v>
      </c>
      <c r="G508" s="116">
        <v>0</v>
      </c>
      <c r="H508" s="116">
        <v>1</v>
      </c>
      <c r="I508" s="116">
        <v>4</v>
      </c>
      <c r="J508" s="116">
        <v>4</v>
      </c>
      <c r="K508" s="116">
        <v>1</v>
      </c>
      <c r="L508" s="116"/>
      <c r="M508" s="116">
        <v>1</v>
      </c>
      <c r="N508" s="116"/>
      <c r="O508" s="116" t="s">
        <v>575</v>
      </c>
      <c r="P508" s="116" t="s">
        <v>43</v>
      </c>
      <c r="R508" s="116" t="s">
        <v>44</v>
      </c>
      <c r="S508" s="47">
        <v>46200</v>
      </c>
      <c r="T508" t="s">
        <v>219</v>
      </c>
    </row>
    <row r="509" spans="1:20">
      <c r="A509" s="54">
        <f t="shared" si="22"/>
        <v>508</v>
      </c>
      <c r="B509" s="152" t="s">
        <v>4</v>
      </c>
      <c r="C509" s="120" t="s">
        <v>591</v>
      </c>
      <c r="D509" s="116"/>
      <c r="E509" s="116"/>
      <c r="F509" s="116">
        <v>6</v>
      </c>
      <c r="G509" s="116">
        <v>1</v>
      </c>
      <c r="H509" s="116">
        <v>1</v>
      </c>
      <c r="I509" s="116">
        <v>4</v>
      </c>
      <c r="J509" s="116">
        <v>4</v>
      </c>
      <c r="K509" s="116">
        <v>1</v>
      </c>
      <c r="L509" s="116"/>
      <c r="M509" s="116">
        <v>1</v>
      </c>
      <c r="N509" s="116"/>
      <c r="O509" s="8" t="s">
        <v>92</v>
      </c>
      <c r="P509" s="116" t="s">
        <v>43</v>
      </c>
      <c r="R509" s="116" t="s">
        <v>99</v>
      </c>
      <c r="S509" s="47">
        <v>46202</v>
      </c>
      <c r="T509" t="s">
        <v>219</v>
      </c>
    </row>
    <row r="510" spans="1:20">
      <c r="A510" s="54">
        <f t="shared" si="22"/>
        <v>509</v>
      </c>
      <c r="B510" s="152" t="s">
        <v>7</v>
      </c>
      <c r="C510" s="120" t="s">
        <v>592</v>
      </c>
      <c r="D510" s="116"/>
      <c r="E510" s="116"/>
      <c r="F510" s="116">
        <v>0</v>
      </c>
      <c r="G510" s="116">
        <v>0</v>
      </c>
      <c r="H510" s="116">
        <v>1</v>
      </c>
      <c r="I510" s="116">
        <v>1</v>
      </c>
      <c r="J510" s="116">
        <v>1</v>
      </c>
      <c r="K510" s="116"/>
      <c r="L510" s="116"/>
      <c r="M510" s="116">
        <v>1</v>
      </c>
      <c r="N510" s="116"/>
      <c r="O510" s="116" t="s">
        <v>108</v>
      </c>
      <c r="P510" s="116" t="s">
        <v>64</v>
      </c>
      <c r="R510" s="116" t="s">
        <v>99</v>
      </c>
      <c r="S510" s="47">
        <v>46202</v>
      </c>
      <c r="T510" t="s">
        <v>219</v>
      </c>
    </row>
    <row r="511" spans="1:20" ht="39">
      <c r="A511" s="54">
        <f t="shared" si="22"/>
        <v>510</v>
      </c>
      <c r="B511" s="152" t="s">
        <v>7</v>
      </c>
      <c r="C511" s="120" t="s">
        <v>593</v>
      </c>
      <c r="D511" s="116"/>
      <c r="E511" s="116"/>
      <c r="F511" s="116">
        <v>0</v>
      </c>
      <c r="G511" s="116">
        <v>2</v>
      </c>
      <c r="H511" s="116">
        <v>1</v>
      </c>
      <c r="I511" s="116">
        <v>3</v>
      </c>
      <c r="J511" s="116">
        <v>3</v>
      </c>
      <c r="K511" s="116"/>
      <c r="L511" s="116"/>
      <c r="M511" s="116"/>
      <c r="N511" s="116">
        <v>1</v>
      </c>
      <c r="O511" s="116" t="s">
        <v>57</v>
      </c>
      <c r="P511" s="116" t="s">
        <v>64</v>
      </c>
      <c r="R511" s="116" t="s">
        <v>97</v>
      </c>
      <c r="S511" s="47">
        <v>46202</v>
      </c>
      <c r="T511" t="s">
        <v>219</v>
      </c>
    </row>
    <row r="512" spans="1:20">
      <c r="A512" s="54">
        <f t="shared" si="22"/>
        <v>511</v>
      </c>
      <c r="B512" s="152" t="s">
        <v>4</v>
      </c>
      <c r="C512" s="120" t="s">
        <v>594</v>
      </c>
      <c r="D512" s="116"/>
      <c r="E512" s="116"/>
      <c r="F512" s="116">
        <v>10</v>
      </c>
      <c r="G512" s="116">
        <v>1</v>
      </c>
      <c r="H512" s="116">
        <v>1</v>
      </c>
      <c r="I512" s="116">
        <v>3</v>
      </c>
      <c r="J512" s="116">
        <v>3</v>
      </c>
      <c r="K512" s="116"/>
      <c r="L512" s="116">
        <v>1</v>
      </c>
      <c r="M512" s="116"/>
      <c r="N512" s="116">
        <v>1</v>
      </c>
      <c r="O512" s="116" t="s">
        <v>57</v>
      </c>
      <c r="P512" s="116" t="s">
        <v>64</v>
      </c>
      <c r="R512" s="116" t="s">
        <v>44</v>
      </c>
      <c r="S512" s="47">
        <v>46202</v>
      </c>
      <c r="T512" t="s">
        <v>219</v>
      </c>
    </row>
    <row r="513" spans="1:20">
      <c r="A513" s="54">
        <f t="shared" si="22"/>
        <v>512</v>
      </c>
      <c r="B513" s="152" t="s">
        <v>4</v>
      </c>
      <c r="C513" s="120" t="s">
        <v>595</v>
      </c>
      <c r="D513" s="116"/>
      <c r="E513" s="116"/>
      <c r="F513" s="116">
        <v>0</v>
      </c>
      <c r="G513" s="116">
        <v>0</v>
      </c>
      <c r="H513" s="116">
        <v>1</v>
      </c>
      <c r="I513" s="116">
        <v>3</v>
      </c>
      <c r="J513" s="116">
        <v>3</v>
      </c>
      <c r="K513" s="116"/>
      <c r="L513" s="116"/>
      <c r="M513" s="116">
        <v>1</v>
      </c>
      <c r="N513" s="116"/>
      <c r="O513" s="116" t="s">
        <v>57</v>
      </c>
      <c r="P513" s="116" t="s">
        <v>64</v>
      </c>
      <c r="R513" s="116" t="s">
        <v>44</v>
      </c>
      <c r="S513" s="47">
        <v>46202</v>
      </c>
      <c r="T513" t="s">
        <v>219</v>
      </c>
    </row>
    <row r="514" spans="1:20">
      <c r="A514" s="54">
        <f t="shared" si="22"/>
        <v>513</v>
      </c>
      <c r="B514" s="152" t="s">
        <v>565</v>
      </c>
      <c r="C514" s="120" t="s">
        <v>596</v>
      </c>
      <c r="D514" s="116"/>
      <c r="E514" s="116"/>
      <c r="F514" s="116">
        <v>0</v>
      </c>
      <c r="G514" s="116">
        <v>0</v>
      </c>
      <c r="H514" s="116">
        <v>1</v>
      </c>
      <c r="I514" s="116">
        <v>3</v>
      </c>
      <c r="J514" s="116">
        <v>3</v>
      </c>
      <c r="K514" s="116"/>
      <c r="L514" s="116"/>
      <c r="M514" s="116">
        <v>1</v>
      </c>
      <c r="N514" s="116"/>
      <c r="O514" s="116" t="s">
        <v>57</v>
      </c>
      <c r="P514" s="116" t="s">
        <v>64</v>
      </c>
      <c r="R514" s="116" t="s">
        <v>44</v>
      </c>
      <c r="S514" s="47">
        <v>46202</v>
      </c>
      <c r="T514" t="s">
        <v>219</v>
      </c>
    </row>
    <row r="515" spans="1:20">
      <c r="A515" s="54">
        <f t="shared" si="22"/>
        <v>514</v>
      </c>
      <c r="B515" s="152" t="s">
        <v>2</v>
      </c>
      <c r="C515" s="120" t="s">
        <v>597</v>
      </c>
      <c r="D515" s="116"/>
      <c r="E515" s="116"/>
      <c r="F515" s="116">
        <v>21</v>
      </c>
      <c r="G515" s="116">
        <v>1</v>
      </c>
      <c r="H515" s="116">
        <v>1</v>
      </c>
      <c r="I515" s="116">
        <v>3</v>
      </c>
      <c r="J515" s="116">
        <v>3</v>
      </c>
      <c r="K515" s="116"/>
      <c r="L515" s="116"/>
      <c r="M515" s="116"/>
      <c r="N515" s="116">
        <v>1</v>
      </c>
      <c r="O515" s="116" t="s">
        <v>57</v>
      </c>
      <c r="P515" s="116" t="s">
        <v>43</v>
      </c>
      <c r="R515" s="116" t="s">
        <v>44</v>
      </c>
      <c r="S515" s="47">
        <v>46202</v>
      </c>
      <c r="T515" t="s">
        <v>219</v>
      </c>
    </row>
    <row r="516" spans="1:20">
      <c r="A516" s="54">
        <f t="shared" si="22"/>
        <v>515</v>
      </c>
      <c r="B516" s="152" t="s">
        <v>4</v>
      </c>
      <c r="C516" s="120" t="s">
        <v>598</v>
      </c>
      <c r="D516" s="116"/>
      <c r="E516" s="116"/>
      <c r="F516" s="116">
        <v>0</v>
      </c>
      <c r="G516" s="116">
        <v>0</v>
      </c>
      <c r="H516" s="116">
        <v>1</v>
      </c>
      <c r="I516" s="116">
        <v>4</v>
      </c>
      <c r="J516" s="116">
        <v>4</v>
      </c>
      <c r="K516" s="116">
        <v>1</v>
      </c>
      <c r="L516" s="116"/>
      <c r="M516" s="116">
        <v>1</v>
      </c>
      <c r="N516" s="116"/>
      <c r="O516" s="116" t="s">
        <v>57</v>
      </c>
      <c r="P516" s="116" t="s">
        <v>43</v>
      </c>
      <c r="R516" s="116" t="s">
        <v>44</v>
      </c>
      <c r="S516" s="47">
        <v>46202</v>
      </c>
      <c r="T516" t="s">
        <v>219</v>
      </c>
    </row>
    <row r="517" spans="1:20">
      <c r="A517" s="54">
        <f t="shared" si="22"/>
        <v>516</v>
      </c>
      <c r="B517" s="152" t="s">
        <v>12</v>
      </c>
      <c r="C517" s="120" t="s">
        <v>599</v>
      </c>
      <c r="D517" s="116"/>
      <c r="E517" s="116"/>
      <c r="F517" s="116">
        <v>0</v>
      </c>
      <c r="G517" s="116">
        <v>0</v>
      </c>
      <c r="H517" s="116">
        <v>1</v>
      </c>
      <c r="I517" s="116">
        <v>3</v>
      </c>
      <c r="J517" s="116">
        <v>3</v>
      </c>
      <c r="K517" s="116"/>
      <c r="L517" s="116"/>
      <c r="M517" s="116">
        <v>1</v>
      </c>
      <c r="N517" s="116"/>
      <c r="O517" s="116" t="s">
        <v>57</v>
      </c>
      <c r="P517" s="116" t="s">
        <v>43</v>
      </c>
      <c r="R517" s="116" t="s">
        <v>44</v>
      </c>
      <c r="S517" s="47">
        <v>46202</v>
      </c>
      <c r="T517" t="s">
        <v>219</v>
      </c>
    </row>
    <row r="518" spans="1:20" ht="26.25">
      <c r="A518" s="54">
        <f t="shared" si="22"/>
        <v>517</v>
      </c>
      <c r="B518" s="152" t="s">
        <v>2</v>
      </c>
      <c r="C518" s="120" t="s">
        <v>600</v>
      </c>
      <c r="D518" s="116"/>
      <c r="E518" s="116"/>
      <c r="F518" s="116">
        <v>12</v>
      </c>
      <c r="G518" s="116">
        <v>10</v>
      </c>
      <c r="H518" s="116">
        <v>1</v>
      </c>
      <c r="I518" s="116">
        <v>4</v>
      </c>
      <c r="J518" s="116">
        <v>4</v>
      </c>
      <c r="K518" s="116">
        <v>1</v>
      </c>
      <c r="L518" s="116"/>
      <c r="M518" s="116"/>
      <c r="N518" s="116">
        <v>1</v>
      </c>
      <c r="O518" s="116" t="s">
        <v>57</v>
      </c>
      <c r="P518" s="116" t="s">
        <v>64</v>
      </c>
      <c r="R518" s="116" t="s">
        <v>44</v>
      </c>
      <c r="S518" s="47">
        <v>46202</v>
      </c>
      <c r="T518" t="s">
        <v>219</v>
      </c>
    </row>
    <row r="519" spans="1:20">
      <c r="A519" s="54">
        <f t="shared" si="22"/>
        <v>518</v>
      </c>
      <c r="B519" s="152" t="s">
        <v>2</v>
      </c>
      <c r="C519" s="120" t="s">
        <v>601</v>
      </c>
      <c r="D519" s="116"/>
      <c r="E519" s="116"/>
      <c r="F519" s="116">
        <v>0</v>
      </c>
      <c r="G519" s="116">
        <v>0</v>
      </c>
      <c r="H519" s="116">
        <v>1</v>
      </c>
      <c r="I519" s="116">
        <v>3</v>
      </c>
      <c r="J519" s="116">
        <v>3</v>
      </c>
      <c r="K519" s="116"/>
      <c r="L519" s="116"/>
      <c r="M519" s="116">
        <v>1</v>
      </c>
      <c r="N519" s="116"/>
      <c r="O519" s="116" t="s">
        <v>602</v>
      </c>
      <c r="P519" s="116" t="s">
        <v>64</v>
      </c>
      <c r="Q519" t="s">
        <v>248</v>
      </c>
      <c r="R519" s="116" t="s">
        <v>77</v>
      </c>
      <c r="S519" s="47">
        <v>46202</v>
      </c>
      <c r="T519" t="s">
        <v>219</v>
      </c>
    </row>
    <row r="520" spans="1:20">
      <c r="A520" s="54">
        <f t="shared" si="22"/>
        <v>519</v>
      </c>
      <c r="B520" s="152" t="s">
        <v>8</v>
      </c>
      <c r="C520" s="120" t="s">
        <v>603</v>
      </c>
      <c r="D520" s="116"/>
      <c r="E520" s="116"/>
      <c r="F520" s="116">
        <v>0</v>
      </c>
      <c r="G520" s="116">
        <v>0</v>
      </c>
      <c r="H520" s="116">
        <v>1</v>
      </c>
      <c r="I520" s="116">
        <v>2</v>
      </c>
      <c r="J520" s="116">
        <v>2</v>
      </c>
      <c r="K520" s="116"/>
      <c r="L520" s="116"/>
      <c r="M520" s="116">
        <v>1</v>
      </c>
      <c r="N520" s="116"/>
      <c r="O520" s="116" t="s">
        <v>57</v>
      </c>
      <c r="P520" s="116" t="s">
        <v>64</v>
      </c>
      <c r="R520" s="116" t="s">
        <v>77</v>
      </c>
      <c r="S520" s="47">
        <v>46202</v>
      </c>
      <c r="T520" t="s">
        <v>219</v>
      </c>
    </row>
    <row r="521" spans="1:20">
      <c r="A521" s="54">
        <f t="shared" si="22"/>
        <v>520</v>
      </c>
      <c r="B521" s="152" t="s">
        <v>4</v>
      </c>
      <c r="C521" s="120" t="s">
        <v>604</v>
      </c>
      <c r="D521" s="116"/>
      <c r="E521" s="116"/>
      <c r="F521" s="116">
        <v>12</v>
      </c>
      <c r="G521" s="116">
        <v>4</v>
      </c>
      <c r="H521" s="116">
        <v>1</v>
      </c>
      <c r="I521" s="116">
        <v>3</v>
      </c>
      <c r="J521" s="116">
        <v>3</v>
      </c>
      <c r="K521" s="116"/>
      <c r="L521" s="116"/>
      <c r="M521" s="116">
        <v>1</v>
      </c>
      <c r="N521" s="116"/>
      <c r="O521" s="116" t="s">
        <v>57</v>
      </c>
      <c r="P521" s="116" t="s">
        <v>64</v>
      </c>
      <c r="R521" s="116" t="s">
        <v>44</v>
      </c>
      <c r="S521" s="47">
        <v>46202</v>
      </c>
      <c r="T521" t="s">
        <v>219</v>
      </c>
    </row>
    <row r="522" spans="1:20">
      <c r="A522" s="54">
        <f t="shared" si="22"/>
        <v>521</v>
      </c>
      <c r="B522" s="152" t="s">
        <v>2</v>
      </c>
      <c r="C522" s="120" t="s">
        <v>605</v>
      </c>
      <c r="D522" s="116"/>
      <c r="E522" s="116"/>
      <c r="F522" s="116">
        <v>2</v>
      </c>
      <c r="G522" s="116">
        <v>5</v>
      </c>
      <c r="H522" s="116">
        <v>1</v>
      </c>
      <c r="I522" s="116">
        <v>1</v>
      </c>
      <c r="J522" s="116">
        <v>1</v>
      </c>
      <c r="K522" s="116"/>
      <c r="L522" s="116"/>
      <c r="M522" s="116"/>
      <c r="N522" s="116">
        <v>1</v>
      </c>
      <c r="O522" s="45" t="s">
        <v>72</v>
      </c>
      <c r="P522" s="116" t="s">
        <v>43</v>
      </c>
      <c r="R522" s="116" t="s">
        <v>44</v>
      </c>
      <c r="S522" s="47">
        <v>46202</v>
      </c>
      <c r="T522" t="s">
        <v>219</v>
      </c>
    </row>
    <row r="523" spans="1:20">
      <c r="A523" s="54">
        <f t="shared" si="22"/>
        <v>522</v>
      </c>
      <c r="B523" s="152" t="s">
        <v>8</v>
      </c>
      <c r="C523" s="120" t="s">
        <v>606</v>
      </c>
      <c r="D523" s="116"/>
      <c r="E523" s="116"/>
      <c r="F523" s="116">
        <v>0</v>
      </c>
      <c r="G523" s="116">
        <v>0</v>
      </c>
      <c r="H523" s="116">
        <v>1</v>
      </c>
      <c r="I523" s="116">
        <v>2</v>
      </c>
      <c r="J523" s="116">
        <v>2</v>
      </c>
      <c r="K523" s="116"/>
      <c r="L523" s="116"/>
      <c r="M523" s="116">
        <v>1</v>
      </c>
      <c r="N523" s="116"/>
      <c r="O523" s="116" t="s">
        <v>69</v>
      </c>
      <c r="P523" s="116" t="s">
        <v>64</v>
      </c>
      <c r="Q523" t="s">
        <v>409</v>
      </c>
      <c r="R523" s="116" t="s">
        <v>44</v>
      </c>
      <c r="S523" s="47">
        <v>46202</v>
      </c>
      <c r="T523" t="s">
        <v>219</v>
      </c>
    </row>
    <row r="524" spans="1:20">
      <c r="A524" s="54">
        <f t="shared" si="22"/>
        <v>523</v>
      </c>
      <c r="B524" s="152" t="s">
        <v>2</v>
      </c>
      <c r="C524" s="120" t="s">
        <v>607</v>
      </c>
      <c r="D524" s="116"/>
      <c r="E524" s="116"/>
      <c r="F524" s="116">
        <v>0</v>
      </c>
      <c r="G524" s="116">
        <v>0</v>
      </c>
      <c r="H524" s="116">
        <v>1</v>
      </c>
      <c r="I524" s="116">
        <v>2</v>
      </c>
      <c r="J524" s="116">
        <v>2</v>
      </c>
      <c r="K524" s="116"/>
      <c r="L524" s="116"/>
      <c r="M524" s="116">
        <v>1</v>
      </c>
      <c r="N524" s="116"/>
      <c r="O524" s="116" t="s">
        <v>42</v>
      </c>
      <c r="P524" s="116" t="s">
        <v>64</v>
      </c>
      <c r="R524" s="116" t="s">
        <v>44</v>
      </c>
      <c r="S524" s="47">
        <v>46202</v>
      </c>
      <c r="T524" t="s">
        <v>219</v>
      </c>
    </row>
    <row r="525" spans="1:20">
      <c r="A525" s="54">
        <f t="shared" si="22"/>
        <v>524</v>
      </c>
      <c r="B525" s="152" t="s">
        <v>3</v>
      </c>
      <c r="C525" s="120" t="s">
        <v>512</v>
      </c>
      <c r="D525" s="116"/>
      <c r="E525" s="116"/>
      <c r="F525" s="116">
        <v>1</v>
      </c>
      <c r="G525" s="116">
        <v>1</v>
      </c>
      <c r="H525" s="116">
        <v>1</v>
      </c>
      <c r="I525" s="116">
        <v>3</v>
      </c>
      <c r="J525" s="116">
        <v>3</v>
      </c>
      <c r="K525" s="116"/>
      <c r="L525" s="116">
        <v>1</v>
      </c>
      <c r="M525" s="116"/>
      <c r="N525" s="116">
        <v>1</v>
      </c>
      <c r="O525" s="116" t="s">
        <v>57</v>
      </c>
      <c r="P525" s="116" t="s">
        <v>43</v>
      </c>
      <c r="R525" s="116" t="s">
        <v>44</v>
      </c>
      <c r="S525" s="47">
        <v>46202</v>
      </c>
      <c r="T525" t="s">
        <v>219</v>
      </c>
    </row>
    <row r="526" spans="1:20">
      <c r="A526" s="54">
        <f t="shared" si="22"/>
        <v>525</v>
      </c>
      <c r="B526" s="152" t="s">
        <v>5</v>
      </c>
      <c r="C526" s="120" t="s">
        <v>608</v>
      </c>
      <c r="D526" s="116"/>
      <c r="E526" s="116"/>
      <c r="F526" s="116">
        <v>0</v>
      </c>
      <c r="G526" s="116">
        <v>0</v>
      </c>
      <c r="H526" s="116">
        <v>1</v>
      </c>
      <c r="I526" s="116">
        <v>3</v>
      </c>
      <c r="J526" s="116">
        <v>3</v>
      </c>
      <c r="K526" s="116">
        <v>1</v>
      </c>
      <c r="L526" s="116"/>
      <c r="M526" s="116">
        <v>1</v>
      </c>
      <c r="N526" s="116"/>
      <c r="O526" s="116" t="s">
        <v>57</v>
      </c>
      <c r="P526" s="116" t="s">
        <v>43</v>
      </c>
      <c r="R526" s="116" t="s">
        <v>44</v>
      </c>
      <c r="S526" s="47">
        <v>46202</v>
      </c>
      <c r="T526" t="s">
        <v>219</v>
      </c>
    </row>
    <row r="527" spans="1:20">
      <c r="A527" s="54">
        <f t="shared" si="22"/>
        <v>526</v>
      </c>
      <c r="B527" s="152" t="s">
        <v>11</v>
      </c>
      <c r="C527" s="120" t="s">
        <v>609</v>
      </c>
      <c r="D527" s="116"/>
      <c r="E527" s="116"/>
      <c r="F527" s="116">
        <v>0</v>
      </c>
      <c r="G527" s="116">
        <v>0</v>
      </c>
      <c r="H527" s="116">
        <v>1</v>
      </c>
      <c r="I527" s="116">
        <v>3</v>
      </c>
      <c r="J527" s="116">
        <v>3</v>
      </c>
      <c r="K527" s="116"/>
      <c r="L527" s="116"/>
      <c r="M527" s="116">
        <v>1</v>
      </c>
      <c r="N527" s="116"/>
      <c r="O527" s="116" t="s">
        <v>57</v>
      </c>
      <c r="P527" s="116" t="s">
        <v>64</v>
      </c>
      <c r="R527" s="116" t="s">
        <v>44</v>
      </c>
      <c r="S527" s="47">
        <v>46202</v>
      </c>
      <c r="T527" t="s">
        <v>219</v>
      </c>
    </row>
    <row r="528" spans="1:20">
      <c r="A528" s="54">
        <f t="shared" si="22"/>
        <v>527</v>
      </c>
      <c r="B528" s="152" t="s">
        <v>3</v>
      </c>
      <c r="C528" s="120" t="s">
        <v>610</v>
      </c>
      <c r="D528" s="116"/>
      <c r="E528" s="116"/>
      <c r="F528" s="116">
        <v>2</v>
      </c>
      <c r="G528" s="116">
        <v>1</v>
      </c>
      <c r="H528" s="116">
        <v>1</v>
      </c>
      <c r="I528" s="116">
        <v>5</v>
      </c>
      <c r="J528" s="116">
        <v>5</v>
      </c>
      <c r="K528" s="116">
        <v>1</v>
      </c>
      <c r="L528" s="116"/>
      <c r="M528" s="116"/>
      <c r="N528" s="116">
        <v>1</v>
      </c>
      <c r="O528" s="116" t="s">
        <v>42</v>
      </c>
      <c r="P528" s="116" t="s">
        <v>43</v>
      </c>
      <c r="R528" s="116" t="s">
        <v>44</v>
      </c>
      <c r="S528" s="47">
        <v>46202</v>
      </c>
      <c r="T528" t="s">
        <v>219</v>
      </c>
    </row>
    <row r="529" spans="1:20">
      <c r="A529" s="54">
        <f t="shared" si="22"/>
        <v>528</v>
      </c>
      <c r="B529" s="152" t="s">
        <v>4</v>
      </c>
      <c r="C529" s="120" t="s">
        <v>611</v>
      </c>
      <c r="D529" s="116"/>
      <c r="E529" s="116"/>
      <c r="F529" s="116">
        <v>0</v>
      </c>
      <c r="G529" s="116">
        <v>0</v>
      </c>
      <c r="H529" s="116">
        <v>1</v>
      </c>
      <c r="I529" s="116">
        <v>2</v>
      </c>
      <c r="J529" s="116">
        <v>2</v>
      </c>
      <c r="K529" s="116"/>
      <c r="L529" s="116"/>
      <c r="M529" s="116">
        <v>1</v>
      </c>
      <c r="N529" s="116"/>
      <c r="O529" s="116" t="s">
        <v>42</v>
      </c>
      <c r="P529" s="116" t="s">
        <v>64</v>
      </c>
      <c r="R529" s="116" t="s">
        <v>44</v>
      </c>
      <c r="S529" s="47">
        <v>46202</v>
      </c>
      <c r="T529" t="s">
        <v>219</v>
      </c>
    </row>
    <row r="530" spans="1:20">
      <c r="A530" s="54">
        <f t="shared" si="22"/>
        <v>529</v>
      </c>
      <c r="B530" s="152" t="s">
        <v>6</v>
      </c>
      <c r="C530" s="120" t="s">
        <v>612</v>
      </c>
      <c r="D530" s="116"/>
      <c r="E530" s="116"/>
      <c r="F530" s="116">
        <v>0</v>
      </c>
      <c r="G530" s="116">
        <v>4</v>
      </c>
      <c r="H530" s="116">
        <v>1</v>
      </c>
      <c r="I530" s="116">
        <v>5</v>
      </c>
      <c r="J530" s="116">
        <v>5</v>
      </c>
      <c r="K530" s="116">
        <v>1</v>
      </c>
      <c r="L530" s="116"/>
      <c r="M530" s="116"/>
      <c r="N530" s="116">
        <v>1</v>
      </c>
      <c r="O530" s="116" t="s">
        <v>42</v>
      </c>
      <c r="P530" s="116" t="s">
        <v>43</v>
      </c>
      <c r="R530" s="116" t="s">
        <v>44</v>
      </c>
      <c r="S530" s="47">
        <v>46202</v>
      </c>
      <c r="T530" t="s">
        <v>219</v>
      </c>
    </row>
    <row r="531" spans="1:20">
      <c r="A531" s="54">
        <f t="shared" si="22"/>
        <v>530</v>
      </c>
      <c r="B531" s="152" t="s">
        <v>7</v>
      </c>
      <c r="C531" s="120" t="s">
        <v>613</v>
      </c>
      <c r="D531" s="116"/>
      <c r="E531" s="116"/>
      <c r="F531" s="116">
        <v>0</v>
      </c>
      <c r="G531" s="116">
        <v>0</v>
      </c>
      <c r="H531" s="116">
        <v>1</v>
      </c>
      <c r="I531" s="116">
        <v>4</v>
      </c>
      <c r="J531" s="116">
        <v>4</v>
      </c>
      <c r="K531" s="116">
        <v>1</v>
      </c>
      <c r="L531" s="116"/>
      <c r="M531" s="116">
        <v>1</v>
      </c>
      <c r="N531" s="116"/>
      <c r="O531" s="116" t="s">
        <v>108</v>
      </c>
      <c r="P531" s="116" t="s">
        <v>43</v>
      </c>
      <c r="R531" s="116" t="s">
        <v>97</v>
      </c>
      <c r="S531" s="47">
        <v>46202</v>
      </c>
      <c r="T531" t="s">
        <v>219</v>
      </c>
    </row>
    <row r="532" spans="1:20">
      <c r="A532" s="54">
        <f t="shared" si="22"/>
        <v>531</v>
      </c>
      <c r="B532" s="152" t="s">
        <v>4</v>
      </c>
      <c r="C532" s="120" t="s">
        <v>614</v>
      </c>
      <c r="D532" s="116"/>
      <c r="E532" s="116"/>
      <c r="F532" s="116">
        <v>0</v>
      </c>
      <c r="G532" s="116">
        <v>0</v>
      </c>
      <c r="H532" s="116">
        <v>1</v>
      </c>
      <c r="I532" s="116">
        <v>3</v>
      </c>
      <c r="J532" s="116">
        <v>3</v>
      </c>
      <c r="K532" s="116">
        <v>1</v>
      </c>
      <c r="L532" s="116"/>
      <c r="M532" s="116">
        <v>1</v>
      </c>
      <c r="N532" s="116"/>
      <c r="O532" s="116" t="s">
        <v>124</v>
      </c>
      <c r="P532" s="116" t="s">
        <v>43</v>
      </c>
      <c r="R532" s="116" t="s">
        <v>99</v>
      </c>
      <c r="S532" s="47">
        <v>46202</v>
      </c>
      <c r="T532" t="s">
        <v>219</v>
      </c>
    </row>
    <row r="533" spans="1:20">
      <c r="A533" s="54">
        <f t="shared" si="22"/>
        <v>532</v>
      </c>
      <c r="B533" s="152" t="s">
        <v>7</v>
      </c>
      <c r="C533" s="120" t="s">
        <v>615</v>
      </c>
      <c r="D533" s="116"/>
      <c r="E533" s="116"/>
      <c r="F533" s="116">
        <v>0</v>
      </c>
      <c r="G533" s="116">
        <v>0</v>
      </c>
      <c r="H533" s="116">
        <v>1</v>
      </c>
      <c r="I533" s="116">
        <v>1</v>
      </c>
      <c r="J533" s="116">
        <v>1</v>
      </c>
      <c r="K533" s="116"/>
      <c r="L533" s="116"/>
      <c r="M533" s="116">
        <v>1</v>
      </c>
      <c r="N533" s="116"/>
      <c r="O533" s="116" t="s">
        <v>42</v>
      </c>
      <c r="P533" s="116" t="s">
        <v>64</v>
      </c>
      <c r="R533" s="116" t="s">
        <v>97</v>
      </c>
      <c r="S533" s="47">
        <v>46202</v>
      </c>
      <c r="T533" t="s">
        <v>219</v>
      </c>
    </row>
    <row r="534" spans="1:20">
      <c r="A534" s="54">
        <f t="shared" si="22"/>
        <v>533</v>
      </c>
      <c r="B534" s="152" t="s">
        <v>7</v>
      </c>
      <c r="C534" s="120" t="s">
        <v>616</v>
      </c>
      <c r="D534" s="116"/>
      <c r="E534" s="116"/>
      <c r="F534" s="116">
        <v>0</v>
      </c>
      <c r="G534" s="116">
        <v>0</v>
      </c>
      <c r="H534" s="116">
        <v>1</v>
      </c>
      <c r="I534" s="116">
        <v>2</v>
      </c>
      <c r="J534" s="116">
        <v>2</v>
      </c>
      <c r="K534" s="116"/>
      <c r="L534" s="116"/>
      <c r="M534" s="116">
        <v>1</v>
      </c>
      <c r="N534" s="116"/>
      <c r="O534" s="116" t="s">
        <v>124</v>
      </c>
      <c r="P534" s="116" t="s">
        <v>64</v>
      </c>
      <c r="R534" s="116" t="s">
        <v>99</v>
      </c>
      <c r="S534" s="47">
        <v>46202</v>
      </c>
      <c r="T534" t="s">
        <v>219</v>
      </c>
    </row>
    <row r="535" spans="1:20">
      <c r="A535" s="54">
        <f t="shared" si="22"/>
        <v>534</v>
      </c>
      <c r="B535" s="152" t="s">
        <v>3</v>
      </c>
      <c r="C535" s="120" t="s">
        <v>617</v>
      </c>
      <c r="D535" s="116"/>
      <c r="E535" s="116"/>
      <c r="F535" s="116">
        <v>10</v>
      </c>
      <c r="G535" s="116">
        <v>2</v>
      </c>
      <c r="H535" s="116">
        <v>1</v>
      </c>
      <c r="I535" s="116">
        <v>4</v>
      </c>
      <c r="J535" s="116">
        <v>4</v>
      </c>
      <c r="K535" s="116">
        <v>1</v>
      </c>
      <c r="L535" s="116">
        <v>1</v>
      </c>
      <c r="M535" s="116"/>
      <c r="N535" s="116">
        <v>1</v>
      </c>
      <c r="O535" s="116" t="s">
        <v>124</v>
      </c>
      <c r="P535" s="116" t="s">
        <v>43</v>
      </c>
      <c r="R535" s="116" t="s">
        <v>99</v>
      </c>
      <c r="S535" s="47">
        <v>46202</v>
      </c>
      <c r="T535" t="s">
        <v>219</v>
      </c>
    </row>
    <row r="536" spans="1:20">
      <c r="A536" s="54">
        <f t="shared" si="22"/>
        <v>535</v>
      </c>
      <c r="B536" s="152" t="s">
        <v>4</v>
      </c>
      <c r="C536" s="120" t="s">
        <v>618</v>
      </c>
      <c r="D536" s="116"/>
      <c r="E536" s="116"/>
      <c r="F536" s="116">
        <v>1</v>
      </c>
      <c r="G536" s="116">
        <v>0</v>
      </c>
      <c r="H536" s="116">
        <v>1</v>
      </c>
      <c r="I536" s="116">
        <v>2</v>
      </c>
      <c r="J536" s="116">
        <v>2</v>
      </c>
      <c r="K536" s="116"/>
      <c r="L536" s="116"/>
      <c r="M536" s="116">
        <v>1</v>
      </c>
      <c r="N536" s="116"/>
      <c r="O536" s="116" t="s">
        <v>124</v>
      </c>
      <c r="P536" s="116" t="s">
        <v>64</v>
      </c>
      <c r="R536" s="116" t="s">
        <v>99</v>
      </c>
      <c r="S536" s="47">
        <v>46202</v>
      </c>
      <c r="T536" t="s">
        <v>219</v>
      </c>
    </row>
    <row r="537" spans="1:20">
      <c r="A537" s="54">
        <f t="shared" si="22"/>
        <v>536</v>
      </c>
      <c r="B537" s="152" t="s">
        <v>7</v>
      </c>
      <c r="C537" s="165" t="s">
        <v>619</v>
      </c>
      <c r="D537" s="116"/>
      <c r="E537" s="116"/>
      <c r="F537" s="116">
        <v>0</v>
      </c>
      <c r="G537" s="116">
        <v>0</v>
      </c>
      <c r="H537" s="116">
        <v>1</v>
      </c>
      <c r="I537" s="116">
        <v>3</v>
      </c>
      <c r="J537" s="116">
        <v>3</v>
      </c>
      <c r="K537" s="116"/>
      <c r="L537" s="116"/>
      <c r="M537" s="116">
        <v>1</v>
      </c>
      <c r="N537" s="116"/>
      <c r="O537" s="116" t="s">
        <v>108</v>
      </c>
      <c r="P537" s="116" t="s">
        <v>64</v>
      </c>
      <c r="R537" s="116" t="s">
        <v>99</v>
      </c>
      <c r="S537" s="47">
        <v>46202</v>
      </c>
      <c r="T537" t="s">
        <v>219</v>
      </c>
    </row>
    <row r="538" spans="1:20">
      <c r="A538" s="54">
        <f t="shared" si="22"/>
        <v>537</v>
      </c>
      <c r="B538" s="152" t="s">
        <v>4</v>
      </c>
      <c r="C538" s="120" t="s">
        <v>620</v>
      </c>
      <c r="D538" s="116"/>
      <c r="E538" s="116"/>
      <c r="F538" s="116">
        <v>0</v>
      </c>
      <c r="G538" s="116">
        <v>0</v>
      </c>
      <c r="H538" s="116">
        <v>1</v>
      </c>
      <c r="I538" s="116">
        <v>3</v>
      </c>
      <c r="J538" s="116">
        <v>3</v>
      </c>
      <c r="K538" s="116"/>
      <c r="L538" s="116"/>
      <c r="M538" s="116">
        <v>1</v>
      </c>
      <c r="N538" s="116"/>
      <c r="O538" s="116" t="s">
        <v>57</v>
      </c>
      <c r="P538" s="116" t="s">
        <v>64</v>
      </c>
      <c r="R538" s="116" t="s">
        <v>99</v>
      </c>
      <c r="S538" s="47">
        <v>46202</v>
      </c>
      <c r="T538" t="s">
        <v>219</v>
      </c>
    </row>
    <row r="539" spans="1:20" ht="26.25">
      <c r="A539" s="54">
        <f t="shared" ref="A539:A582" si="23">A538+1</f>
        <v>538</v>
      </c>
      <c r="B539" s="166" t="s">
        <v>6</v>
      </c>
      <c r="C539" s="120" t="s">
        <v>621</v>
      </c>
      <c r="D539" s="116"/>
      <c r="E539" s="116"/>
      <c r="F539" s="116">
        <v>1</v>
      </c>
      <c r="G539" s="116">
        <v>2</v>
      </c>
      <c r="H539" s="116">
        <v>1</v>
      </c>
      <c r="I539" s="116">
        <v>2</v>
      </c>
      <c r="J539" s="116">
        <v>2</v>
      </c>
      <c r="K539" s="116"/>
      <c r="L539" s="116"/>
      <c r="M539" s="116"/>
      <c r="N539" s="116">
        <v>1</v>
      </c>
      <c r="O539" s="116" t="s">
        <v>108</v>
      </c>
      <c r="P539" s="116" t="s">
        <v>64</v>
      </c>
      <c r="R539" s="116" t="s">
        <v>44</v>
      </c>
      <c r="S539" s="47">
        <v>46203</v>
      </c>
    </row>
    <row r="540" spans="1:20">
      <c r="A540" s="54">
        <f t="shared" si="23"/>
        <v>539</v>
      </c>
      <c r="B540" s="166" t="s">
        <v>6</v>
      </c>
      <c r="C540" s="120" t="s">
        <v>622</v>
      </c>
      <c r="D540" s="116"/>
      <c r="E540" s="116"/>
      <c r="F540" s="116">
        <v>0</v>
      </c>
      <c r="G540" s="116">
        <v>0</v>
      </c>
      <c r="H540" s="116">
        <v>1</v>
      </c>
      <c r="I540" s="116">
        <v>2</v>
      </c>
      <c r="J540" s="116">
        <v>2</v>
      </c>
      <c r="K540" s="116"/>
      <c r="L540" s="116"/>
      <c r="M540" s="116">
        <v>1</v>
      </c>
      <c r="N540" s="116"/>
      <c r="O540" s="116" t="s">
        <v>108</v>
      </c>
      <c r="P540" s="116" t="s">
        <v>64</v>
      </c>
      <c r="R540" s="116" t="s">
        <v>99</v>
      </c>
      <c r="S540" s="47">
        <v>46203</v>
      </c>
    </row>
    <row r="541" spans="1:20">
      <c r="A541" s="54">
        <f t="shared" si="23"/>
        <v>540</v>
      </c>
      <c r="B541" s="166" t="s">
        <v>2</v>
      </c>
      <c r="C541" s="164" t="s">
        <v>623</v>
      </c>
      <c r="D541" s="116"/>
      <c r="E541" s="116"/>
      <c r="F541" s="116">
        <v>0</v>
      </c>
      <c r="G541" s="116">
        <v>0</v>
      </c>
      <c r="H541" s="116">
        <v>1</v>
      </c>
      <c r="I541" s="116">
        <v>2</v>
      </c>
      <c r="J541" s="116">
        <v>2</v>
      </c>
      <c r="K541" s="116"/>
      <c r="L541" s="116"/>
      <c r="M541" s="116">
        <v>1</v>
      </c>
      <c r="N541" s="116"/>
      <c r="O541" t="s">
        <v>85</v>
      </c>
      <c r="P541" s="116" t="s">
        <v>64</v>
      </c>
      <c r="R541" s="116" t="s">
        <v>99</v>
      </c>
      <c r="S541" s="47">
        <v>46203</v>
      </c>
    </row>
    <row r="542" spans="1:20">
      <c r="A542" s="54">
        <f t="shared" si="23"/>
        <v>541</v>
      </c>
      <c r="B542" s="166" t="s">
        <v>7</v>
      </c>
      <c r="C542" s="120" t="s">
        <v>624</v>
      </c>
      <c r="D542" s="116"/>
      <c r="E542" s="116"/>
      <c r="F542" s="116">
        <v>0</v>
      </c>
      <c r="G542" s="116">
        <v>0</v>
      </c>
      <c r="H542" s="116">
        <v>1</v>
      </c>
      <c r="I542" s="116">
        <v>3</v>
      </c>
      <c r="J542" s="116">
        <v>3</v>
      </c>
      <c r="K542" s="116"/>
      <c r="L542" s="116"/>
      <c r="M542" s="116">
        <v>1</v>
      </c>
      <c r="N542" s="116"/>
      <c r="O542" s="116" t="s">
        <v>92</v>
      </c>
      <c r="P542" s="116" t="s">
        <v>64</v>
      </c>
      <c r="R542" s="116" t="s">
        <v>99</v>
      </c>
      <c r="S542" s="47">
        <v>46203</v>
      </c>
    </row>
    <row r="543" spans="1:20">
      <c r="A543" s="54">
        <f t="shared" si="23"/>
        <v>542</v>
      </c>
      <c r="B543" s="166" t="s">
        <v>7</v>
      </c>
      <c r="C543" s="120" t="s">
        <v>625</v>
      </c>
      <c r="D543" s="116"/>
      <c r="E543" s="116"/>
      <c r="F543" s="116">
        <v>0</v>
      </c>
      <c r="G543" s="116">
        <v>0</v>
      </c>
      <c r="H543" s="116">
        <v>1</v>
      </c>
      <c r="I543" s="116">
        <v>3</v>
      </c>
      <c r="J543" s="116">
        <v>3</v>
      </c>
      <c r="K543" s="116"/>
      <c r="L543" s="116"/>
      <c r="M543" s="116">
        <v>1</v>
      </c>
      <c r="N543" s="116"/>
      <c r="O543" s="116" t="s">
        <v>108</v>
      </c>
      <c r="P543" s="116" t="s">
        <v>64</v>
      </c>
      <c r="R543" s="116" t="s">
        <v>99</v>
      </c>
      <c r="S543" s="47">
        <v>46203</v>
      </c>
    </row>
    <row r="544" spans="1:20">
      <c r="A544" s="54">
        <f t="shared" si="23"/>
        <v>543</v>
      </c>
      <c r="B544" s="166" t="s">
        <v>6</v>
      </c>
      <c r="C544" s="120" t="s">
        <v>626</v>
      </c>
      <c r="D544" s="116"/>
      <c r="E544" s="116"/>
      <c r="F544" s="116">
        <v>0</v>
      </c>
      <c r="G544" s="116">
        <v>0</v>
      </c>
      <c r="H544" s="116">
        <v>1</v>
      </c>
      <c r="I544" s="116">
        <v>3</v>
      </c>
      <c r="J544" s="116">
        <v>3</v>
      </c>
      <c r="K544" s="116"/>
      <c r="L544" s="116"/>
      <c r="M544" s="116">
        <v>1</v>
      </c>
      <c r="N544" s="116"/>
      <c r="O544" s="116" t="s">
        <v>42</v>
      </c>
      <c r="P544" s="116" t="s">
        <v>64</v>
      </c>
      <c r="R544" s="116" t="s">
        <v>99</v>
      </c>
      <c r="S544" s="47">
        <v>46203</v>
      </c>
      <c r="T544" t="s">
        <v>219</v>
      </c>
    </row>
    <row r="545" spans="1:20">
      <c r="A545" s="54">
        <f t="shared" si="23"/>
        <v>544</v>
      </c>
      <c r="B545" s="166" t="s">
        <v>3</v>
      </c>
      <c r="C545" s="120" t="s">
        <v>627</v>
      </c>
      <c r="D545" s="116"/>
      <c r="E545" s="116"/>
      <c r="F545" s="116">
        <v>1</v>
      </c>
      <c r="G545" s="116">
        <v>4</v>
      </c>
      <c r="H545" s="116">
        <v>1</v>
      </c>
      <c r="I545" s="116">
        <v>3</v>
      </c>
      <c r="J545" s="116">
        <v>3</v>
      </c>
      <c r="K545" s="116"/>
      <c r="L545" s="116">
        <v>1</v>
      </c>
      <c r="M545" s="116"/>
      <c r="N545" s="116">
        <v>1</v>
      </c>
      <c r="O545" t="s">
        <v>85</v>
      </c>
      <c r="P545" s="116" t="s">
        <v>64</v>
      </c>
      <c r="R545" s="116" t="s">
        <v>99</v>
      </c>
      <c r="S545" s="47">
        <v>46203</v>
      </c>
    </row>
    <row r="546" spans="1:20">
      <c r="A546" s="54">
        <f t="shared" si="23"/>
        <v>545</v>
      </c>
      <c r="B546" s="166" t="s">
        <v>16</v>
      </c>
      <c r="C546" s="120" t="s">
        <v>628</v>
      </c>
      <c r="D546" s="116"/>
      <c r="E546" s="116"/>
      <c r="F546" s="116">
        <v>1</v>
      </c>
      <c r="G546" s="116">
        <v>1</v>
      </c>
      <c r="H546" s="116">
        <v>1</v>
      </c>
      <c r="I546" s="116">
        <v>5</v>
      </c>
      <c r="J546" s="116">
        <v>5</v>
      </c>
      <c r="K546" s="116">
        <v>1</v>
      </c>
      <c r="L546" s="116"/>
      <c r="M546" s="116"/>
      <c r="N546" s="116">
        <v>1</v>
      </c>
      <c r="O546" t="s">
        <v>85</v>
      </c>
      <c r="P546" s="116" t="s">
        <v>43</v>
      </c>
      <c r="R546" s="116" t="s">
        <v>99</v>
      </c>
      <c r="S546" s="47">
        <v>46203</v>
      </c>
    </row>
    <row r="547" spans="1:20">
      <c r="A547" s="54">
        <f t="shared" si="23"/>
        <v>546</v>
      </c>
      <c r="B547" s="166" t="s">
        <v>11</v>
      </c>
      <c r="C547" s="120" t="s">
        <v>629</v>
      </c>
      <c r="D547" s="116"/>
      <c r="E547" s="116"/>
      <c r="F547" s="116">
        <v>0</v>
      </c>
      <c r="G547" s="116">
        <v>0</v>
      </c>
      <c r="H547" s="116">
        <v>1</v>
      </c>
      <c r="I547" s="116">
        <v>4</v>
      </c>
      <c r="J547" s="116">
        <v>4</v>
      </c>
      <c r="K547" s="116">
        <v>1</v>
      </c>
      <c r="L547" s="116"/>
      <c r="M547" s="116">
        <v>1</v>
      </c>
      <c r="N547" s="116"/>
      <c r="O547" t="s">
        <v>85</v>
      </c>
      <c r="P547" s="116" t="s">
        <v>64</v>
      </c>
      <c r="R547" s="116" t="s">
        <v>99</v>
      </c>
      <c r="S547" s="47">
        <v>46203</v>
      </c>
    </row>
    <row r="548" spans="1:20">
      <c r="A548" s="54">
        <f t="shared" si="23"/>
        <v>547</v>
      </c>
      <c r="B548" s="166" t="s">
        <v>4</v>
      </c>
      <c r="C548" s="120" t="s">
        <v>630</v>
      </c>
      <c r="D548" s="116"/>
      <c r="E548" s="116"/>
      <c r="F548" s="116">
        <v>0</v>
      </c>
      <c r="G548" s="116">
        <v>0</v>
      </c>
      <c r="H548" s="116">
        <v>1</v>
      </c>
      <c r="I548" s="116">
        <v>4</v>
      </c>
      <c r="J548" s="116">
        <v>4</v>
      </c>
      <c r="K548" s="116">
        <v>1</v>
      </c>
      <c r="L548" s="116"/>
      <c r="M548" s="116">
        <v>1</v>
      </c>
      <c r="N548" s="116"/>
      <c r="O548" s="116" t="s">
        <v>124</v>
      </c>
      <c r="P548" s="116" t="s">
        <v>64</v>
      </c>
      <c r="R548" s="116" t="s">
        <v>99</v>
      </c>
      <c r="S548" s="47">
        <v>46203</v>
      </c>
    </row>
    <row r="549" spans="1:20" ht="26.25">
      <c r="A549" s="54">
        <f t="shared" si="23"/>
        <v>548</v>
      </c>
      <c r="C549" s="120" t="s">
        <v>631</v>
      </c>
      <c r="D549" s="116"/>
      <c r="E549" s="116"/>
      <c r="F549" s="116">
        <v>1</v>
      </c>
      <c r="G549" s="116">
        <v>3</v>
      </c>
      <c r="H549" s="116">
        <v>1</v>
      </c>
      <c r="I549" s="116">
        <v>5</v>
      </c>
      <c r="J549" s="116">
        <v>5</v>
      </c>
      <c r="K549" s="116">
        <v>1</v>
      </c>
      <c r="L549" s="116"/>
      <c r="M549" s="116"/>
      <c r="N549" s="116">
        <v>1</v>
      </c>
      <c r="O549" s="116" t="s">
        <v>124</v>
      </c>
      <c r="P549" s="116" t="s">
        <v>64</v>
      </c>
      <c r="R549" s="116" t="s">
        <v>99</v>
      </c>
      <c r="S549" s="47">
        <v>46203</v>
      </c>
    </row>
    <row r="550" spans="1:20">
      <c r="A550" s="54">
        <f t="shared" si="23"/>
        <v>549</v>
      </c>
      <c r="C550" s="120" t="s">
        <v>632</v>
      </c>
      <c r="D550" s="116"/>
      <c r="E550" s="116"/>
      <c r="F550" s="116">
        <v>0</v>
      </c>
      <c r="G550" s="116">
        <v>0</v>
      </c>
      <c r="H550" s="116">
        <v>1</v>
      </c>
      <c r="I550" s="116">
        <v>3</v>
      </c>
      <c r="J550" s="116">
        <v>3</v>
      </c>
      <c r="K550" s="116"/>
      <c r="L550" s="116"/>
      <c r="M550" s="116">
        <v>1</v>
      </c>
      <c r="N550" s="116"/>
      <c r="O550" s="116" t="s">
        <v>124</v>
      </c>
      <c r="P550" s="116" t="s">
        <v>64</v>
      </c>
      <c r="R550" s="116" t="s">
        <v>99</v>
      </c>
      <c r="S550" s="47">
        <v>46203</v>
      </c>
    </row>
    <row r="551" spans="1:20">
      <c r="A551" s="54">
        <f t="shared" si="23"/>
        <v>550</v>
      </c>
      <c r="C551" s="35" t="s">
        <v>633</v>
      </c>
      <c r="H551" s="116">
        <v>1</v>
      </c>
      <c r="I551" s="116">
        <v>3</v>
      </c>
      <c r="J551" s="116">
        <v>3</v>
      </c>
      <c r="M551" s="116">
        <v>1</v>
      </c>
      <c r="O551" s="116" t="s">
        <v>57</v>
      </c>
      <c r="P551" s="116" t="s">
        <v>64</v>
      </c>
      <c r="R551" s="116" t="s">
        <v>44</v>
      </c>
      <c r="S551" s="47">
        <v>46203</v>
      </c>
    </row>
    <row r="552" spans="1:20">
      <c r="A552" s="54">
        <f t="shared" si="23"/>
        <v>551</v>
      </c>
      <c r="C552" s="35" t="s">
        <v>634</v>
      </c>
      <c r="H552" s="116">
        <v>1</v>
      </c>
      <c r="I552" s="116">
        <v>3</v>
      </c>
      <c r="J552" s="116">
        <v>3</v>
      </c>
      <c r="M552" s="116">
        <v>1</v>
      </c>
      <c r="O552" s="116" t="s">
        <v>57</v>
      </c>
      <c r="P552" s="116" t="s">
        <v>43</v>
      </c>
      <c r="R552" s="116" t="s">
        <v>44</v>
      </c>
      <c r="S552" s="47">
        <v>46203</v>
      </c>
    </row>
    <row r="553" spans="1:20">
      <c r="A553" s="54">
        <f t="shared" si="23"/>
        <v>552</v>
      </c>
      <c r="B553" s="166" t="s">
        <v>18</v>
      </c>
      <c r="C553" s="167" t="s">
        <v>635</v>
      </c>
      <c r="F553" s="116">
        <v>0</v>
      </c>
      <c r="G553" s="116">
        <v>0</v>
      </c>
      <c r="H553" s="116">
        <v>1</v>
      </c>
      <c r="I553" s="116">
        <v>4</v>
      </c>
      <c r="J553" s="116">
        <v>4</v>
      </c>
      <c r="K553" s="116">
        <v>1</v>
      </c>
      <c r="M553" s="116">
        <v>3</v>
      </c>
      <c r="O553" s="116" t="s">
        <v>42</v>
      </c>
      <c r="P553" s="116" t="s">
        <v>64</v>
      </c>
      <c r="R553" s="116" t="s">
        <v>44</v>
      </c>
      <c r="S553" s="47">
        <v>46203</v>
      </c>
      <c r="T553" t="s">
        <v>219</v>
      </c>
    </row>
    <row r="554" spans="1:20">
      <c r="A554" s="54">
        <f t="shared" si="23"/>
        <v>553</v>
      </c>
    </row>
    <row r="555" spans="1:20">
      <c r="A555" s="54">
        <f t="shared" si="23"/>
        <v>554</v>
      </c>
    </row>
    <row r="556" spans="1:20">
      <c r="A556" s="54">
        <f t="shared" si="23"/>
        <v>555</v>
      </c>
    </row>
    <row r="557" spans="1:20">
      <c r="A557" s="54">
        <f t="shared" si="23"/>
        <v>556</v>
      </c>
    </row>
    <row r="558" spans="1:20">
      <c r="A558" s="54">
        <f t="shared" si="23"/>
        <v>557</v>
      </c>
    </row>
    <row r="559" spans="1:20">
      <c r="A559" s="54">
        <f t="shared" si="23"/>
        <v>558</v>
      </c>
    </row>
    <row r="560" spans="1:20">
      <c r="A560" s="54">
        <f t="shared" si="23"/>
        <v>559</v>
      </c>
    </row>
    <row r="561" spans="1:1">
      <c r="A561" s="54">
        <f t="shared" si="23"/>
        <v>560</v>
      </c>
    </row>
    <row r="562" spans="1:1">
      <c r="A562" s="54">
        <f t="shared" si="23"/>
        <v>561</v>
      </c>
    </row>
    <row r="563" spans="1:1">
      <c r="A563" s="54">
        <f t="shared" si="23"/>
        <v>562</v>
      </c>
    </row>
    <row r="564" spans="1:1">
      <c r="A564" s="54">
        <f t="shared" si="23"/>
        <v>563</v>
      </c>
    </row>
    <row r="565" spans="1:1">
      <c r="A565" s="54">
        <f t="shared" si="23"/>
        <v>564</v>
      </c>
    </row>
    <row r="566" spans="1:1">
      <c r="A566" s="54">
        <f t="shared" si="23"/>
        <v>565</v>
      </c>
    </row>
    <row r="567" spans="1:1">
      <c r="A567" s="54">
        <f t="shared" si="23"/>
        <v>566</v>
      </c>
    </row>
    <row r="568" spans="1:1">
      <c r="A568" s="54">
        <f t="shared" si="23"/>
        <v>567</v>
      </c>
    </row>
    <row r="569" spans="1:1">
      <c r="A569" s="54">
        <f t="shared" si="23"/>
        <v>568</v>
      </c>
    </row>
    <row r="570" spans="1:1">
      <c r="A570" s="54">
        <f t="shared" si="23"/>
        <v>569</v>
      </c>
    </row>
    <row r="571" spans="1:1">
      <c r="A571" s="54">
        <f t="shared" si="23"/>
        <v>570</v>
      </c>
    </row>
    <row r="572" spans="1:1">
      <c r="A572" s="54">
        <f t="shared" si="23"/>
        <v>571</v>
      </c>
    </row>
    <row r="573" spans="1:1">
      <c r="A573" s="54">
        <f t="shared" si="23"/>
        <v>572</v>
      </c>
    </row>
    <row r="574" spans="1:1">
      <c r="A574" s="54">
        <f t="shared" si="23"/>
        <v>573</v>
      </c>
    </row>
    <row r="575" spans="1:1">
      <c r="A575" s="54">
        <f t="shared" si="23"/>
        <v>574</v>
      </c>
    </row>
    <row r="576" spans="1:1">
      <c r="A576" s="54">
        <f t="shared" si="23"/>
        <v>575</v>
      </c>
    </row>
    <row r="577" spans="1:1">
      <c r="A577" s="54">
        <f t="shared" si="23"/>
        <v>576</v>
      </c>
    </row>
    <row r="578" spans="1:1">
      <c r="A578" s="54">
        <f t="shared" si="23"/>
        <v>577</v>
      </c>
    </row>
    <row r="579" spans="1:1">
      <c r="A579" s="54">
        <f t="shared" si="23"/>
        <v>578</v>
      </c>
    </row>
    <row r="580" spans="1:1">
      <c r="A580" s="54">
        <f t="shared" si="23"/>
        <v>579</v>
      </c>
    </row>
    <row r="581" spans="1:1">
      <c r="A581" s="54">
        <f t="shared" si="23"/>
        <v>580</v>
      </c>
    </row>
    <row r="582" spans="1:1">
      <c r="A582" s="54">
        <f t="shared" si="23"/>
        <v>581</v>
      </c>
    </row>
    <row r="583" spans="1:1">
      <c r="A583" s="54">
        <f t="shared" ref="A583:A646" si="24">A582+1</f>
        <v>582</v>
      </c>
    </row>
    <row r="584" spans="1:1">
      <c r="A584" s="54">
        <f t="shared" si="24"/>
        <v>583</v>
      </c>
    </row>
    <row r="585" spans="1:1">
      <c r="A585" s="54">
        <f t="shared" si="24"/>
        <v>584</v>
      </c>
    </row>
    <row r="586" spans="1:1">
      <c r="A586" s="54">
        <f t="shared" si="24"/>
        <v>585</v>
      </c>
    </row>
    <row r="587" spans="1:1">
      <c r="A587" s="54">
        <f t="shared" si="24"/>
        <v>586</v>
      </c>
    </row>
    <row r="588" spans="1:1">
      <c r="A588" s="54">
        <f t="shared" si="24"/>
        <v>587</v>
      </c>
    </row>
    <row r="589" spans="1:1">
      <c r="A589" s="54">
        <f t="shared" si="24"/>
        <v>588</v>
      </c>
    </row>
    <row r="590" spans="1:1">
      <c r="A590" s="54">
        <f t="shared" si="24"/>
        <v>589</v>
      </c>
    </row>
    <row r="591" spans="1:1">
      <c r="A591" s="54">
        <f t="shared" si="24"/>
        <v>590</v>
      </c>
    </row>
    <row r="592" spans="1:1">
      <c r="A592" s="54">
        <f t="shared" si="24"/>
        <v>591</v>
      </c>
    </row>
    <row r="593" spans="1:1">
      <c r="A593" s="54">
        <f t="shared" si="24"/>
        <v>592</v>
      </c>
    </row>
    <row r="594" spans="1:1">
      <c r="A594" s="54">
        <f t="shared" si="24"/>
        <v>593</v>
      </c>
    </row>
    <row r="595" spans="1:1">
      <c r="A595" s="54">
        <f t="shared" si="24"/>
        <v>594</v>
      </c>
    </row>
    <row r="596" spans="1:1">
      <c r="A596" s="54">
        <f t="shared" si="24"/>
        <v>595</v>
      </c>
    </row>
    <row r="597" spans="1:1">
      <c r="A597" s="54">
        <f t="shared" si="24"/>
        <v>596</v>
      </c>
    </row>
    <row r="598" spans="1:1">
      <c r="A598" s="54">
        <f t="shared" si="24"/>
        <v>597</v>
      </c>
    </row>
    <row r="599" spans="1:1">
      <c r="A599" s="54">
        <f t="shared" si="24"/>
        <v>598</v>
      </c>
    </row>
    <row r="600" spans="1:1">
      <c r="A600" s="54">
        <f t="shared" si="24"/>
        <v>599</v>
      </c>
    </row>
    <row r="601" spans="1:1">
      <c r="A601" s="54">
        <f t="shared" si="24"/>
        <v>600</v>
      </c>
    </row>
    <row r="602" spans="1:1">
      <c r="A602" s="54">
        <f t="shared" si="24"/>
        <v>601</v>
      </c>
    </row>
    <row r="603" spans="1:1">
      <c r="A603" s="54">
        <f t="shared" si="24"/>
        <v>602</v>
      </c>
    </row>
    <row r="604" spans="1:1">
      <c r="A604" s="54">
        <f t="shared" si="24"/>
        <v>603</v>
      </c>
    </row>
    <row r="605" spans="1:1">
      <c r="A605" s="54">
        <f t="shared" si="24"/>
        <v>604</v>
      </c>
    </row>
    <row r="606" spans="1:1">
      <c r="A606" s="54">
        <f t="shared" si="24"/>
        <v>605</v>
      </c>
    </row>
    <row r="607" spans="1:1">
      <c r="A607" s="54">
        <f t="shared" si="24"/>
        <v>606</v>
      </c>
    </row>
    <row r="608" spans="1:1">
      <c r="A608" s="54">
        <f t="shared" si="24"/>
        <v>607</v>
      </c>
    </row>
    <row r="609" spans="1:1">
      <c r="A609" s="54">
        <f t="shared" si="24"/>
        <v>608</v>
      </c>
    </row>
    <row r="610" spans="1:1">
      <c r="A610" s="54">
        <f t="shared" si="24"/>
        <v>609</v>
      </c>
    </row>
    <row r="611" spans="1:1">
      <c r="A611" s="54">
        <f t="shared" si="24"/>
        <v>610</v>
      </c>
    </row>
    <row r="612" spans="1:1">
      <c r="A612" s="54">
        <f t="shared" si="24"/>
        <v>611</v>
      </c>
    </row>
    <row r="613" spans="1:1">
      <c r="A613" s="54">
        <f t="shared" si="24"/>
        <v>612</v>
      </c>
    </row>
    <row r="614" spans="1:1">
      <c r="A614" s="54">
        <f t="shared" si="24"/>
        <v>613</v>
      </c>
    </row>
    <row r="615" spans="1:1">
      <c r="A615" s="54">
        <f t="shared" si="24"/>
        <v>614</v>
      </c>
    </row>
    <row r="616" spans="1:1">
      <c r="A616" s="54">
        <f t="shared" si="24"/>
        <v>615</v>
      </c>
    </row>
    <row r="617" spans="1:1">
      <c r="A617" s="54">
        <f t="shared" si="24"/>
        <v>616</v>
      </c>
    </row>
    <row r="618" spans="1:1">
      <c r="A618" s="54">
        <f t="shared" si="24"/>
        <v>617</v>
      </c>
    </row>
    <row r="619" spans="1:1">
      <c r="A619" s="54">
        <f t="shared" si="24"/>
        <v>618</v>
      </c>
    </row>
    <row r="620" spans="1:1">
      <c r="A620" s="54">
        <f t="shared" si="24"/>
        <v>619</v>
      </c>
    </row>
    <row r="621" spans="1:1">
      <c r="A621" s="54">
        <f t="shared" si="24"/>
        <v>620</v>
      </c>
    </row>
    <row r="622" spans="1:1">
      <c r="A622" s="54">
        <f t="shared" si="24"/>
        <v>621</v>
      </c>
    </row>
    <row r="623" spans="1:1">
      <c r="A623" s="54">
        <f t="shared" si="24"/>
        <v>622</v>
      </c>
    </row>
    <row r="624" spans="1:1">
      <c r="A624" s="54">
        <f t="shared" si="24"/>
        <v>623</v>
      </c>
    </row>
    <row r="625" spans="1:1">
      <c r="A625" s="54">
        <f t="shared" si="24"/>
        <v>624</v>
      </c>
    </row>
    <row r="626" spans="1:1">
      <c r="A626" s="54">
        <f t="shared" si="24"/>
        <v>625</v>
      </c>
    </row>
    <row r="627" spans="1:1">
      <c r="A627" s="54">
        <f t="shared" si="24"/>
        <v>626</v>
      </c>
    </row>
    <row r="628" spans="1:1">
      <c r="A628" s="54">
        <f t="shared" si="24"/>
        <v>627</v>
      </c>
    </row>
    <row r="629" spans="1:1">
      <c r="A629" s="54">
        <f t="shared" si="24"/>
        <v>628</v>
      </c>
    </row>
    <row r="630" spans="1:1">
      <c r="A630" s="54">
        <f t="shared" si="24"/>
        <v>629</v>
      </c>
    </row>
    <row r="631" spans="1:1">
      <c r="A631" s="54">
        <f t="shared" si="24"/>
        <v>630</v>
      </c>
    </row>
    <row r="632" spans="1:1">
      <c r="A632" s="54">
        <f t="shared" si="24"/>
        <v>631</v>
      </c>
    </row>
    <row r="633" spans="1:1">
      <c r="A633" s="54">
        <f t="shared" si="24"/>
        <v>632</v>
      </c>
    </row>
    <row r="634" spans="1:1">
      <c r="A634" s="54">
        <f t="shared" si="24"/>
        <v>633</v>
      </c>
    </row>
    <row r="635" spans="1:1">
      <c r="A635" s="54">
        <f t="shared" si="24"/>
        <v>634</v>
      </c>
    </row>
    <row r="636" spans="1:1">
      <c r="A636" s="54">
        <f t="shared" si="24"/>
        <v>635</v>
      </c>
    </row>
    <row r="637" spans="1:1">
      <c r="A637" s="54">
        <f t="shared" si="24"/>
        <v>636</v>
      </c>
    </row>
    <row r="638" spans="1:1">
      <c r="A638" s="54">
        <f t="shared" si="24"/>
        <v>637</v>
      </c>
    </row>
    <row r="639" spans="1:1">
      <c r="A639" s="54">
        <f t="shared" si="24"/>
        <v>638</v>
      </c>
    </row>
    <row r="640" spans="1:1">
      <c r="A640" s="54">
        <f t="shared" si="24"/>
        <v>639</v>
      </c>
    </row>
    <row r="641" spans="1:18">
      <c r="A641" s="54">
        <f t="shared" si="24"/>
        <v>640</v>
      </c>
    </row>
    <row r="642" spans="1:18">
      <c r="A642" s="54">
        <f t="shared" si="24"/>
        <v>641</v>
      </c>
    </row>
    <row r="643" spans="1:18">
      <c r="A643" s="54">
        <f t="shared" si="24"/>
        <v>642</v>
      </c>
    </row>
    <row r="644" spans="1:18">
      <c r="A644" s="54">
        <f t="shared" si="24"/>
        <v>643</v>
      </c>
    </row>
    <row r="645" spans="1:18">
      <c r="A645" s="54">
        <f t="shared" si="24"/>
        <v>644</v>
      </c>
    </row>
    <row r="646" spans="1:18">
      <c r="A646" s="54">
        <f t="shared" si="24"/>
        <v>645</v>
      </c>
    </row>
    <row r="647" spans="1:18">
      <c r="A647" s="54">
        <f t="shared" ref="A647:A655" si="25">A646+1</f>
        <v>646</v>
      </c>
    </row>
    <row r="648" spans="1:18">
      <c r="A648" s="54">
        <f t="shared" si="25"/>
        <v>647</v>
      </c>
    </row>
    <row r="649" spans="1:18">
      <c r="A649" s="54">
        <f t="shared" si="25"/>
        <v>648</v>
      </c>
    </row>
    <row r="650" spans="1:18">
      <c r="A650" s="54">
        <f t="shared" si="25"/>
        <v>649</v>
      </c>
    </row>
    <row r="651" spans="1:18">
      <c r="A651" s="54">
        <f t="shared" si="25"/>
        <v>650</v>
      </c>
    </row>
    <row r="652" spans="1:18">
      <c r="A652" s="54">
        <f t="shared" si="25"/>
        <v>651</v>
      </c>
    </row>
    <row r="653" spans="1:18">
      <c r="A653" s="54">
        <f t="shared" si="25"/>
        <v>652</v>
      </c>
    </row>
    <row r="654" spans="1:18">
      <c r="A654" s="54">
        <f t="shared" si="25"/>
        <v>653</v>
      </c>
    </row>
    <row r="655" spans="1:18">
      <c r="A655" s="54">
        <f t="shared" si="25"/>
        <v>654</v>
      </c>
    </row>
    <row r="656" spans="1:18">
      <c r="C656" s="18"/>
      <c r="I656" s="8"/>
      <c r="J656" s="55"/>
      <c r="O656" s="8"/>
      <c r="P656" s="8"/>
      <c r="R656" s="8"/>
    </row>
  </sheetData>
  <autoFilter ref="A1:S655" xr:uid="{00000000-0001-0000-0000-000000000000}">
    <sortState xmlns:xlrd2="http://schemas.microsoft.com/office/spreadsheetml/2017/richdata2" ref="A14:S339">
      <sortCondition ref="S1:S655"/>
    </sortState>
  </autoFilter>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E91EE-7D64-4AD1-A080-009ED7361CF6}">
  <sheetPr codeName="Sheet3"/>
  <dimension ref="A1:AB61"/>
  <sheetViews>
    <sheetView topLeftCell="E17" workbookViewId="0">
      <selection activeCell="I32" sqref="I32"/>
    </sheetView>
  </sheetViews>
  <sheetFormatPr defaultRowHeight="15"/>
  <cols>
    <col min="1" max="1" width="13.140625" bestFit="1" customWidth="1"/>
    <col min="2" max="2" width="24.140625" bestFit="1" customWidth="1"/>
    <col min="3" max="3" width="8.28515625" bestFit="1" customWidth="1"/>
    <col min="4" max="4" width="7.28515625" bestFit="1" customWidth="1"/>
    <col min="5" max="5" width="11.28515625" bestFit="1" customWidth="1"/>
    <col min="6" max="6" width="11.28515625" customWidth="1"/>
    <col min="8" max="8" width="61.42578125" bestFit="1" customWidth="1"/>
    <col min="9" max="9" width="22" bestFit="1" customWidth="1"/>
    <col min="10" max="10" width="11" customWidth="1"/>
    <col min="11" max="11" width="16.28515625" customWidth="1"/>
    <col min="12" max="12" width="20.7109375" bestFit="1" customWidth="1"/>
    <col min="13" max="13" width="12.5703125" bestFit="1" customWidth="1"/>
    <col min="14" max="14" width="30.7109375" bestFit="1" customWidth="1"/>
    <col min="15" max="15" width="20.7109375" bestFit="1" customWidth="1"/>
    <col min="16" max="16" width="9.140625" style="158"/>
    <col min="17" max="17" width="18.5703125" bestFit="1" customWidth="1"/>
    <col min="18" max="18" width="12" bestFit="1" customWidth="1"/>
    <col min="21" max="21" width="10" bestFit="1" customWidth="1"/>
    <col min="22" max="22" width="9.42578125" bestFit="1" customWidth="1"/>
    <col min="23" max="23" width="19.28515625" bestFit="1" customWidth="1"/>
    <col min="24" max="24" width="26.140625" bestFit="1" customWidth="1"/>
  </cols>
  <sheetData>
    <row r="1" spans="1:20">
      <c r="A1" s="37" t="s">
        <v>29</v>
      </c>
      <c r="B1" t="s">
        <v>636</v>
      </c>
    </row>
    <row r="3" spans="1:20">
      <c r="A3" s="37" t="s">
        <v>637</v>
      </c>
      <c r="B3" s="37" t="s">
        <v>638</v>
      </c>
      <c r="S3" s="114"/>
      <c r="T3" s="115"/>
    </row>
    <row r="4" spans="1:20">
      <c r="B4" t="s">
        <v>639</v>
      </c>
      <c r="C4" t="s">
        <v>45</v>
      </c>
      <c r="D4" t="s">
        <v>640</v>
      </c>
      <c r="E4" t="s">
        <v>21</v>
      </c>
      <c r="S4" s="114"/>
      <c r="T4" s="115"/>
    </row>
    <row r="5" spans="1:20">
      <c r="S5" s="114"/>
      <c r="T5" s="115"/>
    </row>
    <row r="6" spans="1:20">
      <c r="A6" s="37" t="s">
        <v>641</v>
      </c>
      <c r="S6" s="114"/>
      <c r="T6" s="115"/>
    </row>
    <row r="7" spans="1:20">
      <c r="A7" s="38" t="s">
        <v>108</v>
      </c>
      <c r="C7">
        <v>19</v>
      </c>
      <c r="D7">
        <v>37</v>
      </c>
      <c r="E7">
        <v>56</v>
      </c>
      <c r="S7" s="114"/>
      <c r="T7" s="115"/>
    </row>
    <row r="8" spans="1:20">
      <c r="A8" s="38" t="s">
        <v>492</v>
      </c>
      <c r="D8">
        <v>5</v>
      </c>
      <c r="E8">
        <v>5</v>
      </c>
      <c r="S8" s="114"/>
      <c r="T8" s="115"/>
    </row>
    <row r="9" spans="1:20">
      <c r="A9" s="38" t="s">
        <v>92</v>
      </c>
      <c r="C9">
        <v>8</v>
      </c>
      <c r="D9">
        <v>14</v>
      </c>
      <c r="E9">
        <v>22</v>
      </c>
      <c r="S9" s="114"/>
      <c r="T9" s="115"/>
    </row>
    <row r="10" spans="1:20">
      <c r="A10" s="38" t="s">
        <v>42</v>
      </c>
      <c r="C10">
        <v>48</v>
      </c>
      <c r="D10">
        <v>72</v>
      </c>
      <c r="E10">
        <v>120</v>
      </c>
      <c r="K10" s="48"/>
      <c r="L10" s="48"/>
      <c r="S10" s="114"/>
      <c r="T10" s="115"/>
    </row>
    <row r="11" spans="1:20">
      <c r="A11" s="38" t="s">
        <v>69</v>
      </c>
      <c r="C11">
        <v>6</v>
      </c>
      <c r="D11">
        <v>46</v>
      </c>
      <c r="E11">
        <v>52</v>
      </c>
      <c r="K11" s="71"/>
      <c r="L11" s="48"/>
      <c r="S11" s="114"/>
      <c r="T11" s="115"/>
    </row>
    <row r="12" spans="1:20">
      <c r="A12" s="38" t="s">
        <v>60</v>
      </c>
      <c r="C12">
        <v>7</v>
      </c>
      <c r="D12">
        <v>6</v>
      </c>
      <c r="E12">
        <v>13</v>
      </c>
      <c r="K12" s="71"/>
      <c r="L12" s="48"/>
      <c r="S12" s="114"/>
      <c r="T12" s="115"/>
    </row>
    <row r="13" spans="1:20">
      <c r="A13" s="38" t="s">
        <v>85</v>
      </c>
      <c r="C13">
        <v>14</v>
      </c>
      <c r="D13">
        <v>33</v>
      </c>
      <c r="E13">
        <v>47</v>
      </c>
      <c r="K13" s="71"/>
      <c r="L13" s="48"/>
      <c r="S13" s="114"/>
      <c r="T13" s="115"/>
    </row>
    <row r="14" spans="1:20">
      <c r="A14" s="38" t="s">
        <v>57</v>
      </c>
      <c r="C14">
        <v>31</v>
      </c>
      <c r="D14">
        <v>110</v>
      </c>
      <c r="E14">
        <v>141</v>
      </c>
      <c r="K14" s="71"/>
      <c r="L14" s="48"/>
    </row>
    <row r="15" spans="1:20" ht="15.75" thickBot="1">
      <c r="A15" s="38" t="s">
        <v>124</v>
      </c>
      <c r="C15">
        <v>5</v>
      </c>
      <c r="D15">
        <v>43</v>
      </c>
      <c r="E15">
        <v>48</v>
      </c>
      <c r="H15" s="102"/>
      <c r="K15" s="71"/>
      <c r="L15" s="48"/>
    </row>
    <row r="16" spans="1:20">
      <c r="A16" s="38" t="s">
        <v>136</v>
      </c>
      <c r="C16">
        <v>1</v>
      </c>
      <c r="E16">
        <v>1</v>
      </c>
      <c r="G16" s="174" t="s">
        <v>642</v>
      </c>
      <c r="H16" s="175"/>
      <c r="I16" s="176"/>
      <c r="K16" s="71"/>
      <c r="L16" s="48"/>
    </row>
    <row r="17" spans="1:28">
      <c r="A17" s="38" t="s">
        <v>575</v>
      </c>
      <c r="D17">
        <v>3</v>
      </c>
      <c r="E17">
        <v>3</v>
      </c>
      <c r="G17" s="155"/>
      <c r="H17" s="156"/>
      <c r="I17" s="157"/>
      <c r="K17" s="71"/>
      <c r="L17" s="48"/>
      <c r="U17" t="s">
        <v>643</v>
      </c>
    </row>
    <row r="18" spans="1:28" ht="30">
      <c r="A18" s="38" t="s">
        <v>82</v>
      </c>
      <c r="C18">
        <v>3</v>
      </c>
      <c r="E18">
        <v>3</v>
      </c>
      <c r="G18" s="153" t="s">
        <v>644</v>
      </c>
      <c r="H18" s="137"/>
      <c r="I18" s="146" t="s">
        <v>645</v>
      </c>
      <c r="J18" s="136" t="s">
        <v>646</v>
      </c>
      <c r="K18" s="161" t="s">
        <v>647</v>
      </c>
      <c r="L18" s="136" t="s">
        <v>34</v>
      </c>
      <c r="N18" s="136" t="s">
        <v>644</v>
      </c>
      <c r="O18" s="136" t="s">
        <v>648</v>
      </c>
      <c r="P18" s="159" t="s">
        <v>649</v>
      </c>
      <c r="Q18" s="136" t="s">
        <v>650</v>
      </c>
      <c r="R18" s="136"/>
      <c r="S18" s="136"/>
      <c r="U18" t="s">
        <v>651</v>
      </c>
      <c r="V18" t="s">
        <v>40</v>
      </c>
      <c r="W18" t="s">
        <v>652</v>
      </c>
      <c r="X18" t="s">
        <v>653</v>
      </c>
    </row>
    <row r="19" spans="1:28">
      <c r="A19" s="38" t="s">
        <v>72</v>
      </c>
      <c r="C19">
        <v>8</v>
      </c>
      <c r="D19">
        <v>20</v>
      </c>
      <c r="E19">
        <v>28</v>
      </c>
      <c r="G19" s="168" t="s">
        <v>651</v>
      </c>
      <c r="H19" s="137" t="s">
        <v>654</v>
      </c>
      <c r="I19" s="146">
        <f>SUMIFS('CSFA Accumilative data'!I:I,'CSFA Accumilative data'!O:O,'Severity info'!H19)/COUNTIFS('CSFA Accumilative data'!O:O,'Severity info'!H19)</f>
        <v>2.6595744680851063</v>
      </c>
      <c r="J19" s="136">
        <f>SUMIFS('CSFA Accumilative data'!N:N,'CSFA Accumilative data'!O:O,'Severity info'!H19)</f>
        <v>15</v>
      </c>
      <c r="K19" s="146">
        <f>SUMIFS('CSFA Accumilative data'!$I$369:$I$553,'CSFA Accumilative data'!$O$369:$O$553,'Severity info'!H19)/COUNTIFS('CSFA Accumilative data'!$O$369:$O$553,'Severity info'!H19)</f>
        <v>2.6923076923076925</v>
      </c>
      <c r="L19" s="136">
        <f>SUMIFS('CSFA Accumilative data'!$N$369:$N$553,'CSFA Accumilative data'!$O$369:$O$553,'Severity info'!H19)</f>
        <v>4</v>
      </c>
      <c r="N19" s="138" t="s">
        <v>43</v>
      </c>
      <c r="O19" s="136">
        <v>4</v>
      </c>
      <c r="P19" s="159">
        <f>COUNTIFS('CSFA Accumilative data'!I:I,'Severity info'!O19)</f>
        <v>74</v>
      </c>
      <c r="Q19" s="136">
        <f>COUNTIFS('CSFA Accumilative data'!I:I,'Severity info'!O19,'CSFA Accumilative data'!P:P,'Severity info'!N19)</f>
        <v>65</v>
      </c>
      <c r="R19" s="136"/>
      <c r="S19" s="136"/>
      <c r="U19" t="s">
        <v>108</v>
      </c>
      <c r="V19" t="s">
        <v>45</v>
      </c>
      <c r="W19">
        <f>SUMIFS('CSFA Accumilative data'!K:K,'CSFA Accumilative data'!T:T,'Severity info'!V19,'CSFA Accumilative data'!O:O,'Severity info'!U19)</f>
        <v>4</v>
      </c>
    </row>
    <row r="20" spans="1:28">
      <c r="A20" s="38" t="s">
        <v>66</v>
      </c>
      <c r="C20">
        <v>2</v>
      </c>
      <c r="D20">
        <v>1</v>
      </c>
      <c r="E20">
        <v>3</v>
      </c>
      <c r="G20" s="169"/>
      <c r="H20" s="137" t="s">
        <v>42</v>
      </c>
      <c r="I20" s="146">
        <f>SUMIFS('CSFA Accumilative data'!I:I,'CSFA Accumilative data'!O:O,'Severity info'!H20)/COUNTIFS('CSFA Accumilative data'!O:O,'Severity info'!H20)</f>
        <v>3.0249999999999999</v>
      </c>
      <c r="J20" s="136">
        <f>SUMIFS('CSFA Accumilative data'!N:N,'CSFA Accumilative data'!O:O,'Severity info'!H20)</f>
        <v>54</v>
      </c>
      <c r="K20" s="146">
        <f>SUMIFS('CSFA Accumilative data'!$I$369:$I$553,'CSFA Accumilative data'!$O$369:$O$553,'Severity info'!H20)/COUNTIFS('CSFA Accumilative data'!$O$369:$O$553,'Severity info'!H20)</f>
        <v>3.0857142857142859</v>
      </c>
      <c r="L20" s="136">
        <f>SUMIFS('CSFA Accumilative data'!$N$369:$N$553,'CSFA Accumilative data'!$O$369:$O$553,'Severity info'!H20)</f>
        <v>15</v>
      </c>
      <c r="N20" s="138" t="s">
        <v>43</v>
      </c>
      <c r="O20" s="136">
        <v>5</v>
      </c>
      <c r="P20" s="159">
        <f>COUNTIFS('CSFA Accumilative data'!I:I,'Severity info'!O20)</f>
        <v>14</v>
      </c>
      <c r="Q20" s="136">
        <f>COUNTIFS('CSFA Accumilative data'!I:I,'Severity info'!O20,'CSFA Accumilative data'!P:P,'Severity info'!N20)</f>
        <v>13</v>
      </c>
      <c r="R20" s="136"/>
      <c r="S20" s="136"/>
      <c r="U20" t="s">
        <v>92</v>
      </c>
      <c r="V20" t="s">
        <v>45</v>
      </c>
      <c r="W20">
        <f>SUMIFS('CSFA Accumilative data'!K:K,'CSFA Accumilative data'!T:T,'Severity info'!V20,'CSFA Accumilative data'!O:O,'Severity info'!U20)</f>
        <v>2</v>
      </c>
    </row>
    <row r="21" spans="1:28">
      <c r="A21" s="38" t="s">
        <v>20</v>
      </c>
      <c r="G21" s="169"/>
      <c r="H21" s="137" t="s">
        <v>57</v>
      </c>
      <c r="I21" s="146">
        <f>SUMIFS('CSFA Accumilative data'!I:I,'CSFA Accumilative data'!O:O,'Severity info'!H21)/COUNTIFS('CSFA Accumilative data'!O:O,'Severity info'!H21)</f>
        <v>2.9716312056737588</v>
      </c>
      <c r="J21" s="136">
        <f>SUMIFS('CSFA Accumilative data'!N:N,'CSFA Accumilative data'!O:O,'Severity info'!H21)</f>
        <v>57</v>
      </c>
      <c r="K21" s="146">
        <f>SUMIFS('CSFA Accumilative data'!$I$369:$I$553,'CSFA Accumilative data'!$O$369:$O$553,'Severity info'!H21)/COUNTIFS('CSFA Accumilative data'!$O$369:$O$553,'Severity info'!H21)</f>
        <v>2.9607843137254903</v>
      </c>
      <c r="L21" s="136">
        <f>SUMIFS('CSFA Accumilative data'!$N$369:$N$553,'CSFA Accumilative data'!$O$369:$O$553,'Severity info'!H21)</f>
        <v>20</v>
      </c>
      <c r="N21" s="136"/>
      <c r="O21" s="136" t="s">
        <v>655</v>
      </c>
      <c r="P21" s="159">
        <f>P19+P20</f>
        <v>88</v>
      </c>
      <c r="Q21" s="136">
        <f>Q19+Q20</f>
        <v>78</v>
      </c>
      <c r="R21" s="136" t="s">
        <v>656</v>
      </c>
      <c r="S21" s="136">
        <f>COUNTA(_xlfn.UNIQUE('CSFA Accumilative data'!S:S))</f>
        <v>37</v>
      </c>
      <c r="U21" t="s">
        <v>42</v>
      </c>
      <c r="V21" t="s">
        <v>45</v>
      </c>
      <c r="W21">
        <f>SUMIFS('CSFA Accumilative data'!K:K,'CSFA Accumilative data'!T:T,'Severity info'!V21,'CSFA Accumilative data'!O:O,'Severity info'!U21)</f>
        <v>11</v>
      </c>
    </row>
    <row r="22" spans="1:28">
      <c r="A22" s="38" t="s">
        <v>318</v>
      </c>
      <c r="D22">
        <v>2</v>
      </c>
      <c r="E22">
        <v>2</v>
      </c>
      <c r="G22" s="169"/>
      <c r="H22" s="137" t="s">
        <v>92</v>
      </c>
      <c r="I22" s="146">
        <f>SUMIFS('CSFA Accumilative data'!I:I,'CSFA Accumilative data'!O:O,'Severity info'!H22)/COUNTIFS('CSFA Accumilative data'!O:O,'Severity info'!H22)</f>
        <v>3</v>
      </c>
      <c r="J22" s="136">
        <f>SUMIFS('CSFA Accumilative data'!N:N,'CSFA Accumilative data'!O:O,'Severity info'!H22)</f>
        <v>8</v>
      </c>
      <c r="K22" s="146">
        <f>SUMIFS('CSFA Accumilative data'!$I$369:$I$553,'CSFA Accumilative data'!$O$369:$O$553,'Severity info'!H22)/COUNTIFS('CSFA Accumilative data'!$O$369:$O$553,'Severity info'!H22)</f>
        <v>3.4</v>
      </c>
      <c r="L22" s="136">
        <f>SUMIFS('CSFA Accumilative data'!$N$369:$N$553,'CSFA Accumilative data'!$O$369:$O$553,'Severity info'!H22)</f>
        <v>2</v>
      </c>
      <c r="N22" s="136"/>
      <c r="O22" s="136"/>
      <c r="P22" s="159"/>
      <c r="Q22" s="136"/>
      <c r="R22" s="136" t="s">
        <v>657</v>
      </c>
      <c r="S22" s="136">
        <f>P21/S21</f>
        <v>2.3783783783783785</v>
      </c>
      <c r="U22" t="s">
        <v>654</v>
      </c>
      <c r="V22" t="s">
        <v>45</v>
      </c>
      <c r="W22">
        <f>SUMIFS('CSFA Accumilative data'!K:K,'CSFA Accumilative data'!T:T,'Severity info'!V22,'CSFA Accumilative data'!O:O,'Severity info'!U22)</f>
        <v>0</v>
      </c>
    </row>
    <row r="23" spans="1:28">
      <c r="A23" s="38" t="s">
        <v>444</v>
      </c>
      <c r="D23">
        <v>3</v>
      </c>
      <c r="E23">
        <v>3</v>
      </c>
      <c r="G23" s="169"/>
      <c r="H23" s="137" t="s">
        <v>108</v>
      </c>
      <c r="I23" s="146">
        <f>SUMIFS('CSFA Accumilative data'!I:I,'CSFA Accumilative data'!O:O,'Severity info'!H23)/COUNTIFS('CSFA Accumilative data'!O:O,'Severity info'!H23)</f>
        <v>2.5535714285714284</v>
      </c>
      <c r="J23" s="136">
        <f>SUMIFS('CSFA Accumilative data'!N:N,'CSFA Accumilative data'!O:O,'Severity info'!H23)</f>
        <v>7</v>
      </c>
      <c r="K23" s="146">
        <f>SUMIFS('CSFA Accumilative data'!$I$369:$I$553,'CSFA Accumilative data'!$O$369:$O$553,'Severity info'!H23)/COUNTIFS('CSFA Accumilative data'!$O$369:$O$553,'Severity info'!H23)</f>
        <v>2.125</v>
      </c>
      <c r="L23" s="136">
        <f>SUMIFS('CSFA Accumilative data'!$N$369:$N$553,'CSFA Accumilative data'!$O$369:$O$553,'Severity info'!H23)</f>
        <v>2</v>
      </c>
      <c r="N23" s="139"/>
      <c r="O23" s="139"/>
      <c r="P23" s="159"/>
      <c r="Q23" s="136"/>
      <c r="R23" s="136" t="s">
        <v>658</v>
      </c>
      <c r="S23" s="136">
        <f>Q21/P21*100</f>
        <v>88.63636363636364</v>
      </c>
      <c r="U23" t="s">
        <v>60</v>
      </c>
      <c r="V23" t="s">
        <v>45</v>
      </c>
      <c r="W23">
        <f>SUMIFS('CSFA Accumilative data'!K:K,'CSFA Accumilative data'!T:T,'Severity info'!V23,'CSFA Accumilative data'!O:O,'Severity info'!U23)</f>
        <v>1</v>
      </c>
    </row>
    <row r="24" spans="1:28">
      <c r="A24" s="38" t="s">
        <v>516</v>
      </c>
      <c r="D24">
        <v>2</v>
      </c>
      <c r="E24">
        <v>2</v>
      </c>
      <c r="G24" s="169"/>
      <c r="H24" s="137" t="s">
        <v>72</v>
      </c>
      <c r="I24" s="146">
        <f>SUMIFS('CSFA Accumilative data'!I:I,'CSFA Accumilative data'!O:O,'Severity info'!H24)/COUNTIFS('CSFA Accumilative data'!O:O,'Severity info'!H24)</f>
        <v>2.2142857142857144</v>
      </c>
      <c r="J24" s="136">
        <f>SUMIFS('CSFA Accumilative data'!N:N,'CSFA Accumilative data'!O:O,'Severity info'!H24)</f>
        <v>8</v>
      </c>
      <c r="K24" s="146">
        <f>SUMIFS('CSFA Accumilative data'!$I$369:$I$553,'CSFA Accumilative data'!$O$369:$O$553,'Severity info'!H24)/COUNTIFS('CSFA Accumilative data'!$O$369:$O$553,'Severity info'!H24)</f>
        <v>2</v>
      </c>
      <c r="L24" s="136">
        <f>SUMIFS('CSFA Accumilative data'!$N$369:$N$553,'CSFA Accumilative data'!$O$369:$O$553,'Severity info'!H24)</f>
        <v>2</v>
      </c>
      <c r="N24" s="136" t="s">
        <v>659</v>
      </c>
      <c r="O24" s="136">
        <f>SUM('CSFA Accumilative data'!N:N)/SUM('CSFA Accumilative data'!M:M)</f>
        <v>0.47826086956521741</v>
      </c>
      <c r="U24" t="s">
        <v>57</v>
      </c>
      <c r="V24" t="s">
        <v>45</v>
      </c>
      <c r="W24">
        <f>SUMIFS('CSFA Accumilative data'!K:K,'CSFA Accumilative data'!T:T,'Severity info'!V24,'CSFA Accumilative data'!O:O,'Severity info'!U24)</f>
        <v>2</v>
      </c>
    </row>
    <row r="25" spans="1:28">
      <c r="A25" s="38" t="s">
        <v>602</v>
      </c>
      <c r="D25">
        <v>1</v>
      </c>
      <c r="E25">
        <v>1</v>
      </c>
      <c r="G25" s="169"/>
      <c r="H25" s="137" t="s">
        <v>124</v>
      </c>
      <c r="I25" s="146">
        <f>SUMIFS('CSFA Accumilative data'!I:I,'CSFA Accumilative data'!O:O,'Severity info'!H25)/COUNTIFS('CSFA Accumilative data'!O:O,'Severity info'!H25)</f>
        <v>2.8125</v>
      </c>
      <c r="J25" s="136">
        <f>SUMIFS('CSFA Accumilative data'!N:N,'CSFA Accumilative data'!O:O,'Severity info'!H25)</f>
        <v>16</v>
      </c>
      <c r="K25" s="146">
        <f>SUMIFS('CSFA Accumilative data'!$I$369:$I$553,'CSFA Accumilative data'!$O$369:$O$553,'Severity info'!H25)/COUNTIFS('CSFA Accumilative data'!$O$369:$O$553,'Severity info'!H25)</f>
        <v>3.1071428571428572</v>
      </c>
      <c r="L25" s="136">
        <f>SUMIFS('CSFA Accumilative data'!$N$369:$N$553,'CSFA Accumilative data'!$O$369:$O$553,'Severity info'!H25)</f>
        <v>10</v>
      </c>
      <c r="N25" t="s">
        <v>660</v>
      </c>
      <c r="O25">
        <f>SUM('CSFA Accumilative data'!N:N)</f>
        <v>176</v>
      </c>
      <c r="U25" t="s">
        <v>124</v>
      </c>
      <c r="V25" t="s">
        <v>45</v>
      </c>
      <c r="W25">
        <f>SUMIFS('CSFA Accumilative data'!K:K,'CSFA Accumilative data'!T:T,'Severity info'!V25,'CSFA Accumilative data'!O:O,'Severity info'!U25)</f>
        <v>1</v>
      </c>
    </row>
    <row r="26" spans="1:28">
      <c r="A26" s="38" t="s">
        <v>21</v>
      </c>
      <c r="C26">
        <v>152</v>
      </c>
      <c r="D26">
        <v>398</v>
      </c>
      <c r="E26">
        <v>550</v>
      </c>
      <c r="G26" s="170"/>
      <c r="H26" s="137" t="s">
        <v>60</v>
      </c>
      <c r="I26" s="146">
        <f>SUMIFS('CSFA Accumilative data'!I:I,'CSFA Accumilative data'!O:O,'Severity info'!H26)/COUNTIFS('CSFA Accumilative data'!O:O,'Severity info'!H26)</f>
        <v>2.4615384615384617</v>
      </c>
      <c r="J26" s="136">
        <f>SUMIFS('CSFA Accumilative data'!N:N,'CSFA Accumilative data'!O:O,'Severity info'!H26)</f>
        <v>0</v>
      </c>
      <c r="K26" s="146">
        <f>SUMIFS('CSFA Accumilative data'!I375:I560,'CSFA Accumilative data'!O375:O560,'Severity info'!H26)/(COUNTIFS('CSFA Accumilative data'!O375:O560,'Severity info'!H26)+0.000000001)</f>
        <v>0</v>
      </c>
      <c r="L26" s="136">
        <f>SUMIFS('CSFA Accumilative data'!N371:N545,'CSFA Accumilative data'!O371:O545,'Severity info'!H26)</f>
        <v>0</v>
      </c>
      <c r="U26" t="s">
        <v>72</v>
      </c>
      <c r="V26" t="s">
        <v>45</v>
      </c>
      <c r="W26">
        <f>SUMIFS('CSFA Accumilative data'!K:K,'CSFA Accumilative data'!T:T,'Severity info'!V26,'CSFA Accumilative data'!O:O,'Severity info'!U26)</f>
        <v>1</v>
      </c>
    </row>
    <row r="27" spans="1:28">
      <c r="G27" s="171" t="s">
        <v>661</v>
      </c>
      <c r="H27" s="138" t="s">
        <v>44</v>
      </c>
      <c r="I27" s="146">
        <f>SUMIFS('CSFA Accumilative data'!I:I,'CSFA Accumilative data'!R:R,'Severity info'!H27)/COUNTIFS('CSFA Accumilative data'!R:R,'Severity info'!H27)</f>
        <v>2.9528301886792452</v>
      </c>
      <c r="J27" s="136">
        <f>SUMIFS('CSFA Accumilative data'!N:N,'CSFA Accumilative data'!R:R,'Severity info'!H27)</f>
        <v>69</v>
      </c>
      <c r="K27" s="146">
        <f>SUMIFS('CSFA Accumilative data'!$I$369:$I$553,'CSFA Accumilative data'!$R$369:$R$553,'Severity info'!H27)/COUNTIFS('CSFA Accumilative data'!$R$369:$R$553,'Severity info'!H27)</f>
        <v>3.0123456790123457</v>
      </c>
      <c r="L27" s="136">
        <f>SUMIFS('CSFA Accumilative data'!$N$369:$N$553,'CSFA Accumilative data'!$R$369:$R$553,'Severity info'!H27)</f>
        <v>30</v>
      </c>
      <c r="U27" t="s">
        <v>108</v>
      </c>
      <c r="V27" t="s">
        <v>219</v>
      </c>
      <c r="W27">
        <f>SUMIFS('CSFA Accumilative data'!K:K,'CSFA Accumilative data'!T:T,'Severity info'!V27,'CSFA Accumilative data'!O:O,'Severity info'!U27)</f>
        <v>5</v>
      </c>
      <c r="X27">
        <f>Vend_monthly_obs[[#This Row],[4&amp;5 observations]]-W19</f>
        <v>1</v>
      </c>
      <c r="Z27" t="s">
        <v>108</v>
      </c>
      <c r="AA27">
        <v>5</v>
      </c>
      <c r="AB27">
        <v>1</v>
      </c>
    </row>
    <row r="28" spans="1:28">
      <c r="G28" s="171"/>
      <c r="H28" s="138" t="s">
        <v>99</v>
      </c>
      <c r="I28" s="146">
        <f>SUMIFS('CSFA Accumilative data'!I:I,'CSFA Accumilative data'!R:R,'Severity info'!H28)/COUNTIFS('CSFA Accumilative data'!R:R,'Severity info'!H28)</f>
        <v>2.7759999999999998</v>
      </c>
      <c r="J28" s="136">
        <f>SUMIFS('CSFA Accumilative data'!N:N,'CSFA Accumilative data'!R:R,'Severity info'!H28)</f>
        <v>34</v>
      </c>
      <c r="K28" s="146">
        <f>SUMIFS('CSFA Accumilative data'!$I$369:$I$553,'CSFA Accumilative data'!$R$369:$R$553,'Severity info'!H28)/COUNTIFS('CSFA Accumilative data'!$R$369:$R$553,'Severity info'!H28)</f>
        <v>2.8771929824561404</v>
      </c>
      <c r="L28" s="136">
        <f>SUMIFS('CSFA Accumilative data'!$N$369:$N$553,'CSFA Accumilative data'!$R$369:$R$553,'Severity info'!H28)</f>
        <v>15</v>
      </c>
      <c r="U28" t="s">
        <v>92</v>
      </c>
      <c r="V28" t="s">
        <v>219</v>
      </c>
      <c r="W28">
        <f>SUMIFS('CSFA Accumilative data'!K:K,'CSFA Accumilative data'!T:T,'Severity info'!V28,'CSFA Accumilative data'!O:O,'Severity info'!U28)</f>
        <v>2</v>
      </c>
      <c r="X28">
        <f>Vend_monthly_obs[[#This Row],[4&amp;5 observations]]-W20</f>
        <v>0</v>
      </c>
      <c r="Z28" t="s">
        <v>92</v>
      </c>
      <c r="AA28">
        <v>2</v>
      </c>
      <c r="AB28">
        <v>0</v>
      </c>
    </row>
    <row r="29" spans="1:28">
      <c r="G29" s="171"/>
      <c r="H29" s="138" t="s">
        <v>77</v>
      </c>
      <c r="I29" s="146">
        <f>SUMIFS('CSFA Accumilative data'!I:I,'CSFA Accumilative data'!R:R,'Severity info'!H29)/COUNTIFS('CSFA Accumilative data'!R:R,'Severity info'!H29)</f>
        <v>2.6489361702127661</v>
      </c>
      <c r="J29" s="136">
        <f>SUMIFS('CSFA Accumilative data'!N:N,'CSFA Accumilative data'!R:R,'Severity info'!H29)</f>
        <v>25</v>
      </c>
      <c r="K29" s="146">
        <f>SUMIFS('CSFA Accumilative data'!$I$369:$I$553,'CSFA Accumilative data'!$R$369:$R$553,'Severity info'!H29)/COUNTIFS('CSFA Accumilative data'!$R$369:$R$553,'Severity info'!H29)</f>
        <v>2.5357142857142856</v>
      </c>
      <c r="L29" s="136">
        <f>SUMIFS('CSFA Accumilative data'!$N$369:$N$553,'CSFA Accumilative data'!$R$369:$R$553,'Severity info'!H29)</f>
        <v>4</v>
      </c>
      <c r="U29" t="s">
        <v>42</v>
      </c>
      <c r="V29" t="s">
        <v>219</v>
      </c>
      <c r="W29">
        <f>SUMIFS('CSFA Accumilative data'!K:K,'CSFA Accumilative data'!T:T,'Severity info'!V29,'CSFA Accumilative data'!O:O,'Severity info'!U29)</f>
        <v>15</v>
      </c>
      <c r="X29">
        <f>Vend_monthly_obs[[#This Row],[4&amp;5 observations]]-W21</f>
        <v>4</v>
      </c>
      <c r="Z29" t="s">
        <v>42</v>
      </c>
      <c r="AA29">
        <v>14</v>
      </c>
      <c r="AB29">
        <v>3</v>
      </c>
    </row>
    <row r="30" spans="1:28" ht="15.75" thickBot="1">
      <c r="G30" s="172"/>
      <c r="H30" s="154" t="s">
        <v>97</v>
      </c>
      <c r="I30" s="160">
        <f>SUMIFS('CSFA Accumilative data'!I:I,'CSFA Accumilative data'!R:R,'Severity info'!H30)/COUNTIFS('CSFA Accumilative data'!R:R,'Severity info'!H30)</f>
        <v>2.5681818181818183</v>
      </c>
      <c r="J30" s="136">
        <f>SUMIFS('CSFA Accumilative data'!N:N,'CSFA Accumilative data'!R:R,'Severity info'!H30)</f>
        <v>15</v>
      </c>
      <c r="K30" s="146">
        <f>SUMIFS('CSFA Accumilative data'!$I$369:$I$553,'CSFA Accumilative data'!$R$369:$R$553,'Severity info'!H30)/COUNTIFS('CSFA Accumilative data'!$R$369:$R$553,'Severity info'!H30)</f>
        <v>2.4210526315789473</v>
      </c>
      <c r="L30" s="136">
        <f>SUMIFS('CSFA Accumilative data'!$N$369:$N$553,'CSFA Accumilative data'!$R$369:$R$553,'Severity info'!H30)</f>
        <v>9</v>
      </c>
      <c r="U30" t="s">
        <v>654</v>
      </c>
      <c r="V30" t="s">
        <v>219</v>
      </c>
      <c r="W30">
        <f>SUMIFS('CSFA Accumilative data'!K:K,'CSFA Accumilative data'!T:T,'Severity info'!V30,'CSFA Accumilative data'!O:O,'Severity info'!U30)</f>
        <v>2</v>
      </c>
      <c r="X30">
        <f>Vend_monthly_obs[[#This Row],[4&amp;5 observations]]-W22</f>
        <v>2</v>
      </c>
      <c r="Z30" t="s">
        <v>654</v>
      </c>
      <c r="AA30">
        <v>2</v>
      </c>
      <c r="AB30">
        <v>2</v>
      </c>
    </row>
    <row r="31" spans="1:28">
      <c r="A31" s="38"/>
      <c r="U31" t="s">
        <v>60</v>
      </c>
      <c r="V31" t="s">
        <v>219</v>
      </c>
      <c r="W31">
        <f>SUMIFS('CSFA Accumilative data'!K:K,'CSFA Accumilative data'!T:T,'Severity info'!V31,'CSFA Accumilative data'!O:O,'Severity info'!U31)</f>
        <v>2</v>
      </c>
      <c r="X31">
        <f>Vend_monthly_obs[[#This Row],[4&amp;5 observations]]-W23</f>
        <v>1</v>
      </c>
      <c r="Z31" t="s">
        <v>60</v>
      </c>
      <c r="AA31">
        <v>2</v>
      </c>
      <c r="AB31">
        <v>1</v>
      </c>
    </row>
    <row r="32" spans="1:28">
      <c r="A32" s="38"/>
      <c r="U32" t="s">
        <v>57</v>
      </c>
      <c r="V32" t="s">
        <v>219</v>
      </c>
      <c r="W32">
        <f>SUMIFS('CSFA Accumilative data'!K:K,'CSFA Accumilative data'!T:T,'Severity info'!V32,'CSFA Accumilative data'!O:O,'Severity info'!U32)</f>
        <v>20</v>
      </c>
      <c r="X32">
        <f>Vend_monthly_obs[[#This Row],[4&amp;5 observations]]-W24</f>
        <v>18</v>
      </c>
      <c r="Z32" t="s">
        <v>57</v>
      </c>
      <c r="AA32">
        <v>20</v>
      </c>
      <c r="AB32">
        <v>18</v>
      </c>
    </row>
    <row r="33" spans="1:28">
      <c r="A33" s="38"/>
      <c r="U33" t="s">
        <v>124</v>
      </c>
      <c r="V33" t="s">
        <v>219</v>
      </c>
      <c r="W33">
        <f>SUMIFS('CSFA Accumilative data'!K:K,'CSFA Accumilative data'!T:T,'Severity info'!V33,'CSFA Accumilative data'!O:O,'Severity info'!U33)</f>
        <v>7</v>
      </c>
      <c r="X33">
        <f>Vend_monthly_obs[[#This Row],[4&amp;5 observations]]-W25</f>
        <v>6</v>
      </c>
      <c r="Z33" t="s">
        <v>124</v>
      </c>
      <c r="AA33">
        <v>7</v>
      </c>
      <c r="AB33">
        <v>6</v>
      </c>
    </row>
    <row r="34" spans="1:28">
      <c r="A34" s="38"/>
      <c r="N34" s="142" t="s">
        <v>38</v>
      </c>
      <c r="O34" s="145" t="s">
        <v>662</v>
      </c>
      <c r="Q34" s="142" t="s">
        <v>663</v>
      </c>
      <c r="R34" s="145" t="s">
        <v>664</v>
      </c>
      <c r="U34" t="s">
        <v>72</v>
      </c>
      <c r="V34" t="s">
        <v>219</v>
      </c>
      <c r="W34">
        <f>SUMIFS('CSFA Accumilative data'!K:K,'CSFA Accumilative data'!T:T,'Severity info'!V34,'CSFA Accumilative data'!O:O,'Severity info'!U34)</f>
        <v>1</v>
      </c>
      <c r="X34">
        <f>Vend_monthly_obs[[#This Row],[4&amp;5 observations]]-W26</f>
        <v>0</v>
      </c>
      <c r="Z34" t="s">
        <v>72</v>
      </c>
      <c r="AA34">
        <v>1</v>
      </c>
      <c r="AB34">
        <v>0</v>
      </c>
    </row>
    <row r="35" spans="1:28">
      <c r="A35" s="38"/>
      <c r="N35" s="150" t="s">
        <v>44</v>
      </c>
      <c r="O35" s="146">
        <f>I27</f>
        <v>2.9528301886792452</v>
      </c>
      <c r="Q35" s="143" t="s">
        <v>657</v>
      </c>
      <c r="R35" s="146">
        <f>S22</f>
        <v>2.3783783783783785</v>
      </c>
    </row>
    <row r="36" spans="1:28">
      <c r="A36" s="38"/>
      <c r="N36" s="150" t="s">
        <v>99</v>
      </c>
      <c r="O36" s="146">
        <f t="shared" ref="O36:O38" si="0">I28</f>
        <v>2.7759999999999998</v>
      </c>
      <c r="Q36" s="143" t="s">
        <v>658</v>
      </c>
      <c r="R36" s="146">
        <f>S23</f>
        <v>88.63636363636364</v>
      </c>
    </row>
    <row r="37" spans="1:28">
      <c r="A37" s="38"/>
      <c r="N37" s="150" t="s">
        <v>77</v>
      </c>
      <c r="O37" s="146">
        <f t="shared" si="0"/>
        <v>2.6489361702127661</v>
      </c>
      <c r="Q37" s="143" t="s">
        <v>659</v>
      </c>
      <c r="R37" s="146">
        <f>O24</f>
        <v>0.47826086956521741</v>
      </c>
    </row>
    <row r="38" spans="1:28">
      <c r="N38" s="151" t="s">
        <v>97</v>
      </c>
      <c r="O38" s="147">
        <f t="shared" si="0"/>
        <v>2.5681818181818183</v>
      </c>
      <c r="Q38" s="143" t="s">
        <v>665</v>
      </c>
      <c r="R38" s="146">
        <f>P21</f>
        <v>88</v>
      </c>
    </row>
    <row r="39" spans="1:28">
      <c r="Q39" s="143" t="s">
        <v>666</v>
      </c>
      <c r="R39" s="146">
        <v>13</v>
      </c>
    </row>
    <row r="40" spans="1:28">
      <c r="H40" s="173" t="s">
        <v>667</v>
      </c>
      <c r="I40" s="173"/>
      <c r="K40" s="173" t="s">
        <v>668</v>
      </c>
      <c r="L40" s="173"/>
      <c r="Q40" s="144" t="s">
        <v>669</v>
      </c>
      <c r="R40" s="147"/>
    </row>
    <row r="42" spans="1:28">
      <c r="H42" s="142" t="s">
        <v>670</v>
      </c>
      <c r="I42" s="145" t="s">
        <v>671</v>
      </c>
      <c r="K42" s="142" t="s">
        <v>651</v>
      </c>
      <c r="L42" s="145" t="s">
        <v>662</v>
      </c>
    </row>
    <row r="43" spans="1:28">
      <c r="H43" s="143" t="str">
        <f>Sheet1!A4</f>
        <v>Material Management</v>
      </c>
      <c r="I43" s="146">
        <f>Sheet1!B4</f>
        <v>95</v>
      </c>
      <c r="K43" s="148" t="s">
        <v>654</v>
      </c>
      <c r="L43" s="146">
        <f t="shared" ref="L43:L50" si="1">I19</f>
        <v>2.6595744680851063</v>
      </c>
    </row>
    <row r="44" spans="1:28">
      <c r="H44" s="143" t="str">
        <f>Sheet1!A5</f>
        <v>PPE</v>
      </c>
      <c r="I44" s="146">
        <f>Sheet1!B5</f>
        <v>72</v>
      </c>
      <c r="K44" s="148" t="s">
        <v>42</v>
      </c>
      <c r="L44" s="146">
        <f t="shared" si="1"/>
        <v>3.0249999999999999</v>
      </c>
      <c r="O44" s="162"/>
    </row>
    <row r="45" spans="1:28">
      <c r="H45" s="143" t="str">
        <f>Sheet1!A6</f>
        <v>Work at Height</v>
      </c>
      <c r="I45" s="146">
        <f>Sheet1!B6</f>
        <v>67</v>
      </c>
      <c r="K45" s="148" t="s">
        <v>57</v>
      </c>
      <c r="L45" s="146">
        <f t="shared" si="1"/>
        <v>2.9716312056737588</v>
      </c>
      <c r="O45" s="162"/>
    </row>
    <row r="46" spans="1:28">
      <c r="H46" s="143" t="str">
        <f>Sheet1!A7</f>
        <v>Electrical</v>
      </c>
      <c r="I46" s="146">
        <f>Sheet1!B7</f>
        <v>66</v>
      </c>
      <c r="K46" s="148" t="s">
        <v>92</v>
      </c>
      <c r="L46" s="146">
        <f t="shared" si="1"/>
        <v>3</v>
      </c>
      <c r="O46" s="162"/>
    </row>
    <row r="47" spans="1:28">
      <c r="H47" s="144" t="str">
        <f>Sheet1!A8</f>
        <v>Barricading</v>
      </c>
      <c r="I47" s="147">
        <f>Sheet1!B8</f>
        <v>60</v>
      </c>
      <c r="K47" s="148" t="s">
        <v>108</v>
      </c>
      <c r="L47" s="146">
        <f t="shared" si="1"/>
        <v>2.5535714285714284</v>
      </c>
      <c r="O47" s="162"/>
    </row>
    <row r="48" spans="1:28">
      <c r="K48" s="148" t="s">
        <v>72</v>
      </c>
      <c r="L48" s="146">
        <f t="shared" si="1"/>
        <v>2.2142857142857144</v>
      </c>
    </row>
    <row r="49" spans="11:14">
      <c r="K49" s="148" t="s">
        <v>124</v>
      </c>
      <c r="L49" s="146">
        <f t="shared" si="1"/>
        <v>2.8125</v>
      </c>
    </row>
    <row r="50" spans="11:14">
      <c r="K50" s="149" t="s">
        <v>60</v>
      </c>
      <c r="L50" s="147">
        <f t="shared" si="1"/>
        <v>2.4615384615384617</v>
      </c>
    </row>
    <row r="54" spans="11:14">
      <c r="L54" s="168" t="s">
        <v>651</v>
      </c>
      <c r="M54" s="137" t="s">
        <v>654</v>
      </c>
      <c r="N54" s="146">
        <v>2.3333333333333335</v>
      </c>
    </row>
    <row r="55" spans="11:14">
      <c r="L55" s="169"/>
      <c r="M55" s="137" t="s">
        <v>42</v>
      </c>
      <c r="N55" s="146">
        <v>3.0857142857142859</v>
      </c>
    </row>
    <row r="56" spans="11:14">
      <c r="L56" s="169"/>
      <c r="M56" s="137" t="s">
        <v>57</v>
      </c>
      <c r="N56" s="146">
        <v>2.9607843137254903</v>
      </c>
    </row>
    <row r="57" spans="11:14">
      <c r="L57" s="169"/>
      <c r="M57" s="137" t="s">
        <v>92</v>
      </c>
      <c r="N57" s="146">
        <v>3.4</v>
      </c>
    </row>
    <row r="58" spans="11:14">
      <c r="L58" s="169"/>
      <c r="M58" s="137" t="s">
        <v>108</v>
      </c>
      <c r="N58" s="146">
        <v>2.125</v>
      </c>
    </row>
    <row r="59" spans="11:14">
      <c r="L59" s="169"/>
      <c r="M59" s="137" t="s">
        <v>72</v>
      </c>
      <c r="N59" s="146">
        <v>2</v>
      </c>
    </row>
    <row r="60" spans="11:14">
      <c r="L60" s="169"/>
      <c r="M60" s="137" t="s">
        <v>124</v>
      </c>
      <c r="N60" s="146">
        <v>3.1071428571428572</v>
      </c>
    </row>
    <row r="61" spans="11:14">
      <c r="L61" s="170"/>
      <c r="M61" s="137" t="s">
        <v>60</v>
      </c>
      <c r="N61" s="146">
        <v>0</v>
      </c>
    </row>
  </sheetData>
  <sortState xmlns:xlrd2="http://schemas.microsoft.com/office/spreadsheetml/2017/richdata2" ref="U38:V45">
    <sortCondition descending="1" ref="V38:V45"/>
  </sortState>
  <mergeCells count="6">
    <mergeCell ref="L54:L61"/>
    <mergeCell ref="G27:G30"/>
    <mergeCell ref="H40:I40"/>
    <mergeCell ref="K40:L40"/>
    <mergeCell ref="G16:I16"/>
    <mergeCell ref="G19:G26"/>
  </mergeCells>
  <pageMargins left="0.7" right="0.7" top="0.75" bottom="0.75" header="0.3" footer="0.3"/>
  <drawing r:id="rId2"/>
  <tableParts count="5">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3BF2E-6C20-4391-A515-281FBE03E006}">
  <sheetPr codeName="Sheet4"/>
  <dimension ref="A1:C42"/>
  <sheetViews>
    <sheetView workbookViewId="0">
      <selection activeCell="B12" sqref="B12"/>
    </sheetView>
  </sheetViews>
  <sheetFormatPr defaultRowHeight="15"/>
  <cols>
    <col min="1" max="1" width="15.85546875" bestFit="1" customWidth="1"/>
    <col min="2" max="2" width="31" bestFit="1" customWidth="1"/>
    <col min="3" max="21" width="30.85546875" bestFit="1" customWidth="1"/>
    <col min="22" max="22" width="11.28515625" bestFit="1" customWidth="1"/>
  </cols>
  <sheetData>
    <row r="1" spans="1:3">
      <c r="A1" s="37" t="s">
        <v>35</v>
      </c>
      <c r="B1" t="s">
        <v>42</v>
      </c>
    </row>
    <row r="3" spans="1:3">
      <c r="A3" s="37" t="s">
        <v>641</v>
      </c>
      <c r="B3" t="s">
        <v>672</v>
      </c>
    </row>
    <row r="4" spans="1:3">
      <c r="A4" s="38">
        <v>1</v>
      </c>
      <c r="B4">
        <v>26</v>
      </c>
    </row>
    <row r="5" spans="1:3">
      <c r="A5" s="38" t="s">
        <v>20</v>
      </c>
      <c r="B5">
        <v>94</v>
      </c>
      <c r="C5" s="38"/>
    </row>
    <row r="6" spans="1:3">
      <c r="A6" s="38" t="s">
        <v>21</v>
      </c>
      <c r="B6">
        <v>120</v>
      </c>
      <c r="C6" s="38"/>
    </row>
    <row r="7" spans="1:3">
      <c r="C7" s="38"/>
    </row>
    <row r="8" spans="1:3">
      <c r="C8" s="38"/>
    </row>
    <row r="9" spans="1:3">
      <c r="C9" s="38"/>
    </row>
    <row r="10" spans="1:3">
      <c r="C10" s="38"/>
    </row>
    <row r="11" spans="1:3">
      <c r="C11" s="38"/>
    </row>
    <row r="12" spans="1:3">
      <c r="C12" s="38"/>
    </row>
    <row r="13" spans="1:3">
      <c r="C13" s="38"/>
    </row>
    <row r="14" spans="1:3">
      <c r="C14" s="38"/>
    </row>
    <row r="15" spans="1:3">
      <c r="C15" s="38"/>
    </row>
    <row r="28" spans="2:3">
      <c r="B28" t="s">
        <v>39</v>
      </c>
      <c r="C28" t="s">
        <v>672</v>
      </c>
    </row>
    <row r="29" spans="2:3">
      <c r="B29" t="s">
        <v>673</v>
      </c>
      <c r="C29">
        <v>33</v>
      </c>
    </row>
    <row r="30" spans="2:3">
      <c r="B30" t="s">
        <v>674</v>
      </c>
      <c r="C30">
        <v>12</v>
      </c>
    </row>
    <row r="31" spans="2:3">
      <c r="B31" t="s">
        <v>675</v>
      </c>
      <c r="C31">
        <v>25</v>
      </c>
    </row>
    <row r="32" spans="2:3">
      <c r="B32" t="s">
        <v>676</v>
      </c>
      <c r="C32">
        <v>18</v>
      </c>
    </row>
    <row r="33" spans="2:3">
      <c r="B33" t="s">
        <v>677</v>
      </c>
      <c r="C33">
        <v>16</v>
      </c>
    </row>
    <row r="34" spans="2:3">
      <c r="B34" t="s">
        <v>678</v>
      </c>
      <c r="C34">
        <v>13</v>
      </c>
    </row>
    <row r="35" spans="2:3">
      <c r="B35" t="s">
        <v>679</v>
      </c>
      <c r="C35">
        <v>18</v>
      </c>
    </row>
    <row r="36" spans="2:3">
      <c r="B36" t="s">
        <v>680</v>
      </c>
      <c r="C36">
        <v>21</v>
      </c>
    </row>
    <row r="37" spans="2:3">
      <c r="B37" t="s">
        <v>681</v>
      </c>
      <c r="C37">
        <v>23</v>
      </c>
    </row>
    <row r="38" spans="2:3">
      <c r="B38" t="s">
        <v>682</v>
      </c>
      <c r="C38">
        <v>28</v>
      </c>
    </row>
    <row r="39" spans="2:3">
      <c r="B39" t="s">
        <v>683</v>
      </c>
      <c r="C39">
        <v>27</v>
      </c>
    </row>
    <row r="40" spans="2:3">
      <c r="B40" t="s">
        <v>684</v>
      </c>
      <c r="C40">
        <v>10</v>
      </c>
    </row>
    <row r="41" spans="2:3">
      <c r="B41" s="70">
        <v>46178</v>
      </c>
      <c r="C41">
        <v>5</v>
      </c>
    </row>
    <row r="42" spans="2:3">
      <c r="B42" s="70">
        <v>46179</v>
      </c>
      <c r="C42">
        <v>20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364FC-8668-45B5-A14E-8669B95D2A86}">
  <sheetPr codeName="Sheet5"/>
  <dimension ref="A2:O60"/>
  <sheetViews>
    <sheetView workbookViewId="0">
      <selection activeCell="E9" sqref="E9"/>
    </sheetView>
  </sheetViews>
  <sheetFormatPr defaultRowHeight="15"/>
  <cols>
    <col min="5" max="5" width="22.85546875" bestFit="1" customWidth="1"/>
    <col min="11" max="11" width="16.85546875" bestFit="1" customWidth="1"/>
    <col min="12" max="12" width="14.28515625" bestFit="1" customWidth="1"/>
  </cols>
  <sheetData>
    <row r="2" spans="1:15" ht="26.25">
      <c r="A2" s="77" t="s">
        <v>685</v>
      </c>
    </row>
    <row r="3" spans="1:15" ht="26.25">
      <c r="A3" s="77" t="s">
        <v>686</v>
      </c>
      <c r="E3" s="104"/>
      <c r="F3" s="105"/>
      <c r="G3" s="106"/>
      <c r="I3" s="76" t="s">
        <v>0</v>
      </c>
    </row>
    <row r="4" spans="1:15" ht="27" thickBot="1">
      <c r="A4" s="77" t="s">
        <v>687</v>
      </c>
      <c r="E4" s="107"/>
      <c r="F4" s="108"/>
      <c r="G4" s="109"/>
      <c r="I4" s="77" t="s">
        <v>685</v>
      </c>
    </row>
    <row r="5" spans="1:15" ht="26.25">
      <c r="A5" s="77" t="s">
        <v>685</v>
      </c>
      <c r="E5" s="107"/>
      <c r="F5" s="108"/>
      <c r="G5" s="109"/>
      <c r="I5" s="77" t="s">
        <v>686</v>
      </c>
      <c r="K5" s="37" t="s">
        <v>641</v>
      </c>
      <c r="L5" t="s">
        <v>1</v>
      </c>
      <c r="N5" s="103" t="s">
        <v>641</v>
      </c>
      <c r="O5" s="103" t="s">
        <v>1</v>
      </c>
    </row>
    <row r="6" spans="1:15" ht="26.25">
      <c r="A6" s="77" t="s">
        <v>688</v>
      </c>
      <c r="E6" s="107"/>
      <c r="F6" s="108"/>
      <c r="G6" s="109"/>
      <c r="I6" s="77" t="s">
        <v>687</v>
      </c>
      <c r="K6" s="38" t="s">
        <v>688</v>
      </c>
      <c r="L6">
        <v>4</v>
      </c>
      <c r="N6" s="38" t="s">
        <v>689</v>
      </c>
      <c r="O6">
        <v>13</v>
      </c>
    </row>
    <row r="7" spans="1:15" ht="26.25">
      <c r="A7" s="77" t="s">
        <v>690</v>
      </c>
      <c r="E7" s="107"/>
      <c r="F7" s="108"/>
      <c r="G7" s="109"/>
      <c r="I7" s="77" t="s">
        <v>685</v>
      </c>
      <c r="K7" s="38" t="s">
        <v>689</v>
      </c>
      <c r="L7">
        <v>13</v>
      </c>
      <c r="N7" s="38" t="s">
        <v>685</v>
      </c>
      <c r="O7">
        <v>10</v>
      </c>
    </row>
    <row r="8" spans="1:15" ht="26.25">
      <c r="A8" s="77" t="s">
        <v>691</v>
      </c>
      <c r="E8" s="107"/>
      <c r="F8" s="108"/>
      <c r="G8" s="109"/>
      <c r="I8" s="77" t="s">
        <v>688</v>
      </c>
      <c r="K8" s="38" t="s">
        <v>692</v>
      </c>
      <c r="L8">
        <v>1</v>
      </c>
      <c r="N8" s="38" t="s">
        <v>686</v>
      </c>
      <c r="O8">
        <v>6</v>
      </c>
    </row>
    <row r="9" spans="1:15" ht="26.25">
      <c r="A9" s="77" t="s">
        <v>689</v>
      </c>
      <c r="E9" s="107"/>
      <c r="F9" s="108"/>
      <c r="G9" s="109"/>
      <c r="I9" s="77" t="s">
        <v>690</v>
      </c>
      <c r="K9" s="38" t="s">
        <v>693</v>
      </c>
      <c r="L9">
        <v>3</v>
      </c>
      <c r="N9" s="38" t="s">
        <v>688</v>
      </c>
      <c r="O9">
        <v>4</v>
      </c>
    </row>
    <row r="10" spans="1:15" ht="26.25">
      <c r="A10" s="77" t="s">
        <v>689</v>
      </c>
      <c r="E10" s="107"/>
      <c r="F10" s="108"/>
      <c r="G10" s="109"/>
      <c r="I10" s="77" t="s">
        <v>691</v>
      </c>
      <c r="K10" s="38" t="s">
        <v>694</v>
      </c>
      <c r="L10">
        <v>2</v>
      </c>
      <c r="N10" s="38" t="s">
        <v>691</v>
      </c>
      <c r="O10">
        <v>4</v>
      </c>
    </row>
    <row r="11" spans="1:15" ht="26.25">
      <c r="A11" s="77" t="s">
        <v>686</v>
      </c>
      <c r="E11" s="107"/>
      <c r="F11" s="108"/>
      <c r="G11" s="109"/>
      <c r="I11" s="77" t="s">
        <v>689</v>
      </c>
      <c r="K11" s="38" t="s">
        <v>691</v>
      </c>
      <c r="L11">
        <v>4</v>
      </c>
      <c r="N11" s="38" t="s">
        <v>3</v>
      </c>
      <c r="O11">
        <v>4</v>
      </c>
    </row>
    <row r="12" spans="1:15" ht="26.25">
      <c r="A12" s="77" t="s">
        <v>694</v>
      </c>
      <c r="E12" s="107"/>
      <c r="F12" s="108"/>
      <c r="G12" s="109"/>
      <c r="I12" s="77" t="s">
        <v>689</v>
      </c>
      <c r="K12" s="38" t="s">
        <v>685</v>
      </c>
      <c r="L12">
        <v>10</v>
      </c>
      <c r="N12" s="38" t="s">
        <v>693</v>
      </c>
      <c r="O12">
        <v>3</v>
      </c>
    </row>
    <row r="13" spans="1:15" ht="26.25">
      <c r="A13" s="78" t="s">
        <v>695</v>
      </c>
      <c r="E13" s="107"/>
      <c r="F13" s="108"/>
      <c r="G13" s="109"/>
      <c r="I13" s="77" t="s">
        <v>686</v>
      </c>
      <c r="K13" s="38" t="s">
        <v>12</v>
      </c>
      <c r="L13">
        <v>1</v>
      </c>
      <c r="N13" s="38" t="s">
        <v>690</v>
      </c>
      <c r="O13">
        <v>3</v>
      </c>
    </row>
    <row r="14" spans="1:15" ht="26.25">
      <c r="A14" s="78" t="s">
        <v>686</v>
      </c>
      <c r="E14" s="107"/>
      <c r="F14" s="108"/>
      <c r="G14" s="109"/>
      <c r="I14" s="77" t="s">
        <v>689</v>
      </c>
      <c r="K14" s="38" t="s">
        <v>696</v>
      </c>
      <c r="L14">
        <v>1</v>
      </c>
      <c r="N14" s="38" t="s">
        <v>694</v>
      </c>
      <c r="O14">
        <v>2</v>
      </c>
    </row>
    <row r="15" spans="1:15" ht="26.25">
      <c r="A15" s="78" t="s">
        <v>686</v>
      </c>
      <c r="E15" s="107"/>
      <c r="F15" s="108"/>
      <c r="G15" s="109"/>
      <c r="I15" s="77" t="s">
        <v>694</v>
      </c>
      <c r="K15" s="38" t="s">
        <v>697</v>
      </c>
      <c r="L15">
        <v>1</v>
      </c>
      <c r="N15" s="38" t="s">
        <v>687</v>
      </c>
      <c r="O15">
        <v>2</v>
      </c>
    </row>
    <row r="16" spans="1:15" ht="26.25">
      <c r="A16" s="78" t="s">
        <v>689</v>
      </c>
      <c r="E16" s="107"/>
      <c r="F16" s="108"/>
      <c r="G16" s="109"/>
      <c r="I16" s="78" t="s">
        <v>695</v>
      </c>
      <c r="K16" s="38" t="s">
        <v>3</v>
      </c>
      <c r="L16">
        <v>4</v>
      </c>
      <c r="N16" s="38" t="s">
        <v>692</v>
      </c>
      <c r="O16">
        <v>1</v>
      </c>
    </row>
    <row r="17" spans="1:15" ht="26.25">
      <c r="A17" s="78" t="s">
        <v>687</v>
      </c>
      <c r="E17" s="107"/>
      <c r="F17" s="108"/>
      <c r="G17" s="109"/>
      <c r="I17" s="78" t="s">
        <v>686</v>
      </c>
      <c r="K17" s="38" t="s">
        <v>690</v>
      </c>
      <c r="L17">
        <v>3</v>
      </c>
      <c r="N17" s="38" t="s">
        <v>12</v>
      </c>
      <c r="O17">
        <v>1</v>
      </c>
    </row>
    <row r="18" spans="1:15" ht="26.25">
      <c r="A18" s="78" t="s">
        <v>688</v>
      </c>
      <c r="E18" s="107"/>
      <c r="F18" s="108"/>
      <c r="G18" s="109"/>
      <c r="I18" s="78" t="s">
        <v>686</v>
      </c>
      <c r="K18" s="38" t="s">
        <v>686</v>
      </c>
      <c r="L18">
        <v>6</v>
      </c>
      <c r="N18" s="38" t="s">
        <v>696</v>
      </c>
      <c r="O18">
        <v>1</v>
      </c>
    </row>
    <row r="19" spans="1:15" ht="26.25">
      <c r="A19" s="78" t="s">
        <v>698</v>
      </c>
      <c r="E19" s="107"/>
      <c r="F19" s="108"/>
      <c r="G19" s="109"/>
      <c r="I19" s="78" t="s">
        <v>689</v>
      </c>
      <c r="K19" s="38" t="s">
        <v>698</v>
      </c>
      <c r="L19">
        <v>1</v>
      </c>
      <c r="N19" s="38" t="s">
        <v>697</v>
      </c>
      <c r="O19">
        <v>1</v>
      </c>
    </row>
    <row r="20" spans="1:15" ht="26.25">
      <c r="A20" s="78" t="s">
        <v>686</v>
      </c>
      <c r="E20" s="110"/>
      <c r="F20" s="111"/>
      <c r="G20" s="112"/>
      <c r="I20" s="78" t="s">
        <v>687</v>
      </c>
      <c r="K20" s="38" t="s">
        <v>695</v>
      </c>
      <c r="L20">
        <v>1</v>
      </c>
      <c r="N20" s="38" t="s">
        <v>698</v>
      </c>
      <c r="O20">
        <v>1</v>
      </c>
    </row>
    <row r="21" spans="1:15" ht="26.25">
      <c r="A21" s="78" t="s">
        <v>689</v>
      </c>
      <c r="I21" s="78" t="s">
        <v>688</v>
      </c>
      <c r="K21" s="38" t="s">
        <v>687</v>
      </c>
      <c r="L21">
        <v>2</v>
      </c>
      <c r="N21" s="38" t="s">
        <v>695</v>
      </c>
      <c r="O21">
        <v>1</v>
      </c>
    </row>
    <row r="22" spans="1:15" ht="26.25">
      <c r="A22" s="78" t="s">
        <v>690</v>
      </c>
      <c r="I22" s="78" t="s">
        <v>698</v>
      </c>
      <c r="K22" s="38" t="s">
        <v>21</v>
      </c>
      <c r="L22">
        <v>57</v>
      </c>
      <c r="N22" s="113"/>
      <c r="O22" s="113"/>
    </row>
    <row r="23" spans="1:15" ht="26.25">
      <c r="A23" s="78" t="s">
        <v>689</v>
      </c>
      <c r="I23" s="78" t="s">
        <v>686</v>
      </c>
    </row>
    <row r="24" spans="1:15" ht="26.25">
      <c r="A24" s="78" t="s">
        <v>689</v>
      </c>
      <c r="I24" s="78" t="s">
        <v>689</v>
      </c>
    </row>
    <row r="25" spans="1:15" ht="26.25">
      <c r="A25" s="78" t="s">
        <v>691</v>
      </c>
      <c r="I25" s="78" t="s">
        <v>690</v>
      </c>
    </row>
    <row r="26" spans="1:15" ht="26.25">
      <c r="A26" s="78" t="s">
        <v>12</v>
      </c>
      <c r="I26" s="78" t="s">
        <v>694</v>
      </c>
    </row>
    <row r="27" spans="1:15" ht="26.25">
      <c r="A27" s="78" t="s">
        <v>692</v>
      </c>
      <c r="I27" s="78" t="s">
        <v>689</v>
      </c>
    </row>
    <row r="28" spans="1:15" ht="26.25">
      <c r="A28" s="78" t="s">
        <v>689</v>
      </c>
      <c r="I28" s="78" t="s">
        <v>689</v>
      </c>
    </row>
    <row r="29" spans="1:15" ht="26.25">
      <c r="A29" s="78" t="s">
        <v>696</v>
      </c>
      <c r="I29" s="78" t="s">
        <v>691</v>
      </c>
    </row>
    <row r="30" spans="1:15" ht="26.25">
      <c r="A30" s="78" t="s">
        <v>693</v>
      </c>
      <c r="I30" s="78" t="s">
        <v>12</v>
      </c>
    </row>
    <row r="31" spans="1:15" ht="26.25">
      <c r="A31" s="78" t="s">
        <v>685</v>
      </c>
      <c r="I31" s="78" t="s">
        <v>692</v>
      </c>
    </row>
    <row r="32" spans="1:15" ht="26.25">
      <c r="A32" s="78" t="s">
        <v>685</v>
      </c>
      <c r="I32" s="78" t="s">
        <v>689</v>
      </c>
    </row>
    <row r="33" spans="1:9" ht="26.25">
      <c r="A33" s="78" t="s">
        <v>685</v>
      </c>
      <c r="I33" s="78" t="s">
        <v>696</v>
      </c>
    </row>
    <row r="34" spans="1:9" ht="26.25">
      <c r="A34" s="78" t="s">
        <v>691</v>
      </c>
      <c r="I34" s="78" t="s">
        <v>693</v>
      </c>
    </row>
    <row r="35" spans="1:9" ht="26.25">
      <c r="A35" s="78" t="s">
        <v>685</v>
      </c>
      <c r="I35" s="78" t="s">
        <v>685</v>
      </c>
    </row>
    <row r="36" spans="1:9" ht="26.25">
      <c r="A36" s="78" t="s">
        <v>685</v>
      </c>
      <c r="I36" s="78" t="s">
        <v>685</v>
      </c>
    </row>
    <row r="37" spans="1:9" ht="26.25">
      <c r="A37" s="78" t="s">
        <v>3</v>
      </c>
      <c r="I37" s="78" t="s">
        <v>691</v>
      </c>
    </row>
    <row r="38" spans="1:9" ht="26.25">
      <c r="A38" s="78" t="s">
        <v>691</v>
      </c>
      <c r="I38" s="78" t="s">
        <v>685</v>
      </c>
    </row>
    <row r="39" spans="1:9" ht="26.25">
      <c r="A39" s="79" t="s">
        <v>688</v>
      </c>
      <c r="I39" s="78" t="s">
        <v>685</v>
      </c>
    </row>
    <row r="40" spans="1:9" ht="25.5">
      <c r="A40" s="80" t="s">
        <v>688</v>
      </c>
      <c r="I40" s="78" t="s">
        <v>3</v>
      </c>
    </row>
    <row r="41" spans="1:9" ht="26.25">
      <c r="A41" s="78" t="s">
        <v>697</v>
      </c>
      <c r="I41" s="78" t="s">
        <v>691</v>
      </c>
    </row>
    <row r="42" spans="1:9" ht="26.25">
      <c r="A42" s="78" t="s">
        <v>689</v>
      </c>
      <c r="I42" s="79" t="s">
        <v>688</v>
      </c>
    </row>
    <row r="43" spans="1:9" ht="26.25">
      <c r="A43" s="78" t="s">
        <v>3</v>
      </c>
      <c r="I43" s="78" t="s">
        <v>693</v>
      </c>
    </row>
    <row r="44" spans="1:9" ht="25.5">
      <c r="A44" s="78" t="s">
        <v>3</v>
      </c>
      <c r="I44" s="80" t="s">
        <v>688</v>
      </c>
    </row>
    <row r="45" spans="1:9" ht="26.25">
      <c r="A45" s="78" t="s">
        <v>685</v>
      </c>
      <c r="I45" s="78" t="s">
        <v>697</v>
      </c>
    </row>
    <row r="46" spans="1:9" ht="26.25">
      <c r="A46" s="78" t="s">
        <v>3</v>
      </c>
      <c r="I46" s="78" t="s">
        <v>689</v>
      </c>
    </row>
    <row r="47" spans="1:9" ht="26.25">
      <c r="A47" s="78" t="s">
        <v>689</v>
      </c>
      <c r="I47" s="78" t="s">
        <v>3</v>
      </c>
    </row>
    <row r="48" spans="1:9" ht="26.25">
      <c r="A48" s="78" t="s">
        <v>693</v>
      </c>
      <c r="I48" s="78" t="s">
        <v>3</v>
      </c>
    </row>
    <row r="49" spans="1:9" ht="26.25">
      <c r="A49" s="78" t="s">
        <v>690</v>
      </c>
      <c r="I49" s="78" t="s">
        <v>685</v>
      </c>
    </row>
    <row r="50" spans="1:9" ht="26.25">
      <c r="A50" s="78" t="s">
        <v>689</v>
      </c>
      <c r="I50" s="78" t="s">
        <v>3</v>
      </c>
    </row>
    <row r="51" spans="1:9" ht="26.25">
      <c r="A51" s="78" t="s">
        <v>685</v>
      </c>
      <c r="I51" s="78" t="s">
        <v>689</v>
      </c>
    </row>
    <row r="52" spans="1:9" ht="26.25">
      <c r="A52" s="78" t="s">
        <v>689</v>
      </c>
      <c r="I52" s="78" t="s">
        <v>693</v>
      </c>
    </row>
    <row r="53" spans="1:9" ht="26.25">
      <c r="A53" s="78" t="s">
        <v>685</v>
      </c>
      <c r="I53" s="78" t="s">
        <v>690</v>
      </c>
    </row>
    <row r="54" spans="1:9" ht="26.25">
      <c r="A54" s="78" t="s">
        <v>689</v>
      </c>
      <c r="I54" s="78" t="s">
        <v>689</v>
      </c>
    </row>
    <row r="55" spans="1:9" ht="26.25">
      <c r="A55" s="78" t="s">
        <v>685</v>
      </c>
      <c r="I55" s="78" t="s">
        <v>685</v>
      </c>
    </row>
    <row r="56" spans="1:9" ht="26.25">
      <c r="A56" s="78" t="s">
        <v>686</v>
      </c>
      <c r="I56" s="78" t="s">
        <v>689</v>
      </c>
    </row>
    <row r="57" spans="1:9" ht="26.25">
      <c r="I57" s="78" t="s">
        <v>685</v>
      </c>
    </row>
    <row r="58" spans="1:9" ht="26.25">
      <c r="I58" s="78" t="s">
        <v>689</v>
      </c>
    </row>
    <row r="59" spans="1:9" ht="26.25">
      <c r="I59" s="78" t="s">
        <v>685</v>
      </c>
    </row>
    <row r="60" spans="1:9" ht="26.25">
      <c r="I60" s="78" t="s">
        <v>686</v>
      </c>
    </row>
  </sheetData>
  <sortState xmlns:xlrd2="http://schemas.microsoft.com/office/spreadsheetml/2017/richdata2" ref="N6:O22">
    <sortCondition descending="1" ref="O6:O22"/>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1FB1E-1FF8-4B23-9658-F660DF1E5269}">
  <sheetPr codeName="Sheet6"/>
  <dimension ref="A1:T39"/>
  <sheetViews>
    <sheetView topLeftCell="A3" workbookViewId="0">
      <selection activeCell="F17" sqref="F17"/>
    </sheetView>
  </sheetViews>
  <sheetFormatPr defaultRowHeight="15"/>
  <cols>
    <col min="1" max="1" width="13.140625" bestFit="1" customWidth="1"/>
    <col min="2" max="2" width="14.28515625" bestFit="1" customWidth="1"/>
    <col min="4" max="4" width="16.85546875" customWidth="1"/>
    <col min="19" max="19" width="20.28515625" customWidth="1"/>
  </cols>
  <sheetData>
    <row r="1" spans="1:20">
      <c r="A1" s="37" t="s">
        <v>31</v>
      </c>
      <c r="B1" s="38">
        <v>1</v>
      </c>
    </row>
    <row r="2" spans="1:20" ht="15.75" thickBot="1"/>
    <row r="3" spans="1:20">
      <c r="A3" s="37" t="s">
        <v>699</v>
      </c>
      <c r="B3" s="37" t="s">
        <v>638</v>
      </c>
      <c r="S3" s="103" t="s">
        <v>641</v>
      </c>
      <c r="T3" s="103" t="s">
        <v>699</v>
      </c>
    </row>
    <row r="4" spans="1:20">
      <c r="B4" t="s">
        <v>45</v>
      </c>
      <c r="C4" t="s">
        <v>640</v>
      </c>
      <c r="D4" t="s">
        <v>21</v>
      </c>
      <c r="K4">
        <v>2.4</v>
      </c>
      <c r="S4" s="38" t="s">
        <v>700</v>
      </c>
      <c r="T4">
        <v>66</v>
      </c>
    </row>
    <row r="5" spans="1:20">
      <c r="K5">
        <v>2.7</v>
      </c>
      <c r="S5" s="38" t="s">
        <v>688</v>
      </c>
      <c r="T5">
        <v>41</v>
      </c>
    </row>
    <row r="6" spans="1:20">
      <c r="A6" s="37" t="s">
        <v>641</v>
      </c>
      <c r="K6">
        <v>3</v>
      </c>
      <c r="S6" s="38" t="s">
        <v>698</v>
      </c>
      <c r="T6">
        <v>41</v>
      </c>
    </row>
    <row r="7" spans="1:20">
      <c r="A7" s="38" t="s">
        <v>108</v>
      </c>
      <c r="B7">
        <v>4</v>
      </c>
      <c r="C7">
        <v>4</v>
      </c>
      <c r="D7">
        <v>8</v>
      </c>
      <c r="K7">
        <v>3.1</v>
      </c>
      <c r="S7" s="38" t="s">
        <v>3</v>
      </c>
      <c r="T7">
        <v>40</v>
      </c>
    </row>
    <row r="8" spans="1:20">
      <c r="A8" s="38" t="s">
        <v>92</v>
      </c>
      <c r="B8">
        <v>2</v>
      </c>
      <c r="D8">
        <v>2</v>
      </c>
      <c r="K8">
        <v>2.6</v>
      </c>
      <c r="S8" s="38" t="s">
        <v>689</v>
      </c>
      <c r="T8">
        <v>38</v>
      </c>
    </row>
    <row r="9" spans="1:20">
      <c r="A9" s="38" t="s">
        <v>42</v>
      </c>
      <c r="B9">
        <v>11</v>
      </c>
      <c r="C9">
        <v>8</v>
      </c>
      <c r="D9">
        <v>19</v>
      </c>
      <c r="K9">
        <v>2.9</v>
      </c>
      <c r="S9" s="38" t="s">
        <v>691</v>
      </c>
      <c r="T9">
        <v>24</v>
      </c>
    </row>
    <row r="10" spans="1:20">
      <c r="A10" s="38" t="s">
        <v>318</v>
      </c>
      <c r="C10">
        <v>1</v>
      </c>
      <c r="D10">
        <v>1</v>
      </c>
      <c r="K10">
        <v>2.9</v>
      </c>
      <c r="S10" s="38" t="s">
        <v>685</v>
      </c>
      <c r="T10">
        <v>20</v>
      </c>
    </row>
    <row r="11" spans="1:20">
      <c r="A11" s="38" t="s">
        <v>69</v>
      </c>
      <c r="C11">
        <v>4</v>
      </c>
      <c r="D11">
        <v>4</v>
      </c>
      <c r="K11">
        <v>2.2000000000000002</v>
      </c>
      <c r="S11" s="38" t="s">
        <v>686</v>
      </c>
      <c r="T11">
        <v>20</v>
      </c>
    </row>
    <row r="12" spans="1:20">
      <c r="A12" s="38" t="s">
        <v>60</v>
      </c>
      <c r="B12">
        <v>1</v>
      </c>
      <c r="C12">
        <v>2</v>
      </c>
      <c r="D12">
        <v>3</v>
      </c>
      <c r="K12">
        <v>3.1</v>
      </c>
      <c r="S12" s="38" t="s">
        <v>701</v>
      </c>
      <c r="T12">
        <v>13</v>
      </c>
    </row>
    <row r="13" spans="1:20">
      <c r="A13" s="38" t="s">
        <v>85</v>
      </c>
      <c r="C13">
        <v>2</v>
      </c>
      <c r="D13">
        <v>2</v>
      </c>
      <c r="K13">
        <v>2.9</v>
      </c>
      <c r="S13" s="38" t="s">
        <v>690</v>
      </c>
      <c r="T13">
        <v>11</v>
      </c>
    </row>
    <row r="14" spans="1:20">
      <c r="A14" s="38" t="s">
        <v>57</v>
      </c>
      <c r="B14">
        <v>2</v>
      </c>
      <c r="C14">
        <v>15</v>
      </c>
      <c r="D14">
        <v>17</v>
      </c>
      <c r="K14">
        <v>2.9</v>
      </c>
      <c r="S14" s="38" t="s">
        <v>12</v>
      </c>
      <c r="T14">
        <v>9</v>
      </c>
    </row>
    <row r="15" spans="1:20">
      <c r="A15" s="38" t="s">
        <v>124</v>
      </c>
      <c r="B15">
        <v>1</v>
      </c>
      <c r="C15">
        <v>1</v>
      </c>
      <c r="D15">
        <v>2</v>
      </c>
      <c r="K15">
        <v>2.9</v>
      </c>
      <c r="S15" s="38" t="s">
        <v>696</v>
      </c>
      <c r="T15">
        <v>8</v>
      </c>
    </row>
    <row r="16" spans="1:20">
      <c r="A16" s="38" t="s">
        <v>82</v>
      </c>
      <c r="B16">
        <v>1</v>
      </c>
      <c r="D16">
        <v>1</v>
      </c>
      <c r="K16">
        <v>2.1</v>
      </c>
      <c r="S16" s="38" t="s">
        <v>687</v>
      </c>
      <c r="T16">
        <v>8</v>
      </c>
    </row>
    <row r="17" spans="1:20">
      <c r="A17" s="38" t="s">
        <v>72</v>
      </c>
      <c r="B17">
        <v>1</v>
      </c>
      <c r="D17">
        <v>1</v>
      </c>
      <c r="K17">
        <v>2.7</v>
      </c>
      <c r="S17" s="38" t="s">
        <v>702</v>
      </c>
      <c r="T17">
        <v>7</v>
      </c>
    </row>
    <row r="18" spans="1:20">
      <c r="A18" s="38" t="s">
        <v>21</v>
      </c>
      <c r="B18">
        <v>23</v>
      </c>
      <c r="C18">
        <v>37</v>
      </c>
      <c r="D18">
        <v>60</v>
      </c>
      <c r="K18">
        <v>2.9</v>
      </c>
      <c r="S18" s="38" t="s">
        <v>703</v>
      </c>
      <c r="T18">
        <v>7</v>
      </c>
    </row>
    <row r="19" spans="1:20">
      <c r="S19" s="38" t="s">
        <v>704</v>
      </c>
      <c r="T19">
        <v>6</v>
      </c>
    </row>
    <row r="20" spans="1:20">
      <c r="S20" s="38" t="s">
        <v>692</v>
      </c>
      <c r="T20">
        <v>4</v>
      </c>
    </row>
    <row r="21" spans="1:20">
      <c r="S21" s="38" t="s">
        <v>693</v>
      </c>
      <c r="T21">
        <v>4</v>
      </c>
    </row>
    <row r="22" spans="1:20">
      <c r="S22" s="38" t="s">
        <v>705</v>
      </c>
      <c r="T22">
        <v>4</v>
      </c>
    </row>
    <row r="23" spans="1:20">
      <c r="S23" s="38" t="s">
        <v>697</v>
      </c>
      <c r="T23">
        <v>4</v>
      </c>
    </row>
    <row r="24" spans="1:20">
      <c r="S24" s="38" t="s">
        <v>706</v>
      </c>
      <c r="T24">
        <v>4</v>
      </c>
    </row>
    <row r="25" spans="1:20">
      <c r="S25" s="38" t="s">
        <v>695</v>
      </c>
      <c r="T25">
        <v>4</v>
      </c>
    </row>
    <row r="26" spans="1:20">
      <c r="S26" s="38" t="s">
        <v>694</v>
      </c>
      <c r="T26">
        <v>3</v>
      </c>
    </row>
    <row r="27" spans="1:20">
      <c r="S27" s="38" t="s">
        <v>707</v>
      </c>
      <c r="T27">
        <v>3</v>
      </c>
    </row>
    <row r="28" spans="1:20">
      <c r="S28" s="38" t="s">
        <v>708</v>
      </c>
      <c r="T28">
        <v>2</v>
      </c>
    </row>
    <row r="29" spans="1:20">
      <c r="S29" s="38" t="s">
        <v>709</v>
      </c>
      <c r="T29">
        <v>2</v>
      </c>
    </row>
    <row r="30" spans="1:20">
      <c r="S30" s="38" t="s">
        <v>710</v>
      </c>
      <c r="T30">
        <v>2</v>
      </c>
    </row>
    <row r="31" spans="1:20">
      <c r="S31" s="38" t="s">
        <v>711</v>
      </c>
      <c r="T31">
        <v>1</v>
      </c>
    </row>
    <row r="32" spans="1:20">
      <c r="S32" s="38" t="s">
        <v>712</v>
      </c>
      <c r="T32">
        <v>1</v>
      </c>
    </row>
    <row r="33" spans="19:20">
      <c r="S33" s="38" t="s">
        <v>713</v>
      </c>
      <c r="T33">
        <v>1</v>
      </c>
    </row>
    <row r="34" spans="19:20">
      <c r="S34" s="38" t="s">
        <v>714</v>
      </c>
      <c r="T34">
        <v>1</v>
      </c>
    </row>
    <row r="35" spans="19:20">
      <c r="S35" s="38" t="s">
        <v>715</v>
      </c>
      <c r="T35">
        <v>1</v>
      </c>
    </row>
    <row r="36" spans="19:20">
      <c r="S36" s="38" t="s">
        <v>716</v>
      </c>
      <c r="T36">
        <v>1</v>
      </c>
    </row>
    <row r="37" spans="19:20">
      <c r="S37" s="38" t="s">
        <v>717</v>
      </c>
      <c r="T37">
        <v>1</v>
      </c>
    </row>
    <row r="38" spans="19:20">
      <c r="S38" s="38" t="s">
        <v>718</v>
      </c>
      <c r="T38">
        <v>1</v>
      </c>
    </row>
    <row r="39" spans="19:20">
      <c r="S39" s="38" t="s">
        <v>719</v>
      </c>
      <c r="T39">
        <v>1</v>
      </c>
    </row>
  </sheetData>
  <autoFilter ref="S3:T19" xr:uid="{97A1FB1E-1FF8-4B23-9658-F660DF1E5269}">
    <sortState xmlns:xlrd2="http://schemas.microsoft.com/office/spreadsheetml/2017/richdata2" ref="S4:T39">
      <sortCondition descending="1" ref="T3:T19"/>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616D0BEE1F7064CB0A170B949FAEC87" ma:contentTypeVersion="14" ma:contentTypeDescription="Create a new document." ma:contentTypeScope="" ma:versionID="f7dad44da6bda0413aa3ad92c815d1ff">
  <xsd:schema xmlns:xsd="http://www.w3.org/2001/XMLSchema" xmlns:xs="http://www.w3.org/2001/XMLSchema" xmlns:p="http://schemas.microsoft.com/office/2006/metadata/properties" xmlns:ns2="b81dfca8-7f35-4830-97a6-0949ea5d014d" xmlns:ns3="8f6efb83-841f-4bde-8dcd-abbe1dde2f0d" targetNamespace="http://schemas.microsoft.com/office/2006/metadata/properties" ma:root="true" ma:fieldsID="29141e1502a7a845c866280eabba5962" ns2:_="" ns3:_="">
    <xsd:import namespace="b81dfca8-7f35-4830-97a6-0949ea5d014d"/>
    <xsd:import namespace="8f6efb83-841f-4bde-8dcd-abbe1dde2f0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1dfca8-7f35-4830-97a6-0949ea5d01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07613a9-4562-4fb5-9dce-63283406191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f6efb83-841f-4bde-8dcd-abbe1dde2f0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2a2b890-5917-43eb-b79a-9f0a110d74ed}" ma:internalName="TaxCatchAll" ma:showField="CatchAllData" ma:web="8f6efb83-841f-4bde-8dcd-abbe1dde2f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8f6efb83-841f-4bde-8dcd-abbe1dde2f0d" xsi:nil="true"/>
    <lcf76f155ced4ddcb4097134ff3c332f xmlns="b81dfca8-7f35-4830-97a6-0949ea5d014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8C89B2C-A7D0-47CB-9EB6-C2EA1D7ECF7C}"/>
</file>

<file path=customXml/itemProps2.xml><?xml version="1.0" encoding="utf-8"?>
<ds:datastoreItem xmlns:ds="http://schemas.openxmlformats.org/officeDocument/2006/customXml" ds:itemID="{50B42307-2CB1-4FDE-B3D1-9FEB02E3C5DC}"/>
</file>

<file path=customXml/itemProps3.xml><?xml version="1.0" encoding="utf-8"?>
<ds:datastoreItem xmlns:ds="http://schemas.openxmlformats.org/officeDocument/2006/customXml" ds:itemID="{5FB7C508-E84F-4AFE-9A50-BC2770D5485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2026-06-01T14:29:13Z</dcterms:created>
  <dcterms:modified xsi:type="dcterms:W3CDTF">2026-07-02T12:03:11Z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0x010100D616D0BEE1F7064CB0A170B949FAEC87</vt:lpwstr>
  </property>
  <property fmtid="{D5CDD505-2E9C-101B-9397-08002B2CF9AE}" pid="3" name="MediaServiceImageTags">
    <vt:lpwstr/>
  </property>
</Properties>
</file>