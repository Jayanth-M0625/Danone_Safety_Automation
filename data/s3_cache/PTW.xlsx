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updateLinks="always"/>
  <mc:AlternateContent xmlns:mc="http://schemas.openxmlformats.org/markup-compatibility/2006">
    <mc:Choice Requires="x15">
      <x15ac:absPath xmlns:x15ac="http://schemas.microsoft.com/office/spreadsheetml/2010/11/ac" url="https://danone-my.sharepoint.com/personal/sahil_rana_external_danone_com/Documents/"/>
    </mc:Choice>
  </mc:AlternateContent>
  <xr:revisionPtr revIDLastSave="0" documentId="8_{ADDC6FA3-8015-42F9-8945-08777518316B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PTW" sheetId="1" r:id="rId1"/>
    <sheet name="HighRiskObs" sheetId="4" r:id="rId2"/>
    <sheet name="ContractorObs" sheetId="5" r:id="rId3"/>
    <sheet name="PTW Audit" sheetId="2" r:id="rId4"/>
    <sheet name="Sheet1" sheetId="7" r:id="rId5"/>
    <sheet name="PTW Dashboard Data" sheetId="3" r:id="rId6"/>
    <sheet name="CSFA Dashboard" sheetId="6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F2" i="4" a="1"/>
  <c r="A2" i="5" a="1"/>
  <c r="A2" i="4" a="1"/>
  <c r="I2" i="3"/>
  <c r="H2" i="3"/>
  <c r="G2" i="3"/>
  <c r="E2" i="3" a="1"/>
  <c r="D2" i="3"/>
  <c r="AA2" i="2"/>
  <c r="C2" i="3" s="1"/>
  <c r="B2" i="3"/>
  <c r="A2" i="3"/>
  <c r="F2" i="3" l="1"/>
  <c r="B3" i="5"/>
  <c r="B4" i="5"/>
  <c r="B5" i="5"/>
  <c r="B6" i="5"/>
  <c r="B7" i="5"/>
  <c r="B8" i="5"/>
  <c r="B9" i="5"/>
  <c r="C6" i="3"/>
  <c r="C7" i="3"/>
  <c r="E2" i="3" l="1"/>
  <c r="A2" i="5"/>
  <c r="B2" i="5" s="1"/>
  <c r="E2" i="5" s="1" a="1"/>
  <c r="F2" i="4"/>
  <c r="C5" i="3" s="1"/>
  <c r="A2" i="4"/>
  <c r="C2" i="4" s="1" a="1"/>
  <c r="D6" i="3" l="1"/>
  <c r="D5" i="3"/>
  <c r="C2" i="4"/>
  <c r="B7" i="3"/>
  <c r="A7" i="3"/>
  <c r="B6" i="3"/>
  <c r="A6" i="3"/>
  <c r="B5" i="3"/>
  <c r="E2" i="5"/>
  <c r="A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<sst xmlns="http://schemas.openxmlformats.org/spreadsheetml/2006/main" count="9555" uniqueCount="2555">
  <si>
    <t>Id</t>
  </si>
  <si>
    <t>Start time</t>
  </si>
  <si>
    <t>Completion time</t>
  </si>
  <si>
    <t>Email</t>
  </si>
  <si>
    <t>Name</t>
  </si>
  <si>
    <t>PTW Date</t>
  </si>
  <si>
    <t>PTW Issued Time</t>
  </si>
  <si>
    <t>PTW Authorizer Time</t>
  </si>
  <si>
    <t>PTW No</t>
  </si>
  <si>
    <t>Work Description</t>
  </si>
  <si>
    <t>Work Location</t>
  </si>
  <si>
    <t>Contractor Name </t>
  </si>
  <si>
    <t>PTW Authorizer</t>
  </si>
  <si>
    <t>Permit Issuer</t>
  </si>
  <si>
    <t>Special permission</t>
  </si>
  <si>
    <t>PTW Type</t>
  </si>
  <si>
    <t>Risk </t>
  </si>
  <si>
    <t>Remarks</t>
  </si>
  <si>
    <t>anonymous</t>
  </si>
  <si>
    <t>9:00 am</t>
  </si>
  <si>
    <t>24389</t>
  </si>
  <si>
    <t xml:space="preserve">Housekeeping, steelcutting, excavation </t>
  </si>
  <si>
    <t xml:space="preserve">New chiller building </t>
  </si>
  <si>
    <t>Crescon</t>
  </si>
  <si>
    <t>Akshey</t>
  </si>
  <si>
    <t>No</t>
  </si>
  <si>
    <t>General work, Hot work, Work at height, Excavation work </t>
  </si>
  <si>
    <t>Medium Risk</t>
  </si>
  <si>
    <t>9:15 Am</t>
  </si>
  <si>
    <t>23584</t>
  </si>
  <si>
    <t xml:space="preserve">Wall dismentle, chipping for insert plat, debris Material shifting, house keeping, breking for gread slab for foundation </t>
  </si>
  <si>
    <t xml:space="preserve">Evaporator </t>
  </si>
  <si>
    <t>Aalanna</t>
  </si>
  <si>
    <t>Akash</t>
  </si>
  <si>
    <t>Shahnawaz</t>
  </si>
  <si>
    <t>Yes</t>
  </si>
  <si>
    <t>General work, Hot work, Work at height</t>
  </si>
  <si>
    <t>9:00Am</t>
  </si>
  <si>
    <t>5151</t>
  </si>
  <si>
    <t xml:space="preserve">Housekeeping, excavation, concreting, scaffolding staircase,steel fixing , brick work, hard berrication, loading and unloading coulem hammering </t>
  </si>
  <si>
    <t xml:space="preserve">New chiller areas </t>
  </si>
  <si>
    <t>9:42</t>
  </si>
  <si>
    <t>22840</t>
  </si>
  <si>
    <t xml:space="preserve">Platform Plate fixing, Scaffolding Erection and Dismantle, Materials Shifting from store to Evaporate Section </t>
  </si>
  <si>
    <t>GEA</t>
  </si>
  <si>
    <t>Ajay</t>
  </si>
  <si>
    <t>9:12</t>
  </si>
  <si>
    <t>22841</t>
  </si>
  <si>
    <t xml:space="preserve">Pipe Storage rack fabrication and housekeeping </t>
  </si>
  <si>
    <t xml:space="preserve">Near Filter Cleaning </t>
  </si>
  <si>
    <t>Hot work, General work</t>
  </si>
  <si>
    <t>9:15 am</t>
  </si>
  <si>
    <t>5152</t>
  </si>
  <si>
    <t xml:space="preserve">Pipe reaction, material shifting lifting and unloading </t>
  </si>
  <si>
    <t xml:space="preserve">Near by Chiller building </t>
  </si>
  <si>
    <t>Work at height</t>
  </si>
  <si>
    <t>09:20</t>
  </si>
  <si>
    <t>5101</t>
  </si>
  <si>
    <t xml:space="preserve">Breaking for gread Slab housekeeping &amp; material shifting </t>
  </si>
  <si>
    <t xml:space="preserve">Evaporation </t>
  </si>
  <si>
    <t>Danish</t>
  </si>
  <si>
    <t>Surender</t>
  </si>
  <si>
    <t>9:30</t>
  </si>
  <si>
    <t>22844</t>
  </si>
  <si>
    <t xml:space="preserve">Platform Plate fixing, platform shifting </t>
  </si>
  <si>
    <t>9:40</t>
  </si>
  <si>
    <t>22843</t>
  </si>
  <si>
    <t xml:space="preserve">RIO Panel Shifting &amp; MCC </t>
  </si>
  <si>
    <t xml:space="preserve">New chiller Building </t>
  </si>
  <si>
    <t>General work </t>
  </si>
  <si>
    <t>22845</t>
  </si>
  <si>
    <t xml:space="preserve">Pipe rack fabrication material shifting </t>
  </si>
  <si>
    <t xml:space="preserve">New Filter Cleaning </t>
  </si>
  <si>
    <t xml:space="preserve">9:00. AM </t>
  </si>
  <si>
    <t>5154</t>
  </si>
  <si>
    <t xml:space="preserve">Colom habring, excavation, brick work, steel cutting, barricade, stuttering work, </t>
  </si>
  <si>
    <t xml:space="preserve">9:15 AM </t>
  </si>
  <si>
    <t>5156</t>
  </si>
  <si>
    <t xml:space="preserve">Pipe erection, material loading and unloading by farana </t>
  </si>
  <si>
    <t>High Risk</t>
  </si>
  <si>
    <t>9:28</t>
  </si>
  <si>
    <t>22847</t>
  </si>
  <si>
    <t xml:space="preserve">Calandria foundation plate cutting &amp; frem fabrication </t>
  </si>
  <si>
    <t>9:15</t>
  </si>
  <si>
    <t>5102</t>
  </si>
  <si>
    <t xml:space="preserve">Drilling, breaking grade slab, material shifting, housekeeping,steel bending, excavation </t>
  </si>
  <si>
    <t>General work, Hot work, Excavation work </t>
  </si>
  <si>
    <t>09:30</t>
  </si>
  <si>
    <t>5451</t>
  </si>
  <si>
    <t xml:space="preserve">Manual material shifting, scaffolding erection and brick work, metro sheet remove, housekeeping </t>
  </si>
  <si>
    <t xml:space="preserve">Milk tank area </t>
  </si>
  <si>
    <t>CCEPL</t>
  </si>
  <si>
    <t>General work, Work at height</t>
  </si>
  <si>
    <t>Low Risk </t>
  </si>
  <si>
    <t>09:25</t>
  </si>
  <si>
    <t>5009</t>
  </si>
  <si>
    <t>MS pipe fabrication of tank, cutting, grinding, welding, material shifting &amp; housekeeping</t>
  </si>
  <si>
    <t xml:space="preserve">Evoporator Terrace </t>
  </si>
  <si>
    <t>Esspee</t>
  </si>
  <si>
    <t>09:28 am</t>
  </si>
  <si>
    <t>5010</t>
  </si>
  <si>
    <t xml:space="preserve">S S pipe line cutting, barricade dismantle, material shifting, scaffold erection &amp; dismantle, chakker plate fixing </t>
  </si>
  <si>
    <t xml:space="preserve">Evoporator ground </t>
  </si>
  <si>
    <t>22846</t>
  </si>
  <si>
    <t xml:space="preserve">Pipe storage rack fabrication &amp; materials shifting </t>
  </si>
  <si>
    <t>12:53</t>
  </si>
  <si>
    <t>22849</t>
  </si>
  <si>
    <t xml:space="preserve">Fitting material unloading manually </t>
  </si>
  <si>
    <t>Near ETP</t>
  </si>
  <si>
    <t>5453</t>
  </si>
  <si>
    <t xml:space="preserve">Manual material shifting, wall repair and plaster work </t>
  </si>
  <si>
    <t xml:space="preserve">Boilar Terrace </t>
  </si>
  <si>
    <t>Tajinder</t>
  </si>
  <si>
    <t xml:space="preserve">3:00 </t>
  </si>
  <si>
    <t>5454</t>
  </si>
  <si>
    <t xml:space="preserve">Manual material shifting, soil feeling and digging , brick work, housekeeping </t>
  </si>
  <si>
    <t xml:space="preserve">Canteen Out Side </t>
  </si>
  <si>
    <t>Abhay</t>
  </si>
  <si>
    <t xml:space="preserve">Work in progress </t>
  </si>
  <si>
    <t>12:20</t>
  </si>
  <si>
    <t>28848</t>
  </si>
  <si>
    <t xml:space="preserve">Platform material unloading </t>
  </si>
  <si>
    <t>Near boiler area</t>
  </si>
  <si>
    <t xml:space="preserve">9:00 AM </t>
  </si>
  <si>
    <t>5157</t>
  </si>
  <si>
    <t xml:space="preserve">Excavation, shuttering, rainforcement, loading and unloading </t>
  </si>
  <si>
    <t>5158</t>
  </si>
  <si>
    <t xml:space="preserve">Soil GJB compection </t>
  </si>
  <si>
    <t xml:space="preserve">Canteen area </t>
  </si>
  <si>
    <t>09:40</t>
  </si>
  <si>
    <t>5103</t>
  </si>
  <si>
    <t xml:space="preserve">Chipping for slab, steel fixing, cutting, housekeeping, material shifting </t>
  </si>
  <si>
    <t>23102</t>
  </si>
  <si>
    <t xml:space="preserve">Frem fabrication pipe shifting </t>
  </si>
  <si>
    <t>9:20</t>
  </si>
  <si>
    <t>5455</t>
  </si>
  <si>
    <t xml:space="preserve">Manual material shifting, brick work, scaffolding erection and modification, metro sheet remove, housekeeping </t>
  </si>
  <si>
    <t>9:50</t>
  </si>
  <si>
    <t>5456</t>
  </si>
  <si>
    <t xml:space="preserve">Manual material shifting, repair and plaster work, housekeeping </t>
  </si>
  <si>
    <t>10:30 am</t>
  </si>
  <si>
    <t>5013</t>
  </si>
  <si>
    <t xml:space="preserve">Frame fabrication, grinding, cutting, welding, material shifting, housekeeping </t>
  </si>
  <si>
    <t xml:space="preserve">ETP </t>
  </si>
  <si>
    <t>9:30 Am</t>
  </si>
  <si>
    <t>5415</t>
  </si>
  <si>
    <t>Hand railing fabrication and installation for cooling tower</t>
  </si>
  <si>
    <t>MWRS chiller area</t>
  </si>
  <si>
    <t>Fluid-line</t>
  </si>
  <si>
    <t xml:space="preserve">10:00 Am </t>
  </si>
  <si>
    <t>5416</t>
  </si>
  <si>
    <t>Colling tower material shifting</t>
  </si>
  <si>
    <t>2:45 Pm</t>
  </si>
  <si>
    <t>5418</t>
  </si>
  <si>
    <t xml:space="preserve">Chiller and hot well tank shifting </t>
  </si>
  <si>
    <t>9:37 Am</t>
  </si>
  <si>
    <t>5414</t>
  </si>
  <si>
    <t xml:space="preserve">Welding and cutting work for support </t>
  </si>
  <si>
    <t xml:space="preserve">Nitrogen back side </t>
  </si>
  <si>
    <t>5159</t>
  </si>
  <si>
    <t xml:space="preserve">Excavation, welding, chipping, block work </t>
  </si>
  <si>
    <t>5161</t>
  </si>
  <si>
    <t>G.j.b compection of canteen area,</t>
  </si>
  <si>
    <t xml:space="preserve">7:00 AM </t>
  </si>
  <si>
    <t>501</t>
  </si>
  <si>
    <t xml:space="preserve">Pipi Rock erection lifting, shifting and unloading </t>
  </si>
  <si>
    <t>Super height</t>
  </si>
  <si>
    <t>5160</t>
  </si>
  <si>
    <t xml:space="preserve">Pipe rack erection, material loading and unloading </t>
  </si>
  <si>
    <t>08:00</t>
  </si>
  <si>
    <t>5104</t>
  </si>
  <si>
    <t xml:space="preserve">Steel fixing, cutting, scaffolding erection, dismantle, chipping for slab housekeeping material shifting </t>
  </si>
  <si>
    <t>5460</t>
  </si>
  <si>
    <t xml:space="preserve">Manual material shifting, brick work, scaffolding erection and modification, metro sheet remove,debris shifting, housekeeping </t>
  </si>
  <si>
    <t>10:00 am</t>
  </si>
  <si>
    <t>5015</t>
  </si>
  <si>
    <t xml:space="preserve">Frame fabrication of exhaust fan and cutting, welding, grinding, material shifting, MS plate cutting, housekeeping </t>
  </si>
  <si>
    <t>10:15 am</t>
  </si>
  <si>
    <t>5014</t>
  </si>
  <si>
    <t xml:space="preserve">Exhaust fan fixing &amp; frame fixing, cutting, welding, grinding, material shifting, scaffold erection &amp; dismantle, housekeeping </t>
  </si>
  <si>
    <t xml:space="preserve">Chiller area </t>
  </si>
  <si>
    <t>10:33 am</t>
  </si>
  <si>
    <t>5016</t>
  </si>
  <si>
    <t xml:space="preserve">MS support fixing with anchor fastener and support fabrication, grinding, cutting, welding, material shifting, scaffold erection </t>
  </si>
  <si>
    <t xml:space="preserve">Evaporator Terrace </t>
  </si>
  <si>
    <t>9:25</t>
  </si>
  <si>
    <t>23103</t>
  </si>
  <si>
    <t xml:space="preserve">Pipe shifting and frem fabrication </t>
  </si>
  <si>
    <t>10:45</t>
  </si>
  <si>
    <t>5423</t>
  </si>
  <si>
    <t>Support installation and pipe cutting grinding work</t>
  </si>
  <si>
    <t>New chiller</t>
  </si>
  <si>
    <t>09:30 Am</t>
  </si>
  <si>
    <t>5421</t>
  </si>
  <si>
    <t>Cooling tower toe guard fabrication work</t>
  </si>
  <si>
    <t>08:05 Am</t>
  </si>
  <si>
    <t>5420</t>
  </si>
  <si>
    <t xml:space="preserve">Pipe line support fabrication and install and commissioning </t>
  </si>
  <si>
    <t xml:space="preserve">MWRS chiller </t>
  </si>
  <si>
    <t xml:space="preserve">7:30 Am </t>
  </si>
  <si>
    <t>5163</t>
  </si>
  <si>
    <t xml:space="preserve">Pile chipping, rainforcement, brick work, shuttering work </t>
  </si>
  <si>
    <t>5106</t>
  </si>
  <si>
    <t xml:space="preserve">Chipping for slab, housekeeping, material shifting, shuttering work, steel cutting </t>
  </si>
  <si>
    <t xml:space="preserve">08:00 PM </t>
  </si>
  <si>
    <t>5108</t>
  </si>
  <si>
    <t xml:space="preserve">Material shifting, casting for trench &amp; housekeeping </t>
  </si>
  <si>
    <t>09:45 am</t>
  </si>
  <si>
    <t>5018</t>
  </si>
  <si>
    <t xml:space="preserve">Pipe line support fabrication and cutting, welding, grinding, material shifting, housekeeping </t>
  </si>
  <si>
    <t>5019</t>
  </si>
  <si>
    <t xml:space="preserve">Support fixing with anchor fastener and boom lift, material shifting and housekeeping </t>
  </si>
  <si>
    <t xml:space="preserve">Cooling Tower </t>
  </si>
  <si>
    <t>Super height, Hot work</t>
  </si>
  <si>
    <t>5464</t>
  </si>
  <si>
    <t xml:space="preserve">Manual material shifting, brick work, scaffolding erection and modification, plaster work, housekeeping </t>
  </si>
  <si>
    <t>5465</t>
  </si>
  <si>
    <t xml:space="preserve">Rack dismantling work </t>
  </si>
  <si>
    <t xml:space="preserve">Engineering Store </t>
  </si>
  <si>
    <t>5020</t>
  </si>
  <si>
    <t xml:space="preserve">Toe guard fixing, welding, grinding, cutting, scaffold erection &amp; dismantle, housekeeping, material shifting </t>
  </si>
  <si>
    <t xml:space="preserve">Evaporator building </t>
  </si>
  <si>
    <t>9:40Am</t>
  </si>
  <si>
    <t>5169</t>
  </si>
  <si>
    <t xml:space="preserve">Block work,shuttering work. D-shuttring work welding &amp; concreting work </t>
  </si>
  <si>
    <t xml:space="preserve">Canteen area&amp; air compressor, chiller areas </t>
  </si>
  <si>
    <t>Manoj</t>
  </si>
  <si>
    <t xml:space="preserve">Mandatory ppe's  proper safe access and housekeeping </t>
  </si>
  <si>
    <t xml:space="preserve">09:48 am </t>
  </si>
  <si>
    <t>5168</t>
  </si>
  <si>
    <t xml:space="preserve">Pipe rack erection lifting &amp; shifting unloading using farana  boom lift  </t>
  </si>
  <si>
    <t xml:space="preserve">G-section canteen area </t>
  </si>
  <si>
    <t xml:space="preserve">Use of PPE's job specific &amp; erection area barricade </t>
  </si>
  <si>
    <t>3551</t>
  </si>
  <si>
    <t xml:space="preserve">Plateform shifting and erection scaffolding erection and Dismantle </t>
  </si>
  <si>
    <t>10:15 Am</t>
  </si>
  <si>
    <t>5428</t>
  </si>
  <si>
    <t xml:space="preserve">Commissioning work </t>
  </si>
  <si>
    <t xml:space="preserve">MWRS chiller area </t>
  </si>
  <si>
    <t>10,:11</t>
  </si>
  <si>
    <t>5429</t>
  </si>
  <si>
    <t xml:space="preserve">Pipe structure fabrication and installation </t>
  </si>
  <si>
    <t xml:space="preserve">New chiller area </t>
  </si>
  <si>
    <t>10:18 Am</t>
  </si>
  <si>
    <t>5430</t>
  </si>
  <si>
    <t xml:space="preserve">Ammonia line hydrotest </t>
  </si>
  <si>
    <t>Nitrogen area back side</t>
  </si>
  <si>
    <t>10:16 Am</t>
  </si>
  <si>
    <t>5431</t>
  </si>
  <si>
    <t>Chiller pipe line insulation work</t>
  </si>
  <si>
    <t xml:space="preserve">Shaft room </t>
  </si>
  <si>
    <t>13:15</t>
  </si>
  <si>
    <t>5433</t>
  </si>
  <si>
    <t>Pipe cutting welding work</t>
  </si>
  <si>
    <t>Nitrogen back side</t>
  </si>
  <si>
    <t>16:30</t>
  </si>
  <si>
    <t>5434</t>
  </si>
  <si>
    <t>Shifting and positioning of hot well tank</t>
  </si>
  <si>
    <t>3552</t>
  </si>
  <si>
    <t xml:space="preserve">Plateform erection &amp; shifting scaffolding erection and Dismantle </t>
  </si>
  <si>
    <t>5436</t>
  </si>
  <si>
    <t xml:space="preserve">Pipeline and structure fabrication support installation and material shifting </t>
  </si>
  <si>
    <t>09:40Am</t>
  </si>
  <si>
    <t>5061</t>
  </si>
  <si>
    <t>Water Flushing, insulation cladding fixing, Material shifting.</t>
  </si>
  <si>
    <t>Oil Blending to Reception.</t>
  </si>
  <si>
    <t>SPX</t>
  </si>
  <si>
    <t>09:35</t>
  </si>
  <si>
    <t>5110</t>
  </si>
  <si>
    <t xml:space="preserve">Scaffolding erection dismantle brick wall demolition de-shuttring &amp; housekeeping, material shifting </t>
  </si>
  <si>
    <t>09:45 Am</t>
  </si>
  <si>
    <t>5062</t>
  </si>
  <si>
    <t>I&amp;O Testing, cable Termination and laying.</t>
  </si>
  <si>
    <t xml:space="preserve">Oil Blending to Reception </t>
  </si>
  <si>
    <t>9:50am</t>
  </si>
  <si>
    <t>5172</t>
  </si>
  <si>
    <t xml:space="preserve">Steel bending of concreting in near canteen </t>
  </si>
  <si>
    <t xml:space="preserve">Use of PPE's job specific </t>
  </si>
  <si>
    <t xml:space="preserve">9:am </t>
  </si>
  <si>
    <t>5170</t>
  </si>
  <si>
    <t xml:space="preserve">Pile head chipping reinforcement not Bolt fixing concreting, groove cutting work </t>
  </si>
  <si>
    <t xml:space="preserve">Air compressor are chilling building </t>
  </si>
  <si>
    <t xml:space="preserve">Use of PPE's mandatory and maintain proper housekeeping </t>
  </si>
  <si>
    <t>7:00 Am</t>
  </si>
  <si>
    <t>5171</t>
  </si>
  <si>
    <t xml:space="preserve">Pipe rake erection, lifting, shifting and unloading using faranna </t>
  </si>
  <si>
    <t xml:space="preserve">Canteen areas </t>
  </si>
  <si>
    <t xml:space="preserve">Proper safe access, maintain housekeeping before and after work </t>
  </si>
  <si>
    <t>10:30</t>
  </si>
  <si>
    <t>3553</t>
  </si>
  <si>
    <t xml:space="preserve">Material shifting </t>
  </si>
  <si>
    <t xml:space="preserve">Filter Cleaning </t>
  </si>
  <si>
    <t>,</t>
  </si>
  <si>
    <t>09:20 am</t>
  </si>
  <si>
    <t xml:space="preserve">Support fixing with boom lift, drilling, materials shifting, housekeeping </t>
  </si>
  <si>
    <t>5468</t>
  </si>
  <si>
    <t xml:space="preserve">Manual material shifting, brick work, plaster work, scaffolding erection and modification, housekeeping, door fixing </t>
  </si>
  <si>
    <t>5023</t>
  </si>
  <si>
    <t xml:space="preserve">Scaffolding erection, material shifting, housekeeping, welding, grinding, cutting, painting work </t>
  </si>
  <si>
    <t>5469</t>
  </si>
  <si>
    <t>Engg. Store</t>
  </si>
  <si>
    <t>10:42</t>
  </si>
  <si>
    <t>5437</t>
  </si>
  <si>
    <t xml:space="preserve">Commissioning work and cutting welding work </t>
  </si>
  <si>
    <t>MWRS chiller</t>
  </si>
  <si>
    <t xml:space="preserve">09:30 </t>
  </si>
  <si>
    <t>5439</t>
  </si>
  <si>
    <t>Pipe cutting welding and finishing work.</t>
  </si>
  <si>
    <t>Nitrogen backside and refrigeration.</t>
  </si>
  <si>
    <t>5438</t>
  </si>
  <si>
    <t xml:space="preserve">N2 pipeline &amp; Water line disconnecting, pipe cutting, welding &amp; finishing works, material shifting, housekeeping work </t>
  </si>
  <si>
    <t>Refrigeration Room</t>
  </si>
  <si>
    <t>07:00 Am</t>
  </si>
  <si>
    <t>5173</t>
  </si>
  <si>
    <t xml:space="preserve">Pipe rake erection lifting, shifting and unloading using faranna,boom lift </t>
  </si>
  <si>
    <t xml:space="preserve">MWRS, CANTEEN AREAS, NEW CHILLER </t>
  </si>
  <si>
    <t>Proper safe access, berrication the lifting areas,</t>
  </si>
  <si>
    <t>8:30Am</t>
  </si>
  <si>
    <t>5065</t>
  </si>
  <si>
    <t xml:space="preserve">Insulation work, Hot work line modification, water Flushing part of commissioning activity. </t>
  </si>
  <si>
    <t>Oil Blending</t>
  </si>
  <si>
    <t>8:40 AM</t>
  </si>
  <si>
    <t>5056</t>
  </si>
  <si>
    <t xml:space="preserve">Commissioning Activity </t>
  </si>
  <si>
    <t xml:space="preserve">Oil Blending </t>
  </si>
  <si>
    <t>9:35 AM</t>
  </si>
  <si>
    <t>5111</t>
  </si>
  <si>
    <t>Brecking dismantle brick wall, scaffolding erection, material shifting, house keeping and chopping for beam</t>
  </si>
  <si>
    <t>09:45</t>
  </si>
  <si>
    <t>5443</t>
  </si>
  <si>
    <t>Pipe cutting, welding, finishing, material shifting, housekeeping work</t>
  </si>
  <si>
    <t xml:space="preserve">Refrigeration terrace </t>
  </si>
  <si>
    <t>5444</t>
  </si>
  <si>
    <t xml:space="preserve">Pipe cutting, welding, finishing work, equipment dimentling work, </t>
  </si>
  <si>
    <t>Refrigeration room</t>
  </si>
  <si>
    <t>5474</t>
  </si>
  <si>
    <t xml:space="preserve">Rack Dismantling Work </t>
  </si>
  <si>
    <t xml:space="preserve">Engg. Store </t>
  </si>
  <si>
    <t>5442</t>
  </si>
  <si>
    <t>Pipeline structure fabrication and pipe line installation on pipe rack, pipe shifting and Housekeeping work.</t>
  </si>
  <si>
    <t>5475</t>
  </si>
  <si>
    <t xml:space="preserve">Manual material shifting, canteen pathway plaster and neat coating, hacking , housekeeping </t>
  </si>
  <si>
    <t xml:space="preserve">Labours Canteen </t>
  </si>
  <si>
    <t>9:30am</t>
  </si>
  <si>
    <t>809</t>
  </si>
  <si>
    <t xml:space="preserve">Tank shifting and pipe erection </t>
  </si>
  <si>
    <t xml:space="preserve">Cooling tower </t>
  </si>
  <si>
    <t>Lifting Work</t>
  </si>
  <si>
    <t>5476</t>
  </si>
  <si>
    <t xml:space="preserve">Gap closing SS sheet cutting and fixing, Angle fixing Work </t>
  </si>
  <si>
    <t xml:space="preserve">Oil Balanding </t>
  </si>
  <si>
    <t>5025</t>
  </si>
  <si>
    <t xml:space="preserve">Pipe line lifting and fixing with mobile crane and boom lift. Tank shifting, pipe line fabrication welding cutting Grinding </t>
  </si>
  <si>
    <t>09:30 am</t>
  </si>
  <si>
    <t>5024</t>
  </si>
  <si>
    <t xml:space="preserve">Tank platform fabrication, grinding, cutting, welding, scaffold erection &amp; dismantle, material shifting &amp; housekeeping </t>
  </si>
  <si>
    <t xml:space="preserve">Evaporator terrace </t>
  </si>
  <si>
    <t>5026</t>
  </si>
  <si>
    <t xml:space="preserve">Tank lifting &amp; shifting </t>
  </si>
  <si>
    <t>ETP</t>
  </si>
  <si>
    <t xml:space="preserve">9:5 am </t>
  </si>
  <si>
    <t>5174</t>
  </si>
  <si>
    <t xml:space="preserve">Block work, floor groove cutting. Compaction Chiller R/f work, backfilling D-shuttering, shuttering work hard barricade and housekeeping work </t>
  </si>
  <si>
    <t xml:space="preserve">New Chiller Building </t>
  </si>
  <si>
    <t xml:space="preserve">Use of PPE's mandatory &amp; maintain proper housekeeping before and after work </t>
  </si>
  <si>
    <t>9:10am</t>
  </si>
  <si>
    <t>5175</t>
  </si>
  <si>
    <t xml:space="preserve">Concreting of P.C.C and cleaning </t>
  </si>
  <si>
    <t xml:space="preserve">Use of PPE's mandatory maintain proper housekeeping before and after work. </t>
  </si>
  <si>
    <t xml:space="preserve">7:00 </t>
  </si>
  <si>
    <t>5440</t>
  </si>
  <si>
    <t xml:space="preserve">Material shifting by farana (pipe shifting) and Housekeeping </t>
  </si>
  <si>
    <t xml:space="preserve">Admin park to new chiller </t>
  </si>
  <si>
    <t>5441</t>
  </si>
  <si>
    <t xml:space="preserve">Commissioning activity, general activities and Housekeeping </t>
  </si>
  <si>
    <t>Temp. Chiller</t>
  </si>
  <si>
    <t xml:space="preserve">9:40 </t>
  </si>
  <si>
    <t>Pipe cutting welding and finishing work. Material shifting and Housekeeping.</t>
  </si>
  <si>
    <t>Refrigeration terrace and shaft room</t>
  </si>
  <si>
    <t xml:space="preserve">09:45 </t>
  </si>
  <si>
    <t>Equipment shifting, dismantling work , material shifting and Housekeeping.</t>
  </si>
  <si>
    <t>Refrigeration room and nitrogen room</t>
  </si>
  <si>
    <t xml:space="preserve">10:30 </t>
  </si>
  <si>
    <t>5445</t>
  </si>
  <si>
    <t>Pipe cutting welding and finishing work. Material shifting and Housekeeping work.</t>
  </si>
  <si>
    <t xml:space="preserve">Nitrogen area </t>
  </si>
  <si>
    <t>9:00</t>
  </si>
  <si>
    <t>3554</t>
  </si>
  <si>
    <t xml:space="preserve">Platform erection &amp; fiting scaffolding erection and Dismantle </t>
  </si>
  <si>
    <t>09:00</t>
  </si>
  <si>
    <t>5112</t>
  </si>
  <si>
    <t>Scaffolding erection and chipping for beam</t>
  </si>
  <si>
    <t>7:30 Am</t>
  </si>
  <si>
    <t>5180</t>
  </si>
  <si>
    <t xml:space="preserve">Pipe rack erection, lifting and shifting, unloading using faranna and boom lift </t>
  </si>
  <si>
    <t xml:space="preserve">Near canteen areas, MWRS, New chiller areas </t>
  </si>
  <si>
    <t xml:space="preserve">Mandatory ppe's, proper safe access </t>
  </si>
  <si>
    <t>9:15am</t>
  </si>
  <si>
    <t>848</t>
  </si>
  <si>
    <t>Tank lifting and shifting &amp; other material at evaporator terrace</t>
  </si>
  <si>
    <t xml:space="preserve">9:00am </t>
  </si>
  <si>
    <t>5178</t>
  </si>
  <si>
    <t xml:space="preserve">Chair placement, PCC cleaning, RCC curing </t>
  </si>
  <si>
    <t xml:space="preserve">Chair placement, PCC cleaning &amp; RCC curing </t>
  </si>
  <si>
    <t>Use of PPEs is mandatory during all work activities. Maintain proper housekeeping at the work location. Ensure proper supervision throughout the work activity.</t>
  </si>
  <si>
    <t>09:15 am</t>
  </si>
  <si>
    <t>5030</t>
  </si>
  <si>
    <t>Tank, platform and pipe lifting &amp; shifting with mobile crane at evaporator terrace, welding, grinding, cutting, material shifting, pipe clamping manually with boom lift</t>
  </si>
  <si>
    <t>5029</t>
  </si>
  <si>
    <t xml:space="preserve">Tank platform fabrication &amp; fixing, railing painting, grinding, cutting, welding, material shifting, housekeeping , tank alignment </t>
  </si>
  <si>
    <t xml:space="preserve">9:05am </t>
  </si>
  <si>
    <t>5179</t>
  </si>
  <si>
    <t xml:space="preserve">Reinforcement work,pile Cap deshurtting, brick work,pile head chipping </t>
  </si>
  <si>
    <t>New chiller building area</t>
  </si>
  <si>
    <t xml:space="preserve">10:30 AM </t>
  </si>
  <si>
    <t>5113</t>
  </si>
  <si>
    <t xml:space="preserve">Dabrish material shifting and house keeping </t>
  </si>
  <si>
    <t>09:20 Am</t>
  </si>
  <si>
    <t>5449</t>
  </si>
  <si>
    <t xml:space="preserve">Scaffolding erection cooling tower assembly, material shifting and Housekeeping </t>
  </si>
  <si>
    <t>New chiller terrace</t>
  </si>
  <si>
    <t>7:00</t>
  </si>
  <si>
    <t>5446</t>
  </si>
  <si>
    <t xml:space="preserve">Pipeline support fabrication, pipeline shifting and pipe installation on the pipe rack and housekeeping </t>
  </si>
  <si>
    <t>New chiller building</t>
  </si>
  <si>
    <t>9:5</t>
  </si>
  <si>
    <t>3555</t>
  </si>
  <si>
    <t xml:space="preserve">Plateform welding plateform shifting and scaffolding erection and Dismantle </t>
  </si>
  <si>
    <t>3556</t>
  </si>
  <si>
    <t xml:space="preserve">Platform material shifting </t>
  </si>
  <si>
    <t>Near Admin</t>
  </si>
  <si>
    <t>11:20</t>
  </si>
  <si>
    <t>3557</t>
  </si>
  <si>
    <t xml:space="preserve">Near Filter </t>
  </si>
  <si>
    <t>10:10</t>
  </si>
  <si>
    <t>5450</t>
  </si>
  <si>
    <t>Pipe cutting welding work , compressed air line connecting materal shifting</t>
  </si>
  <si>
    <t>Shaft room and refrigeration terrace</t>
  </si>
  <si>
    <t>9:35</t>
  </si>
  <si>
    <t>5448</t>
  </si>
  <si>
    <t xml:space="preserve">Commissioning activity, general activity and housekeeping </t>
  </si>
  <si>
    <t xml:space="preserve">Temporary chiller </t>
  </si>
  <si>
    <t>10:00</t>
  </si>
  <si>
    <t>5447</t>
  </si>
  <si>
    <t xml:space="preserve">Dismantling work in N 2 scaffolding assembly, drilling work in cealing beam for anchoring plate material shifting and housekeeping </t>
  </si>
  <si>
    <t>11:30</t>
  </si>
  <si>
    <t>5302</t>
  </si>
  <si>
    <t>Pipe shifting Cutting grinding work &amp; housekeeping work material shift</t>
  </si>
  <si>
    <t>5479</t>
  </si>
  <si>
    <t xml:space="preserve">Manual material shifting, pathway plaster, neat coating, housekeeping </t>
  </si>
  <si>
    <t>5480</t>
  </si>
  <si>
    <t xml:space="preserve">Engineering store </t>
  </si>
  <si>
    <t>5068</t>
  </si>
  <si>
    <t>Cladding installations, Welding, Grinding, Material Handling.</t>
  </si>
  <si>
    <t>9:45</t>
  </si>
  <si>
    <t>5069</t>
  </si>
  <si>
    <t>Commissioning Activity, OQ Activity, Water Flushing, Cip Circulation.</t>
  </si>
  <si>
    <t>Oil Blending To Reception</t>
  </si>
  <si>
    <t>9:10</t>
  </si>
  <si>
    <t>5485</t>
  </si>
  <si>
    <t>5486</t>
  </si>
  <si>
    <t xml:space="preserve">Manual material shifting, plaster and repair work , housekeeping </t>
  </si>
  <si>
    <t>5488</t>
  </si>
  <si>
    <t xml:space="preserve">Housekeeping &amp; cleaning work , Painting work </t>
  </si>
  <si>
    <t xml:space="preserve">TCA </t>
  </si>
  <si>
    <t>5033</t>
  </si>
  <si>
    <t xml:space="preserve">Fabrication of tank , tank platform &amp; SS pipe alignment, cutting, welding, grinding, material shifting, housekeeping </t>
  </si>
  <si>
    <t>10:15  am</t>
  </si>
  <si>
    <t>5035</t>
  </si>
  <si>
    <t xml:space="preserve">Super height activity pipe line cutting, welding, material shifting, cable tray welding &amp; dressing </t>
  </si>
  <si>
    <t>13:00</t>
  </si>
  <si>
    <t>5487</t>
  </si>
  <si>
    <t>Milk tank cleaning and wash</t>
  </si>
  <si>
    <t xml:space="preserve">Old building </t>
  </si>
  <si>
    <t>02:50</t>
  </si>
  <si>
    <t>5489</t>
  </si>
  <si>
    <t xml:space="preserve">Glass film cutting and Remove with Paper cutter </t>
  </si>
  <si>
    <t xml:space="preserve">Project Office </t>
  </si>
  <si>
    <t>3558</t>
  </si>
  <si>
    <t xml:space="preserve">Plateform welding Cutting Erection and Shifting &amp; Scaffolding Erection and Dismantle </t>
  </si>
  <si>
    <t>4:00 Pm</t>
  </si>
  <si>
    <t>5303</t>
  </si>
  <si>
    <t xml:space="preserve">Material lifting and shifting through Farana from admin park to chiller area </t>
  </si>
  <si>
    <t>18:30</t>
  </si>
  <si>
    <t>5484</t>
  </si>
  <si>
    <t xml:space="preserve">Manual material shifting, brick work and plaster work, scaffolding erection and modification work, metro sheet remove </t>
  </si>
  <si>
    <t xml:space="preserve">10:00 </t>
  </si>
  <si>
    <t>5304</t>
  </si>
  <si>
    <t xml:space="preserve">Pipe cutting welding grinding work and housekeeping </t>
  </si>
  <si>
    <t xml:space="preserve">09:20 </t>
  </si>
  <si>
    <t>5305</t>
  </si>
  <si>
    <t xml:space="preserve">Pipeline structure fabrication and installation, pipeline shifting on the rack material shifting with Farana and housekeeping </t>
  </si>
  <si>
    <t xml:space="preserve">New chiller </t>
  </si>
  <si>
    <t>5306</t>
  </si>
  <si>
    <t xml:space="preserve">Cooling tower assembly work scaffolding erection and dismantling work and housekeeping </t>
  </si>
  <si>
    <t>11:40</t>
  </si>
  <si>
    <t>5307</t>
  </si>
  <si>
    <t xml:space="preserve">Scaffolding erection dismantling drilling and shifting work and housekeeping </t>
  </si>
  <si>
    <t>Refrigeration terrace</t>
  </si>
  <si>
    <t>10:14</t>
  </si>
  <si>
    <t>5308</t>
  </si>
  <si>
    <t xml:space="preserve">Commissioning work material shifting and Housekeeping </t>
  </si>
  <si>
    <t>5183</t>
  </si>
  <si>
    <t>Concreting top level ( road side)</t>
  </si>
  <si>
    <t xml:space="preserve">Centeen area </t>
  </si>
  <si>
    <t>Ensure mandatory use of PPEs, maintain proper housekeeping, and provide adequate supervision during the work activity.</t>
  </si>
  <si>
    <t xml:space="preserve">9:29 am </t>
  </si>
  <si>
    <t>5182</t>
  </si>
  <si>
    <t xml:space="preserve">Brick work, concreting work, shuttering work, pile chipping </t>
  </si>
  <si>
    <t xml:space="preserve">Chiller building area </t>
  </si>
  <si>
    <t>5184</t>
  </si>
  <si>
    <t xml:space="preserve">Pipe rake erection, lifting shifting and unloading using faranna </t>
  </si>
  <si>
    <t xml:space="preserve">Near canteen areas, MWRS </t>
  </si>
  <si>
    <t xml:space="preserve">Maintain housekeeping before and after work, proper hard berrication at lifting areas </t>
  </si>
  <si>
    <t>9:00am</t>
  </si>
  <si>
    <t>5185</t>
  </si>
  <si>
    <t xml:space="preserve">R/M work. Shuttering hard barricade concreting work combine footing beam dressing work </t>
  </si>
  <si>
    <t xml:space="preserve">Air compressor &amp; new chiller building area </t>
  </si>
  <si>
    <t>Use of PPE's mandatory maintain proper housekeeping before and after work.</t>
  </si>
  <si>
    <t>9:30Am</t>
  </si>
  <si>
    <t>5071</t>
  </si>
  <si>
    <t>Water Flushing, Cip Circulation, OQ Activity.</t>
  </si>
  <si>
    <t>Oil Blending - Reception.</t>
  </si>
  <si>
    <t>5070</t>
  </si>
  <si>
    <t>Insulation cladding, Water Flushing, Welding, Grinding.</t>
  </si>
  <si>
    <t xml:space="preserve">Oil Blending - Oil Reception </t>
  </si>
  <si>
    <t>5037</t>
  </si>
  <si>
    <t xml:space="preserve">Ms pipe rack support fabrication, cutting Welding, material shifting, Scaffold erection and dismantling </t>
  </si>
  <si>
    <t>9:25am</t>
  </si>
  <si>
    <t>5036</t>
  </si>
  <si>
    <t xml:space="preserve">Water Tank pipe line fabrication, plateform fabrication and fixing welding cutting Grinding, material shifting housekeeping </t>
  </si>
  <si>
    <t>7:00 am</t>
  </si>
  <si>
    <t>5310</t>
  </si>
  <si>
    <t xml:space="preserve">Pipe line lifting and shifting work </t>
  </si>
  <si>
    <t xml:space="preserve">Admin to new chiller </t>
  </si>
  <si>
    <t>5311</t>
  </si>
  <si>
    <t xml:space="preserve">Pipe line lifting and shifting on the pipe rack </t>
  </si>
  <si>
    <t>Mwrs canteen area</t>
  </si>
  <si>
    <t>5312</t>
  </si>
  <si>
    <t xml:space="preserve">Pipe line structure fabrication installation work pipe line lifting and shifting on the pipe rack and housekeeping work </t>
  </si>
  <si>
    <t>10:20</t>
  </si>
  <si>
    <t>5313</t>
  </si>
  <si>
    <t xml:space="preserve">Pipe cutting welding grinding work and housekeeping work </t>
  </si>
  <si>
    <t>3:00</t>
  </si>
  <si>
    <t>5493</t>
  </si>
  <si>
    <t xml:space="preserve">Manual material handling, brick work and plaster, curring , scaffolding erection and modification, housekeeping </t>
  </si>
  <si>
    <t>3559</t>
  </si>
  <si>
    <t xml:space="preserve">Platform material shifting &amp; erection plateform cutting welding scaffolding erection and Dismantle </t>
  </si>
  <si>
    <t>7:05 Am</t>
  </si>
  <si>
    <t>5187</t>
  </si>
  <si>
    <t xml:space="preserve">Near canteen areas </t>
  </si>
  <si>
    <t xml:space="preserve">Proper hard berrication at lifting areas </t>
  </si>
  <si>
    <t>5072</t>
  </si>
  <si>
    <t xml:space="preserve">Line modification and welding grinding and Water Flushing </t>
  </si>
  <si>
    <t>9:20Am</t>
  </si>
  <si>
    <t>5073</t>
  </si>
  <si>
    <t xml:space="preserve">OQ Activity, Water Circulation, Leakage attend </t>
  </si>
  <si>
    <t>10:40 Am</t>
  </si>
  <si>
    <t>5116</t>
  </si>
  <si>
    <t xml:space="preserve">Scaffolding erection &amp; dismantling, material shifting, house keeping </t>
  </si>
  <si>
    <t xml:space="preserve">11:00 Am </t>
  </si>
  <si>
    <t>5117</t>
  </si>
  <si>
    <t>Steel cutting only</t>
  </si>
  <si>
    <t>Hot work </t>
  </si>
  <si>
    <t>9:20 Am</t>
  </si>
  <si>
    <t>5188</t>
  </si>
  <si>
    <t xml:space="preserve">Curing work, block loading and unloading, steel binding </t>
  </si>
  <si>
    <t xml:space="preserve">Air compressor,New Chiller </t>
  </si>
  <si>
    <t xml:space="preserve">Please maintain housekeeping before and after work, proper safe access </t>
  </si>
  <si>
    <t>11:00</t>
  </si>
  <si>
    <t>5189</t>
  </si>
  <si>
    <t xml:space="preserve">Manual material handling, brick and plaster work, scaffolding erection and modification, housekeeping </t>
  </si>
  <si>
    <t>5496</t>
  </si>
  <si>
    <t>Wall chipping and repair work</t>
  </si>
  <si>
    <t>11:05</t>
  </si>
  <si>
    <t>5497</t>
  </si>
  <si>
    <t>1:00 pm</t>
  </si>
  <si>
    <t>5495</t>
  </si>
  <si>
    <t xml:space="preserve">MS structure installation for life line , scaffolding erection and dismantling </t>
  </si>
  <si>
    <t>1:00</t>
  </si>
  <si>
    <t>5492</t>
  </si>
  <si>
    <t>Electric pole Remove and manual excavation work , PCC Concrete work</t>
  </si>
  <si>
    <t xml:space="preserve">Main Gate </t>
  </si>
  <si>
    <t>5118</t>
  </si>
  <si>
    <t xml:space="preserve">Chipping for slab steel cutting scaffolding erection dismantle housekeeping </t>
  </si>
  <si>
    <t>5498</t>
  </si>
  <si>
    <t xml:space="preserve">Manual material handling, brick work and plaster, scaffolding erection and Dismantling, housekeeping </t>
  </si>
  <si>
    <t>5499</t>
  </si>
  <si>
    <t xml:space="preserve">9:40 Am </t>
  </si>
  <si>
    <t>5119</t>
  </si>
  <si>
    <t xml:space="preserve">House keeping, debrish material shifting </t>
  </si>
  <si>
    <t>10:00am</t>
  </si>
  <si>
    <t>5202</t>
  </si>
  <si>
    <t xml:space="preserve">Ss pipe line cutting, Welding, fabrication, material shifting, Scaffold erection and dismantling, house keeping </t>
  </si>
  <si>
    <t>9:57 am</t>
  </si>
  <si>
    <t>5201</t>
  </si>
  <si>
    <t>Ms support with boom lift fixing fabrication cutting welding branding</t>
  </si>
  <si>
    <t>Cooling tower</t>
  </si>
  <si>
    <t>5500</t>
  </si>
  <si>
    <t xml:space="preserve">Ss angle cobin and Core cutting </t>
  </si>
  <si>
    <t>5190</t>
  </si>
  <si>
    <t xml:space="preserve">Block work. Shuttering &amp; D-shuttering work material shifting. Housekeeping pile footing casting &amp; concreting work. </t>
  </si>
  <si>
    <t xml:space="preserve">New Chiller building area &amp; air compressor </t>
  </si>
  <si>
    <t xml:space="preserve">Use of material &amp; maintain proper housekeeping before and after work </t>
  </si>
  <si>
    <t>3560</t>
  </si>
  <si>
    <t xml:space="preserve">Platform cutting welding grinding &amp; Scaffolding Erection and Dismantle plateform plate fixing </t>
  </si>
  <si>
    <t>3561</t>
  </si>
  <si>
    <t xml:space="preserve">Material Unloading &amp; Shifting </t>
  </si>
  <si>
    <t xml:space="preserve">Near Filter Cleaning Area </t>
  </si>
  <si>
    <t>2:10</t>
  </si>
  <si>
    <t>5204</t>
  </si>
  <si>
    <t xml:space="preserve">GI pipe line for water line &amp; installation work , sintex tank fixing </t>
  </si>
  <si>
    <t>Boiler Roof</t>
  </si>
  <si>
    <t>3:00 Pm</t>
  </si>
  <si>
    <t>5121</t>
  </si>
  <si>
    <t xml:space="preserve">Survey, scanning of underground servicos &amp; utility </t>
  </si>
  <si>
    <t>Process of water collection pit</t>
  </si>
  <si>
    <t>5318</t>
  </si>
  <si>
    <t>Cooling tower eractting and material segregation and scaffolding erection</t>
  </si>
  <si>
    <t>10:05</t>
  </si>
  <si>
    <t>5355</t>
  </si>
  <si>
    <t xml:space="preserve">Pipeline double works cutting welding material shifting housekeeping </t>
  </si>
  <si>
    <t xml:space="preserve">Front of MWRS </t>
  </si>
  <si>
    <t>5356</t>
  </si>
  <si>
    <t xml:space="preserve">Platform cutting welding finishing material shifting </t>
  </si>
  <si>
    <t>Nitrogen area</t>
  </si>
  <si>
    <t>10:15</t>
  </si>
  <si>
    <t>5354</t>
  </si>
  <si>
    <t>Commisinng work for temporary chiller</t>
  </si>
  <si>
    <t>Temporary chiller</t>
  </si>
  <si>
    <t>6:0 pm</t>
  </si>
  <si>
    <t>5358</t>
  </si>
  <si>
    <t xml:space="preserve">Raw water pipeline cutting welding and material shifting housekeeping </t>
  </si>
  <si>
    <t>Refergation terrace</t>
  </si>
  <si>
    <t>5319</t>
  </si>
  <si>
    <t xml:space="preserve">Pipeline and structure fabrication  pipeline shifting and manual material handling </t>
  </si>
  <si>
    <t>08:45</t>
  </si>
  <si>
    <t>5122</t>
  </si>
  <si>
    <t xml:space="preserve">Slab beam and culmn chipping material shifting &amp; scaffolding erection dismantle housekeeping </t>
  </si>
  <si>
    <t>Authorizer name not show in list ( Vinoth )</t>
  </si>
  <si>
    <t>9:10vAm</t>
  </si>
  <si>
    <t>5192</t>
  </si>
  <si>
    <t xml:space="preserve">Pipe rake erection, lifting shifting unloading and alignment </t>
  </si>
  <si>
    <t xml:space="preserve">Near canteen, MWRS </t>
  </si>
  <si>
    <t>Hard berrication at lifting areas</t>
  </si>
  <si>
    <t>5191</t>
  </si>
  <si>
    <t>Nut bolt fixing pcc plinth beam shuttering &amp; D-shuttering reinforcement bending work.</t>
  </si>
  <si>
    <t xml:space="preserve">Air compressor &amp; chiller building </t>
  </si>
  <si>
    <t>Use of PPE's mandatory &amp; maintain proper housekeeping before and after work.</t>
  </si>
  <si>
    <t>22122</t>
  </si>
  <si>
    <t xml:space="preserve">Insulation Installation, Scaffolding Erection modification,Work at height, Material Handling </t>
  </si>
  <si>
    <t>Oil Blending and Existing pipe rack</t>
  </si>
  <si>
    <t>5253</t>
  </si>
  <si>
    <t xml:space="preserve">Manual material handling, brick and plaster work, scopffolding erection and modification work , housekeeping </t>
  </si>
  <si>
    <t>5254</t>
  </si>
  <si>
    <t>5040</t>
  </si>
  <si>
    <t xml:space="preserve">MS support fixing manually with boom lift and fabrication of pipe line cutting, welding, grinding, material shifting, housekeeping </t>
  </si>
  <si>
    <t xml:space="preserve">09:30 am </t>
  </si>
  <si>
    <t>5041</t>
  </si>
  <si>
    <t xml:space="preserve">SS pipe line fabrication, grinding, cutting, welding, material shifting, housekeeping </t>
  </si>
  <si>
    <t>5255</t>
  </si>
  <si>
    <t xml:space="preserve">Manual pit cleaning, material handling, PCC and Chamber work </t>
  </si>
  <si>
    <t xml:space="preserve">MWRS back Side </t>
  </si>
  <si>
    <t>5321</t>
  </si>
  <si>
    <t xml:space="preserve">Cooling tower assembly work scaffolding erection and dismantling and housekeeping work </t>
  </si>
  <si>
    <t xml:space="preserve">New chiller terrace </t>
  </si>
  <si>
    <t>7:15</t>
  </si>
  <si>
    <t>5322</t>
  </si>
  <si>
    <t xml:space="preserve">Pipe welding and support installation pipe fabrication material handling housekeeping material shifting from admin </t>
  </si>
  <si>
    <t>12:30 Pm</t>
  </si>
  <si>
    <t>5123</t>
  </si>
  <si>
    <t xml:space="preserve">Terrace door repairing, material shifting, Housekeeping, Dabrish material remove for site </t>
  </si>
  <si>
    <t xml:space="preserve">12:30 pm </t>
  </si>
  <si>
    <t>5124</t>
  </si>
  <si>
    <t xml:space="preserve">Steel cutting </t>
  </si>
  <si>
    <t>3562</t>
  </si>
  <si>
    <t xml:space="preserve">Platform cutting welding grinding plateform erection &amp; Scaffolding Erection and Dismantle </t>
  </si>
  <si>
    <t>3:15</t>
  </si>
  <si>
    <t>5257</t>
  </si>
  <si>
    <t xml:space="preserve">MS Angle Cutting, wall chipping and Repair Work </t>
  </si>
  <si>
    <t>9:20 am</t>
  </si>
  <si>
    <t>5360</t>
  </si>
  <si>
    <t xml:space="preserve">Pipeline shifting work pipe cutting welding housekeeping </t>
  </si>
  <si>
    <t>Front of mwrs</t>
  </si>
  <si>
    <t>5359</t>
  </si>
  <si>
    <t xml:space="preserve">Raw water pipeline fabrication manual material shifting welding cutting </t>
  </si>
  <si>
    <t>Refegeration terrace</t>
  </si>
  <si>
    <t>5361</t>
  </si>
  <si>
    <t xml:space="preserve">Pipeline cutting welding housekeeping </t>
  </si>
  <si>
    <t xml:space="preserve">9:22 am </t>
  </si>
  <si>
    <t>5362</t>
  </si>
  <si>
    <t xml:space="preserve">Pipe shifting in rack cutting welding material shifting housekeeping </t>
  </si>
  <si>
    <t xml:space="preserve">MWRS outside </t>
  </si>
  <si>
    <t>5194</t>
  </si>
  <si>
    <t>Pipe rake erection, lifting shifting unloading using faranna, pipe rake alignment,</t>
  </si>
  <si>
    <t xml:space="preserve">Please proper Hard beriction at lifting areas, maintain housekeeping before and after work </t>
  </si>
  <si>
    <t>5365</t>
  </si>
  <si>
    <t xml:space="preserve">Raw water pipeline fabrication welding grinding cutting housekeeping </t>
  </si>
  <si>
    <t xml:space="preserve">Refegeration terrace </t>
  </si>
  <si>
    <t>09:16 Am</t>
  </si>
  <si>
    <t>5196</t>
  </si>
  <si>
    <t xml:space="preserve">Fire hydrant hose box replacing, sheet fixing, cooling stand erection and welding </t>
  </si>
  <si>
    <t xml:space="preserve">SS pipe line fabrication, grinding, cutting, welding material shifting, SS pipe line support fixing manually with boom lift </t>
  </si>
  <si>
    <t>5044</t>
  </si>
  <si>
    <t xml:space="preserve">SS pipe line fabrication of tank, grinding, cutting, welding material shifting </t>
  </si>
  <si>
    <t>09:15</t>
  </si>
  <si>
    <t>5043✅ 5040❎</t>
  </si>
  <si>
    <t xml:space="preserve">SS pipe line fabrication grinding, cutting, welding, material shifting, SS pipe line support fixing manually with boom lift </t>
  </si>
  <si>
    <t>5323</t>
  </si>
  <si>
    <t xml:space="preserve">Pipeline and support fabrication and installation cooling tower assembly material shifting and scaffolding erection </t>
  </si>
  <si>
    <t>11:45 AM</t>
  </si>
  <si>
    <t>5125</t>
  </si>
  <si>
    <t xml:space="preserve">Chipping for beam, breking glass window removed, terrace door repairing, material shifting, house keeping, dabrish material remove for site, scaffolding authorised </t>
  </si>
  <si>
    <t xml:space="preserve">Evaporator &amp; Evaporator terrace </t>
  </si>
  <si>
    <t>9:05</t>
  </si>
  <si>
    <t>3564</t>
  </si>
  <si>
    <t xml:space="preserve">Plateform welding and Grinding cutting plateform erection Scaffolding Erection and Dismantle </t>
  </si>
  <si>
    <t>8:40 Am</t>
  </si>
  <si>
    <t>5259</t>
  </si>
  <si>
    <t>PVC pipe laying work &amp; fabrication work</t>
  </si>
  <si>
    <t>Boiler roof area</t>
  </si>
  <si>
    <t>5324</t>
  </si>
  <si>
    <t xml:space="preserve">Cooling tower assembly and housekeeping </t>
  </si>
  <si>
    <t xml:space="preserve">New chiller building terrace </t>
  </si>
  <si>
    <t>4:00 pm</t>
  </si>
  <si>
    <t>5325</t>
  </si>
  <si>
    <t xml:space="preserve">Instrument tagging work </t>
  </si>
  <si>
    <t>Refegeration room</t>
  </si>
  <si>
    <t>11:45 Am</t>
  </si>
  <si>
    <t>5261</t>
  </si>
  <si>
    <t>Wall plaster and brick work and scaffolding erection work</t>
  </si>
  <si>
    <t>Evaporator (milk tank area)</t>
  </si>
  <si>
    <t>Na</t>
  </si>
  <si>
    <t>08:30</t>
  </si>
  <si>
    <t>5126</t>
  </si>
  <si>
    <t xml:space="preserve">Chipping for slab &amp; beam steel cutting scaffolding erection dismantle housekeeping material shifting </t>
  </si>
  <si>
    <t>8:10</t>
  </si>
  <si>
    <t>5081</t>
  </si>
  <si>
    <t xml:space="preserve">OQ Activity, Passivation, Insulation Installation, Scaffolding Erection modification, Work At height </t>
  </si>
  <si>
    <t>Oil Blending and Pipe rack</t>
  </si>
  <si>
    <t>3565</t>
  </si>
  <si>
    <t xml:space="preserve">Pipe shifting Manually </t>
  </si>
  <si>
    <t>9:00 Am</t>
  </si>
  <si>
    <t>5197</t>
  </si>
  <si>
    <t xml:space="preserve">Pipe rake alignment work, cooling tower stand welding work </t>
  </si>
  <si>
    <t xml:space="preserve">New chiller,MWRS,Near canteen areas </t>
  </si>
  <si>
    <t xml:space="preserve">Please maintain housekeeping before and after work </t>
  </si>
  <si>
    <t>5262</t>
  </si>
  <si>
    <t xml:space="preserve">Manual material handling, brick and plaster work, housekeeping,wall tile fixing </t>
  </si>
  <si>
    <t>5260</t>
  </si>
  <si>
    <t xml:space="preserve">Manual pit cleaning &amp; pipe fixing Drain pipe , material shifting </t>
  </si>
  <si>
    <t xml:space="preserve">Near project Office </t>
  </si>
  <si>
    <t>9:30 AM</t>
  </si>
  <si>
    <t>5127</t>
  </si>
  <si>
    <t xml:space="preserve">House keeping, Material shifting, Dabrish material remove for site </t>
  </si>
  <si>
    <t>10:00 AM</t>
  </si>
  <si>
    <t>5128</t>
  </si>
  <si>
    <t xml:space="preserve">Chipping slab &amp; beam, Scaffolding dismantle, Material shifting </t>
  </si>
  <si>
    <t>9:10 am</t>
  </si>
  <si>
    <t>5368</t>
  </si>
  <si>
    <t xml:space="preserve">Pipe shifting welding grinding cutting </t>
  </si>
  <si>
    <t xml:space="preserve">MWRS </t>
  </si>
  <si>
    <t xml:space="preserve">9:05 </t>
  </si>
  <si>
    <t>5367</t>
  </si>
  <si>
    <t xml:space="preserve">Raw water pipeline fabrication welding buffing and housekeeping </t>
  </si>
  <si>
    <t xml:space="preserve">Pipe shifting Manually on pipe rack </t>
  </si>
  <si>
    <t>3567</t>
  </si>
  <si>
    <t xml:space="preserve">Near Admin </t>
  </si>
  <si>
    <t>5047</t>
  </si>
  <si>
    <t xml:space="preserve">Water Pipe line fabrication and installation, fixing support at Pipe rack amd welding with help of boom lift, material shifting, scaffold erection and dismantling </t>
  </si>
  <si>
    <t>Height work activities below 6m With boom lift.</t>
  </si>
  <si>
    <t>9:30 am</t>
  </si>
  <si>
    <t>5198</t>
  </si>
  <si>
    <t xml:space="preserve">Block work, concrete, shuttering, deshurtting, back filling, GI sheet fixing, scaffolding erection, </t>
  </si>
  <si>
    <t xml:space="preserve">11:10 </t>
  </si>
  <si>
    <t>5263</t>
  </si>
  <si>
    <t xml:space="preserve">Rack dismantling work and housekeeping </t>
  </si>
  <si>
    <t>922</t>
  </si>
  <si>
    <t xml:space="preserve">Plateform shifting and staircase shifting reaction </t>
  </si>
  <si>
    <t xml:space="preserve">Near Admin to Evaporate </t>
  </si>
  <si>
    <t>08:29</t>
  </si>
  <si>
    <t>5080</t>
  </si>
  <si>
    <t xml:space="preserve">Welding, grinding, cutting, work at height </t>
  </si>
  <si>
    <t xml:space="preserve">Oil Reception </t>
  </si>
  <si>
    <t>3566</t>
  </si>
  <si>
    <t xml:space="preserve">Plateform welding Cutting fiting plateform staircase erection </t>
  </si>
  <si>
    <t>5048</t>
  </si>
  <si>
    <t xml:space="preserve">Gi sheet removing with boom lift </t>
  </si>
  <si>
    <t>Oil reception area</t>
  </si>
  <si>
    <t>843</t>
  </si>
  <si>
    <t xml:space="preserve">Tank and material unloading </t>
  </si>
  <si>
    <t xml:space="preserve">Below 2 ton lifting permit </t>
  </si>
  <si>
    <t>5129</t>
  </si>
  <si>
    <t xml:space="preserve">Chipping for slab housekeeping material shifting scaffolding erection dismantle </t>
  </si>
  <si>
    <t>9:10Am</t>
  </si>
  <si>
    <t>5083</t>
  </si>
  <si>
    <t>OQ Activity, Hot Cip Circulation, Insulation Cladding installations.</t>
  </si>
  <si>
    <t xml:space="preserve">Oil Blending and piperack </t>
  </si>
  <si>
    <t>5082</t>
  </si>
  <si>
    <t>Welding grinding, Cutting, Hot work at height, cable Termination with rio</t>
  </si>
  <si>
    <t xml:space="preserve">Mr, Nikhil permit Authorised but him name is not available in the permit Authorizer drop down list so I will mention same name issuer and Authorizer </t>
  </si>
  <si>
    <t>5369</t>
  </si>
  <si>
    <t xml:space="preserve">Welding work and housekeeping </t>
  </si>
  <si>
    <t>Shaft room</t>
  </si>
  <si>
    <t>5370</t>
  </si>
  <si>
    <t xml:space="preserve">Pipe shifting and pipe welding </t>
  </si>
  <si>
    <t>5130</t>
  </si>
  <si>
    <t xml:space="preserve">De shuttering, housekeeping, material shifting,chepping slab and beem ,steel cutting, scaffolding dismental </t>
  </si>
  <si>
    <t>3568</t>
  </si>
  <si>
    <t xml:space="preserve">Platform cutting fiting welding work material shifting manually staircase reling fitting scaffolding erection </t>
  </si>
  <si>
    <t>9:25 am</t>
  </si>
  <si>
    <t>5206</t>
  </si>
  <si>
    <t>Panel connection from danone panel (electrical work)</t>
  </si>
  <si>
    <t>Worker restroom area</t>
  </si>
  <si>
    <t>LOTO </t>
  </si>
  <si>
    <t>Ensure job specific PPEs, maintain safe working distance, and provide adequate supervision during the work activity, ensure wether condition ( permit closed 10:30am)</t>
  </si>
  <si>
    <t>7:25</t>
  </si>
  <si>
    <t>5328</t>
  </si>
  <si>
    <t xml:space="preserve">Chiller pipe line fabrication and installation support fixing </t>
  </si>
  <si>
    <t>Nikhil</t>
  </si>
  <si>
    <t>5329</t>
  </si>
  <si>
    <t xml:space="preserve">Cooling tower assembly work material shifting and housekeeping </t>
  </si>
  <si>
    <t>14:30</t>
  </si>
  <si>
    <t>924</t>
  </si>
  <si>
    <t>MS Structure unloading by farana</t>
  </si>
  <si>
    <t>Vinoth</t>
  </si>
  <si>
    <t>3569</t>
  </si>
  <si>
    <t xml:space="preserve">Platform material shifting by farana near Admin &amp; material shifting by manually </t>
  </si>
  <si>
    <t>3:30</t>
  </si>
  <si>
    <t>5371</t>
  </si>
  <si>
    <t xml:space="preserve">Flow verification and insulation removing </t>
  </si>
  <si>
    <t>11:00Am</t>
  </si>
  <si>
    <t>5268</t>
  </si>
  <si>
    <t>CSE Tank cleaning work</t>
  </si>
  <si>
    <t>Evaporator roof area</t>
  </si>
  <si>
    <t>Confined space </t>
  </si>
  <si>
    <t>9 : 15 AM</t>
  </si>
  <si>
    <t>5266</t>
  </si>
  <si>
    <t>Chequer plate cutting and fixing work</t>
  </si>
  <si>
    <t>Boiler area</t>
  </si>
  <si>
    <t>9:15 AM</t>
  </si>
  <si>
    <t>5264</t>
  </si>
  <si>
    <t>Manually material shifting brick work and plaster tile cutting work</t>
  </si>
  <si>
    <t>Milk tank area</t>
  </si>
  <si>
    <t>5131</t>
  </si>
  <si>
    <t xml:space="preserve">Slab , beam chipping  steel cutting scaffolding erection dismantle housekeeping material shifting </t>
  </si>
  <si>
    <t>06:00 am</t>
  </si>
  <si>
    <t>5207</t>
  </si>
  <si>
    <t xml:space="preserve">SS pipe line fabrication grinding, cutting, welding, material shifting, housekeeping </t>
  </si>
  <si>
    <t>03:10 pm</t>
  </si>
  <si>
    <t>5049</t>
  </si>
  <si>
    <t xml:space="preserve">SS pipe line fabrication grinding, cutting, welding, material shifting housekeeping </t>
  </si>
  <si>
    <t>7:25 Am</t>
  </si>
  <si>
    <t>5209</t>
  </si>
  <si>
    <t xml:space="preserve">Pipe rake erection, lifting shifting and unloading using faranna, pipe rake alignment </t>
  </si>
  <si>
    <t xml:space="preserve">New chiller, MWRS, Near canteen </t>
  </si>
  <si>
    <t xml:space="preserve">Please proper Hard barricading at lifting areas, maintain housekeeping before and after work </t>
  </si>
  <si>
    <t>5372</t>
  </si>
  <si>
    <t xml:space="preserve">Pipe buffing welding </t>
  </si>
  <si>
    <t>2:25</t>
  </si>
  <si>
    <t>5373</t>
  </si>
  <si>
    <t xml:space="preserve">Pipeline welding pipe shifting </t>
  </si>
  <si>
    <t xml:space="preserve">Pipeline shifting and pipeline welding grinding </t>
  </si>
  <si>
    <t xml:space="preserve">9:00 </t>
  </si>
  <si>
    <t>5208</t>
  </si>
  <si>
    <t>100 mm and 50mm pipe line fabrication cutting Welding, cable tray fabrication and installation with help of boom lift with boom</t>
  </si>
  <si>
    <t xml:space="preserve">This permit is taken for super height activity </t>
  </si>
  <si>
    <t>5132</t>
  </si>
  <si>
    <t xml:space="preserve">Marking for tow pit , materiyal shifting , House keeping </t>
  </si>
  <si>
    <t xml:space="preserve">ETP and Evaporator </t>
  </si>
  <si>
    <t>5210</t>
  </si>
  <si>
    <t xml:space="preserve">Water pipe line fabrication and installation welding cutting Grinding, with help of boom lift </t>
  </si>
  <si>
    <t xml:space="preserve">Height Work will perform below&lt;10m on this permit </t>
  </si>
  <si>
    <t>9:44am</t>
  </si>
  <si>
    <t>23003</t>
  </si>
  <si>
    <t xml:space="preserve">Block work chipping work concreting work shuttering ,d- shuttering work housekeeping work pcc work.general work hot work </t>
  </si>
  <si>
    <t xml:space="preserve">Air compressor &amp; chiller building area </t>
  </si>
  <si>
    <t xml:space="preserve">Maintain proper housekeeping before and after work </t>
  </si>
  <si>
    <t>9:50 Am</t>
  </si>
  <si>
    <t>5133</t>
  </si>
  <si>
    <t xml:space="preserve">House keeping, scaffolding dismantle, material shifting </t>
  </si>
  <si>
    <t>3570</t>
  </si>
  <si>
    <t xml:space="preserve">Platform material shifting by farana near Admin to Evaporate </t>
  </si>
  <si>
    <t xml:space="preserve">Admin </t>
  </si>
  <si>
    <t>3571</t>
  </si>
  <si>
    <t xml:space="preserve">MS frem fabrication Palet fixing Scaffolding Erection and Dismantle plateform welding Cutting </t>
  </si>
  <si>
    <t>925</t>
  </si>
  <si>
    <t xml:space="preserve">Platform material shifting by farana </t>
  </si>
  <si>
    <t>7:20</t>
  </si>
  <si>
    <t>5331</t>
  </si>
  <si>
    <t xml:space="preserve">Pope line pipe support fabrication and installation work material shifting and housekeeping work scaffolding erection and dismantling </t>
  </si>
  <si>
    <t>5332</t>
  </si>
  <si>
    <t xml:space="preserve">Cooling tower assembly work and material shifting and housekeeping work </t>
  </si>
  <si>
    <t>3:48</t>
  </si>
  <si>
    <t>5333</t>
  </si>
  <si>
    <t xml:space="preserve">Cooling tower pipe support welding for Life line and housekeeping work </t>
  </si>
  <si>
    <t>Akshay</t>
  </si>
  <si>
    <t>5275</t>
  </si>
  <si>
    <t xml:space="preserve">Tank cleaning work housekeeping and material shifting work </t>
  </si>
  <si>
    <t xml:space="preserve">Evaporator roof </t>
  </si>
  <si>
    <t>9:15Am</t>
  </si>
  <si>
    <t>5272</t>
  </si>
  <si>
    <t>Plaster work brick work scaffolding erection dismantling and tiles work</t>
  </si>
  <si>
    <t xml:space="preserve">Cooling tower near by mil tank </t>
  </si>
  <si>
    <t>7:25Am</t>
  </si>
  <si>
    <t>5270</t>
  </si>
  <si>
    <t xml:space="preserve"> Water Child line tapping work and material shifting work</t>
  </si>
  <si>
    <t>Tca 23 meter</t>
  </si>
  <si>
    <t>9:05 Am</t>
  </si>
  <si>
    <t>5271</t>
  </si>
  <si>
    <t xml:space="preserve">Rack dismantling by manually </t>
  </si>
  <si>
    <t>Engineer store</t>
  </si>
  <si>
    <t>06:40 pm</t>
  </si>
  <si>
    <t>5211</t>
  </si>
  <si>
    <t xml:space="preserve">SS pipe line fabrication and SS pipe line fixing, welding, grinding, cutting, material shifting &amp; housekeeping </t>
  </si>
  <si>
    <t>5135</t>
  </si>
  <si>
    <t xml:space="preserve">Plaster working, scaffolding erection dismantle housekeeping material shifting </t>
  </si>
  <si>
    <t>5136</t>
  </si>
  <si>
    <t xml:space="preserve">Chipping for slab &amp; beam steel cutting debris material shifting &amp; housekeeping </t>
  </si>
  <si>
    <t>7:16</t>
  </si>
  <si>
    <t>5334</t>
  </si>
  <si>
    <t xml:space="preserve">Chiller pipe installation and fabrication material shifting </t>
  </si>
  <si>
    <t>5377</t>
  </si>
  <si>
    <t xml:space="preserve">Nitrogen equipment dismantling and shifting work </t>
  </si>
  <si>
    <t xml:space="preserve">Refegeration area </t>
  </si>
  <si>
    <t>5378</t>
  </si>
  <si>
    <t xml:space="preserve">Nitrogen equipment dismantling disconnecting pipelines </t>
  </si>
  <si>
    <t>5276</t>
  </si>
  <si>
    <t xml:space="preserve">Manual material shifting and plaster , tile fixing Work, housekeeping </t>
  </si>
  <si>
    <t>5277</t>
  </si>
  <si>
    <t>Demolition, debris shifting</t>
  </si>
  <si>
    <t>Refrigerator Area</t>
  </si>
  <si>
    <t>5279</t>
  </si>
  <si>
    <t xml:space="preserve">Manual Excavation, Soil Leveling, digging, PCC , debris Remove </t>
  </si>
  <si>
    <t>5278</t>
  </si>
  <si>
    <t>All gap closing, paint and putti</t>
  </si>
  <si>
    <t>5280</t>
  </si>
  <si>
    <t xml:space="preserve">Life line pole fixing lifeline fixing work </t>
  </si>
  <si>
    <t xml:space="preserve">Project office </t>
  </si>
  <si>
    <t>2:00 Pm</t>
  </si>
  <si>
    <t>5281</t>
  </si>
  <si>
    <t xml:space="preserve">Platform dismantling and fixing work </t>
  </si>
  <si>
    <t xml:space="preserve">Labour toilet </t>
  </si>
  <si>
    <t>5089</t>
  </si>
  <si>
    <t>Welding, Grinding, Cutting, scaffolding Erection Modification. housekeeping, Hot Work at height.</t>
  </si>
  <si>
    <t>5137</t>
  </si>
  <si>
    <t xml:space="preserve">Scaffolding Dismantle, material shifting, House keeping </t>
  </si>
  <si>
    <t>9:25Am</t>
  </si>
  <si>
    <t>5090</t>
  </si>
  <si>
    <t>OQ Activity, Passivation, Cip circulation, Insulation activity, Scaffolding Erection modification dismantling work.</t>
  </si>
  <si>
    <t>5286</t>
  </si>
  <si>
    <t xml:space="preserve">Pipe reaction, dismantle and bolt, hard barricades </t>
  </si>
  <si>
    <t>5212</t>
  </si>
  <si>
    <t xml:space="preserve">100 mm &amp; 50 mm pipe cutting, welding manually with boom lift and cable tray modification &amp; cutting and welding manually with boom lift </t>
  </si>
  <si>
    <t>5213</t>
  </si>
  <si>
    <t xml:space="preserve">SS pipe line fabrication, grinding, cutting, welding material shifting &amp; housekeeping </t>
  </si>
  <si>
    <t xml:space="preserve">Use boom lift </t>
  </si>
  <si>
    <t>5214</t>
  </si>
  <si>
    <t xml:space="preserve">SS pipe line fabrication of tank, grinding, cutting, welding and support fixing with anchor fastener, material shifting housekeeping, drilling </t>
  </si>
  <si>
    <t>5300</t>
  </si>
  <si>
    <t xml:space="preserve">Brick work,  height work on roof slap ,  lifter beem casting, Rainforcement, Shuttering, pcc, excavation </t>
  </si>
  <si>
    <t xml:space="preserve">9:30 am </t>
  </si>
  <si>
    <t>754</t>
  </si>
  <si>
    <t xml:space="preserve">Black shifting on slab by farana </t>
  </si>
  <si>
    <t xml:space="preserve">10:25 Am </t>
  </si>
  <si>
    <t>10:40</t>
  </si>
  <si>
    <t>5336</t>
  </si>
  <si>
    <t xml:space="preserve">Pipe fabrication and installation on piperack and pipe shifting with help of farana </t>
  </si>
  <si>
    <t>MWRS pipe rack</t>
  </si>
  <si>
    <t>10:35</t>
  </si>
  <si>
    <t>5380</t>
  </si>
  <si>
    <t>Cooling tower assembly work, material shifting and housekeeping.</t>
  </si>
  <si>
    <t>5379</t>
  </si>
  <si>
    <t xml:space="preserve">Pipe line and pipe support fabrication and installation work and material shifting and housekeeping </t>
  </si>
  <si>
    <t>11:29 Am</t>
  </si>
  <si>
    <t>11:35</t>
  </si>
  <si>
    <t>5283</t>
  </si>
  <si>
    <t>Brick wall plaster work tile cutting scaffolding work</t>
  </si>
  <si>
    <t>Milk tank</t>
  </si>
  <si>
    <t>10 :15</t>
  </si>
  <si>
    <t>5288</t>
  </si>
  <si>
    <t xml:space="preserve">Rack dismantling work by manually </t>
  </si>
  <si>
    <t xml:space="preserve">Engineer store </t>
  </si>
  <si>
    <t>5287</t>
  </si>
  <si>
    <t>Platform cutting and manually assembly work</t>
  </si>
  <si>
    <t>4:30 PM</t>
  </si>
  <si>
    <t>4:35 PM</t>
  </si>
  <si>
    <t>5139</t>
  </si>
  <si>
    <t xml:space="preserve">Terrace brick coba dismantle, dabris material remove, material shifting </t>
  </si>
  <si>
    <t>12:30 am</t>
  </si>
  <si>
    <t>724</t>
  </si>
  <si>
    <t xml:space="preserve">SS pipe line welding &amp; grinding inside tank </t>
  </si>
  <si>
    <t>927</t>
  </si>
  <si>
    <t xml:space="preserve">Platform shifting erection </t>
  </si>
  <si>
    <t>10:55</t>
  </si>
  <si>
    <t>3573</t>
  </si>
  <si>
    <t xml:space="preserve">Road excavation for cable laying office container supply </t>
  </si>
  <si>
    <t>Excavation work</t>
  </si>
  <si>
    <t>3572</t>
  </si>
  <si>
    <t xml:space="preserve">Platform plate fixing Scaffolding Erection and Dismantle frame fabrication platform erection shifting </t>
  </si>
  <si>
    <t xml:space="preserve">Cooling tower assembly material shifting </t>
  </si>
  <si>
    <t xml:space="preserve">New chiller tarrace </t>
  </si>
  <si>
    <t xml:space="preserve">Pipeline fabrication and installation </t>
  </si>
  <si>
    <t xml:space="preserve">Safety person signature required </t>
  </si>
  <si>
    <t xml:space="preserve">Pipeline fabrication and support fabrication </t>
  </si>
  <si>
    <t>5140</t>
  </si>
  <si>
    <t xml:space="preserve">Slab beam chipping steel cutting scaffolding erection dismantle housekeeping material shifting </t>
  </si>
  <si>
    <t>3574</t>
  </si>
  <si>
    <t xml:space="preserve">Platform shifting erection plateform cutting fiting welding plateform anchoring ms structure fabrication </t>
  </si>
  <si>
    <t>928</t>
  </si>
  <si>
    <t>5093</t>
  </si>
  <si>
    <t xml:space="preserve">Terrace brick coba dismantle, Dabris material remove, Material shifting, Tree cutting For the work of pit  </t>
  </si>
  <si>
    <t xml:space="preserve">Evaporator terrace, ETP </t>
  </si>
  <si>
    <t>10:18</t>
  </si>
  <si>
    <t>5216</t>
  </si>
  <si>
    <t xml:space="preserve">Cable dressing manually with boom lift, plaster work </t>
  </si>
  <si>
    <t>5217</t>
  </si>
  <si>
    <t xml:space="preserve">Water pipe line welding, cutting Grinding and fabrication at ground </t>
  </si>
  <si>
    <t xml:space="preserve">This permit is taken for below&lt;10m height activity </t>
  </si>
  <si>
    <t>5218</t>
  </si>
  <si>
    <t xml:space="preserve">S.s pipe line fabrication and welding inside tank, material shifting manual and support fixing </t>
  </si>
  <si>
    <t xml:space="preserve">For confined space activity permit will be taken. </t>
  </si>
  <si>
    <t>10:35Am</t>
  </si>
  <si>
    <t>22125</t>
  </si>
  <si>
    <t>Welding grinding cutting of the 30KL Tank, Material Handling shifting and Housekeeping.</t>
  </si>
  <si>
    <t>22226</t>
  </si>
  <si>
    <t xml:space="preserve">Insulation cladding fixing and OQ activity, Work At Height </t>
  </si>
  <si>
    <t xml:space="preserve">Oil Blending and Piperack </t>
  </si>
  <si>
    <t>7:05</t>
  </si>
  <si>
    <t>5338</t>
  </si>
  <si>
    <t xml:space="preserve">Pipe line pipe support fabrication installation work material shifting housekeeping work scaffolding erection </t>
  </si>
  <si>
    <t>8:50</t>
  </si>
  <si>
    <t>8:55</t>
  </si>
  <si>
    <t>5339</t>
  </si>
  <si>
    <t xml:space="preserve">Cooling tower assembly work material shifting housekeeping work </t>
  </si>
  <si>
    <t>10:40am</t>
  </si>
  <si>
    <t xml:space="preserve">11:00 am </t>
  </si>
  <si>
    <t>5292</t>
  </si>
  <si>
    <t>Tank cleaning Work, housekeeper work</t>
  </si>
  <si>
    <t xml:space="preserve">Exaporator Terrace </t>
  </si>
  <si>
    <t>5290</t>
  </si>
  <si>
    <t xml:space="preserve">Rack dismantled work, housekeeping work </t>
  </si>
  <si>
    <t>Engeenering Store</t>
  </si>
  <si>
    <t xml:space="preserve">9:25 am </t>
  </si>
  <si>
    <t>5289</t>
  </si>
  <si>
    <t xml:space="preserve">Scaffold modification, plaster work , tile fixing , housekeeping work </t>
  </si>
  <si>
    <t>5141</t>
  </si>
  <si>
    <t xml:space="preserve">Pipe reaction and bolt fixing, hard barrication </t>
  </si>
  <si>
    <t xml:space="preserve">Canteen area and New chiller building </t>
  </si>
  <si>
    <t>5099</t>
  </si>
  <si>
    <t xml:space="preserve"> Barrication, shuttering work, compection, railing work, concrete work ,pcc, brick work, </t>
  </si>
  <si>
    <t>14:40 pm</t>
  </si>
  <si>
    <t>900</t>
  </si>
  <si>
    <t xml:space="preserve">Material lifting &amp; shifting </t>
  </si>
  <si>
    <t>09:05</t>
  </si>
  <si>
    <t>09:10</t>
  </si>
  <si>
    <t>5381</t>
  </si>
  <si>
    <t>Pipeline, pipe support fabrication work, cutting welding finishing material shifting and housekeeping, puf support fixing</t>
  </si>
  <si>
    <t xml:space="preserve">MWRS piperack </t>
  </si>
  <si>
    <t>5383</t>
  </si>
  <si>
    <t>Pipeline fabrication and welding work and housekeeping work.</t>
  </si>
  <si>
    <t>4:20 PM</t>
  </si>
  <si>
    <t>4:26 PM</t>
  </si>
  <si>
    <t>5219</t>
  </si>
  <si>
    <t xml:space="preserve">Tree cutting, scaffolding erection, material shifting, provide to hard barricade, debris Material removed for site </t>
  </si>
  <si>
    <t xml:space="preserve">10:00 AM </t>
  </si>
  <si>
    <t>756</t>
  </si>
  <si>
    <t xml:space="preserve">Cable drum shift and boiler shifting </t>
  </si>
  <si>
    <t>New compressor building</t>
  </si>
  <si>
    <t>755</t>
  </si>
  <si>
    <t xml:space="preserve">Block shift on slab, chiller building </t>
  </si>
  <si>
    <t>09:10 am</t>
  </si>
  <si>
    <t>5220</t>
  </si>
  <si>
    <t xml:space="preserve">SS pipe line fabrication of tank, grinding, cutting, welding, material shifting, housekeeping and support fixing </t>
  </si>
  <si>
    <t>5221</t>
  </si>
  <si>
    <t xml:space="preserve">SS pipe line fabrication &amp; pipe line allignment &amp; cable dressing with boom lift, SS pipe line fabrication, grinding cutting, welding, material shifting, housekeeping in ground floor </t>
  </si>
  <si>
    <t xml:space="preserve">09:15 am </t>
  </si>
  <si>
    <t>5222</t>
  </si>
  <si>
    <t xml:space="preserve">MS frame fabrication, grinding, cutting, welding, material shifting, housekeeping </t>
  </si>
  <si>
    <t>10:25</t>
  </si>
  <si>
    <t>3600</t>
  </si>
  <si>
    <t xml:space="preserve">Tree cutting scaffolding erection dismantle housekeeping material shifting tanch pit  excavation </t>
  </si>
  <si>
    <t>9:16</t>
  </si>
  <si>
    <t>22127</t>
  </si>
  <si>
    <t xml:space="preserve">Insulation cladding, Welding Grinding Cutting, OQ Activity </t>
  </si>
  <si>
    <t>Oil Blending and MWRS</t>
  </si>
  <si>
    <t>22128</t>
  </si>
  <si>
    <t>Welding grinding cutting, insulation cladding and drilling work scaffolding Erection modification dismantling.</t>
  </si>
  <si>
    <t>Oil Reception -MWRS Coridor</t>
  </si>
  <si>
    <t>7:10 am</t>
  </si>
  <si>
    <t>7:25 am</t>
  </si>
  <si>
    <t>5386</t>
  </si>
  <si>
    <t>Pipeline fabrication work, cutting, welding and finishing, material shifting and housekeeping work.</t>
  </si>
  <si>
    <t xml:space="preserve">Mwrs pipe rek </t>
  </si>
  <si>
    <t>9:50 am</t>
  </si>
  <si>
    <t>9:55 am</t>
  </si>
  <si>
    <t>5295</t>
  </si>
  <si>
    <t>Gap closing, SS sheet cutting and fixing work</t>
  </si>
  <si>
    <t>Oil injection area</t>
  </si>
  <si>
    <t>5294</t>
  </si>
  <si>
    <t xml:space="preserve">Rack dismantling work, housekeeping work </t>
  </si>
  <si>
    <t>Engeenering store</t>
  </si>
  <si>
    <t>9:35 am</t>
  </si>
  <si>
    <t>5293</t>
  </si>
  <si>
    <t xml:space="preserve">Tile fixing, scaffold modification work, paint, putty, housekeeping work </t>
  </si>
  <si>
    <t>11:45am</t>
  </si>
  <si>
    <t>11:50am</t>
  </si>
  <si>
    <t>5296</t>
  </si>
  <si>
    <t>Stair step plaster work housekeeping work</t>
  </si>
  <si>
    <t>3651</t>
  </si>
  <si>
    <t xml:space="preserve">Block work, shuttering, steel bending, Hard barrication, concrete, competition, drilling , housekeeping, rainforcement </t>
  </si>
  <si>
    <t xml:space="preserve">Chiller building </t>
  </si>
  <si>
    <t>757</t>
  </si>
  <si>
    <t xml:space="preserve">Block shifting </t>
  </si>
  <si>
    <t>5340</t>
  </si>
  <si>
    <t xml:space="preserve">Pipeline fabrication and installation material shifting </t>
  </si>
  <si>
    <t>5341</t>
  </si>
  <si>
    <t xml:space="preserve">Cooling tower assembly </t>
  </si>
  <si>
    <t xml:space="preserve">Chiller terrace </t>
  </si>
  <si>
    <t>2:30</t>
  </si>
  <si>
    <t>3:16</t>
  </si>
  <si>
    <t>5387</t>
  </si>
  <si>
    <t xml:space="preserve">Cable dismantling sacafolding eraction </t>
  </si>
  <si>
    <t xml:space="preserve">Pipeline fabrication cutting welding </t>
  </si>
  <si>
    <t>08:15 am</t>
  </si>
  <si>
    <t>5225</t>
  </si>
  <si>
    <t xml:space="preserve">SS pipe line fabrication, grinding, cutting, welding, scaffold erection, material shifting, housekeeping </t>
  </si>
  <si>
    <t>08 : 20 Am</t>
  </si>
  <si>
    <t>08:20</t>
  </si>
  <si>
    <t>5227</t>
  </si>
  <si>
    <t xml:space="preserve">S.S pipe line fabrication of tank cutting, welding, material shifting by manually, house keeping, scaffold eraction </t>
  </si>
  <si>
    <t>Evoporator terrace</t>
  </si>
  <si>
    <t>08:16 am</t>
  </si>
  <si>
    <t>5226</t>
  </si>
  <si>
    <t xml:space="preserve">MS frame fabrication, grinding, cutting, welding and material shifting &amp; housekeeping </t>
  </si>
  <si>
    <t>22129</t>
  </si>
  <si>
    <t xml:space="preserve">Welding grinding cutting, Insulation cladding installation </t>
  </si>
  <si>
    <t xml:space="preserve">Oil Reception -MWRS Coridor </t>
  </si>
  <si>
    <t>09:31 am</t>
  </si>
  <si>
    <t>09:35 am</t>
  </si>
  <si>
    <t>5389</t>
  </si>
  <si>
    <t>Pipeline fabrication, installation pipe rack, material shifting, &amp; housekeeping work.</t>
  </si>
  <si>
    <t>MWRS AREA</t>
  </si>
  <si>
    <t>3579</t>
  </si>
  <si>
    <t xml:space="preserve">Platform shifting erection plat fixing Scaffolding Erection platform cutting fiting welding </t>
  </si>
  <si>
    <t>931</t>
  </si>
  <si>
    <t>5096</t>
  </si>
  <si>
    <t xml:space="preserve"> Slab beam chipping steel cutting material shifting housekeeping cova dismantle for terish </t>
  </si>
  <si>
    <t>10:10 am</t>
  </si>
  <si>
    <t>5299</t>
  </si>
  <si>
    <t xml:space="preserve">Plaster work, housekeeping work, Material shifting </t>
  </si>
  <si>
    <t>9:45 am</t>
  </si>
  <si>
    <t>5291</t>
  </si>
  <si>
    <t xml:space="preserve">Chiller pit cover fixing &amp; MS angle and chaqured plate welding </t>
  </si>
  <si>
    <t>Near temporary chiller</t>
  </si>
  <si>
    <t>5298</t>
  </si>
  <si>
    <t xml:space="preserve">Breaking foundation dismantling work , housekeeping work, Material shifting </t>
  </si>
  <si>
    <t xml:space="preserve">Refrigution Area </t>
  </si>
  <si>
    <t>9:22 am</t>
  </si>
  <si>
    <t>5297</t>
  </si>
  <si>
    <t xml:space="preserve">Paint , putty , tile fixing work, Material shifting, housekeeping work </t>
  </si>
  <si>
    <t>12:10 am</t>
  </si>
  <si>
    <t>3751</t>
  </si>
  <si>
    <t xml:space="preserve">Scaffold installing work , Material shifting, housekeeping work. </t>
  </si>
  <si>
    <t>3652</t>
  </si>
  <si>
    <t xml:space="preserve">Pipe reaction and bolt fixing </t>
  </si>
  <si>
    <t xml:space="preserve">New canteen area </t>
  </si>
  <si>
    <t>3653</t>
  </si>
  <si>
    <t xml:space="preserve">Brick work, shuttering steel bending, Cure cutting, Pcc , concrete, And compection </t>
  </si>
  <si>
    <t xml:space="preserve">10:10 AM </t>
  </si>
  <si>
    <t>10:16 AM</t>
  </si>
  <si>
    <t>5095</t>
  </si>
  <si>
    <t xml:space="preserve">Hard barricade work, material shifting, Trail pit manually excavation, house keeping </t>
  </si>
  <si>
    <t xml:space="preserve">9:9am </t>
  </si>
  <si>
    <t>3655</t>
  </si>
  <si>
    <t xml:space="preserve">Block work staircase , linter beam D-shuttering shuttering concreting pcc plinth beam &amp; scaffolding hard barricade block shifting roof work </t>
  </si>
  <si>
    <t xml:space="preserve">Air compressor &amp; new chiller building </t>
  </si>
  <si>
    <t>9:34</t>
  </si>
  <si>
    <t>9:36</t>
  </si>
  <si>
    <t>22132</t>
  </si>
  <si>
    <t xml:space="preserve">Welding grinding Material Handling unloading, Insulation work </t>
  </si>
  <si>
    <t>Oil Blending and spx store area</t>
  </si>
  <si>
    <t>9:38</t>
  </si>
  <si>
    <t>22131</t>
  </si>
  <si>
    <t>Welding grinding, insulation cladding Material unloading.</t>
  </si>
  <si>
    <t>Oil Reception and MWRS</t>
  </si>
  <si>
    <t>09:39</t>
  </si>
  <si>
    <t>3802</t>
  </si>
  <si>
    <t xml:space="preserve">Terrace kobha removing housekeeping material shifting </t>
  </si>
  <si>
    <t>5229</t>
  </si>
  <si>
    <t xml:space="preserve">SS pipe line fabrication, grinding, cutting, welding and MS frame fabrication, grinding, cutting, welding, material shifting, housekeeping </t>
  </si>
  <si>
    <t>9:45 AM</t>
  </si>
  <si>
    <t>9:55 AM</t>
  </si>
  <si>
    <t>3801</t>
  </si>
  <si>
    <t xml:space="preserve">Trail pit manually excavation, material shifting, dabris material remove for site </t>
  </si>
  <si>
    <t>932</t>
  </si>
  <si>
    <t>933</t>
  </si>
  <si>
    <t xml:space="preserve">Material Unloading Shifting by farana </t>
  </si>
  <si>
    <t>11:15</t>
  </si>
  <si>
    <t>3580</t>
  </si>
  <si>
    <t xml:space="preserve">Platform cutting fiting welding plateform shifting erection plat fixing </t>
  </si>
  <si>
    <t>11:10</t>
  </si>
  <si>
    <t>3581</t>
  </si>
  <si>
    <t>10 ;02Am</t>
  </si>
  <si>
    <t>3755</t>
  </si>
  <si>
    <t xml:space="preserve">Chiller pit cover fixing and checker plate fixing work </t>
  </si>
  <si>
    <t>Near chiller area</t>
  </si>
  <si>
    <t>9:45Am</t>
  </si>
  <si>
    <t>3754</t>
  </si>
  <si>
    <t xml:space="preserve">Scaffolding erection  material shifting work by farna and manualy waterproofing work </t>
  </si>
  <si>
    <t>3753</t>
  </si>
  <si>
    <t xml:space="preserve">Staircase plaster work and housekeeping </t>
  </si>
  <si>
    <t>Evaporator area</t>
  </si>
  <si>
    <t>3752</t>
  </si>
  <si>
    <t xml:space="preserve">Plaster work </t>
  </si>
  <si>
    <t>Mil tank</t>
  </si>
  <si>
    <t>2:45</t>
  </si>
  <si>
    <t>2:46</t>
  </si>
  <si>
    <t>3757</t>
  </si>
  <si>
    <t>2:30 pm</t>
  </si>
  <si>
    <t>2:30pm</t>
  </si>
  <si>
    <t>3756</t>
  </si>
  <si>
    <t xml:space="preserve">Foundation dismantling work </t>
  </si>
  <si>
    <t>Refrigeration work</t>
  </si>
  <si>
    <t>09:26</t>
  </si>
  <si>
    <t>3803</t>
  </si>
  <si>
    <t xml:space="preserve">Terrace kobha removing work chipping housekeeping material shifting </t>
  </si>
  <si>
    <t>9:20AM</t>
  </si>
  <si>
    <t>5230</t>
  </si>
  <si>
    <t xml:space="preserve">S.S pipe line fabrication, grinding, cutting, welding, tank lifting and shifting, housekeeping </t>
  </si>
  <si>
    <t>Cooling Tower,</t>
  </si>
  <si>
    <t>9:11</t>
  </si>
  <si>
    <t>22133</t>
  </si>
  <si>
    <t xml:space="preserve">Welding grinding cutting insulation cladding, Hot work at height </t>
  </si>
  <si>
    <t>Oil Reception and mwrs</t>
  </si>
  <si>
    <t>22134</t>
  </si>
  <si>
    <t xml:space="preserve">Welding grinding, insulation cladding, hot work </t>
  </si>
  <si>
    <t>9:30AM</t>
  </si>
  <si>
    <t>9:35AM</t>
  </si>
  <si>
    <t>5228</t>
  </si>
  <si>
    <t>S.S pipe line fabrication of tank, pipe line cutting, welding , grinding and material shifting, housekeeping</t>
  </si>
  <si>
    <t>Evaporator terrace</t>
  </si>
  <si>
    <t>10:40 am</t>
  </si>
  <si>
    <t>759</t>
  </si>
  <si>
    <t>Tank lifting &amp; shifting</t>
  </si>
  <si>
    <t>9:32 AM</t>
  </si>
  <si>
    <t>3804</t>
  </si>
  <si>
    <t xml:space="preserve">Trail pit manually excavation, material shifting,  dabris material remove for site </t>
  </si>
  <si>
    <t>5395</t>
  </si>
  <si>
    <t xml:space="preserve">Cooling tower assembly work pipe line structure fabrication installation positioning work and housekeeping work </t>
  </si>
  <si>
    <t>5396</t>
  </si>
  <si>
    <t xml:space="preserve">Pipeline fabrication installation pipeline shifting into pipe rack </t>
  </si>
  <si>
    <t xml:space="preserve">Safety person sign </t>
  </si>
  <si>
    <t>7:50</t>
  </si>
  <si>
    <t>7:55</t>
  </si>
  <si>
    <t>5394</t>
  </si>
  <si>
    <t xml:space="preserve">Pipe line structure fabrication installation work material shifting and housekeeping work scaffolding erection and dismantling </t>
  </si>
  <si>
    <t>5397</t>
  </si>
  <si>
    <t xml:space="preserve">Nitrogen tank dismentaling </t>
  </si>
  <si>
    <t xml:space="preserve">Refegeration room </t>
  </si>
  <si>
    <t>9:40 am</t>
  </si>
  <si>
    <t>3761</t>
  </si>
  <si>
    <t>Foundation demolition work, Material shifting and housekeeping work.</t>
  </si>
  <si>
    <t>Refrigution Area</t>
  </si>
  <si>
    <t>3760</t>
  </si>
  <si>
    <t xml:space="preserve">Plaster work, Material shifting and housekeeping work </t>
  </si>
  <si>
    <t>Evaporator Bulding</t>
  </si>
  <si>
    <t>3759</t>
  </si>
  <si>
    <t xml:space="preserve">Paint, putty work , Material shifting and housekeeping work </t>
  </si>
  <si>
    <t>Milk Tank Area</t>
  </si>
  <si>
    <t xml:space="preserve">7:39 am </t>
  </si>
  <si>
    <t xml:space="preserve">7:40 am </t>
  </si>
  <si>
    <t>3758</t>
  </si>
  <si>
    <t xml:space="preserve">Railing cutting &amp; new railing fixing work, Water proofing work, Material shifting and housekeeping work. </t>
  </si>
  <si>
    <t>3582</t>
  </si>
  <si>
    <t xml:space="preserve">Platform fixing platform welding Cutting fiting scaffolding erection and Dismantle Materials Shifting platform shifting erection </t>
  </si>
  <si>
    <t>3583</t>
  </si>
  <si>
    <t>Platform material shifting by farana admin to Eva</t>
  </si>
  <si>
    <t>934</t>
  </si>
  <si>
    <t>935</t>
  </si>
  <si>
    <t xml:space="preserve">Platform shifting </t>
  </si>
  <si>
    <t>3657</t>
  </si>
  <si>
    <t xml:space="preserve">Pipe reaction and  bolt fixing, hard barrication. And material shifting </t>
  </si>
  <si>
    <t>3656</t>
  </si>
  <si>
    <t xml:space="preserve">Not bolt fixing, railing , drilling, concrete  and block shifting </t>
  </si>
  <si>
    <t>898</t>
  </si>
  <si>
    <t xml:space="preserve">Block shift and cooling Tower material shifting </t>
  </si>
  <si>
    <t>10:01</t>
  </si>
  <si>
    <t>3585</t>
  </si>
  <si>
    <t>Pipe cutting and welding in pipe rack</t>
  </si>
  <si>
    <t>5399</t>
  </si>
  <si>
    <t xml:space="preserve">Equipment dismantling to etp material shifting </t>
  </si>
  <si>
    <t>5400</t>
  </si>
  <si>
    <t>Pipe doubling work</t>
  </si>
  <si>
    <t>3764</t>
  </si>
  <si>
    <t xml:space="preserve">Foundation Demolition work, Material shifting, housekeeping work </t>
  </si>
  <si>
    <t xml:space="preserve">9:40 am </t>
  </si>
  <si>
    <t>3763</t>
  </si>
  <si>
    <t xml:space="preserve">Paint, putty work material shifting, housekeeping work </t>
  </si>
  <si>
    <t xml:space="preserve">Oil blending </t>
  </si>
  <si>
    <t xml:space="preserve">9:15 am </t>
  </si>
  <si>
    <t>3762</t>
  </si>
  <si>
    <t xml:space="preserve">Railing installation work, material shifting, housekeeping work </t>
  </si>
  <si>
    <t xml:space="preserve">Near labour washroom </t>
  </si>
  <si>
    <t xml:space="preserve">3:55 pm </t>
  </si>
  <si>
    <t>3765</t>
  </si>
  <si>
    <t xml:space="preserve">Railing installation work, Material shifting, housekeeping work </t>
  </si>
  <si>
    <t xml:space="preserve">Scrap Yard </t>
  </si>
  <si>
    <t>5232</t>
  </si>
  <si>
    <t xml:space="preserve">S.S pipe line fabrication, welding, cutting, grinding, scaffold eraction &amp; desmentle, housekeeping </t>
  </si>
  <si>
    <t xml:space="preserve">Evoporator terrace </t>
  </si>
  <si>
    <t>09:40 am</t>
  </si>
  <si>
    <t>5233</t>
  </si>
  <si>
    <t xml:space="preserve">Pipe line fabrication &amp; fitup , welding at height, scaffold erection &amp; dismantle, FRP tank railing installation &amp; welding, drilling and fixing tank , material shifting, MS plate cutting &amp; welding, housekeeping </t>
  </si>
  <si>
    <t>3586</t>
  </si>
  <si>
    <t xml:space="preserve">Housekeeping barrication block work welding work, concreting excavation D-shuttering shuttering steel bending bolt fixing backfilling work </t>
  </si>
  <si>
    <t xml:space="preserve">Air compressor area </t>
  </si>
  <si>
    <t xml:space="preserve">Use of PPE's mandatory </t>
  </si>
  <si>
    <t>3587</t>
  </si>
  <si>
    <t xml:space="preserve">Pipe rack erection lifting shifting and unloading using farana and boom lift </t>
  </si>
  <si>
    <t xml:space="preserve">Erection area hard barricade &amp; use to full body harness </t>
  </si>
  <si>
    <t>9:40 AM</t>
  </si>
  <si>
    <t>9:46 AM</t>
  </si>
  <si>
    <t>3806</t>
  </si>
  <si>
    <t xml:space="preserve">Manually excavation, material shifting, dabris removed for site </t>
  </si>
  <si>
    <t>9:29Am</t>
  </si>
  <si>
    <t>09:33Am</t>
  </si>
  <si>
    <t>22136</t>
  </si>
  <si>
    <t>Welding grinding cutting, Housekeeping.</t>
  </si>
  <si>
    <t>9:32 Am</t>
  </si>
  <si>
    <t>22135</t>
  </si>
  <si>
    <t xml:space="preserve">Welding grinding cutting, Insulation cladding, work at height </t>
  </si>
  <si>
    <t xml:space="preserve">Oil Reception -MWRS </t>
  </si>
  <si>
    <t>3850</t>
  </si>
  <si>
    <t xml:space="preserve">Platform shifting erection plat fixing staircase installation scaffolding erection and Dismantle frem fabrication </t>
  </si>
  <si>
    <t>936</t>
  </si>
  <si>
    <t>3805</t>
  </si>
  <si>
    <t xml:space="preserve">Terrace kobha removing work housekeeping material shifting </t>
  </si>
  <si>
    <t>3661</t>
  </si>
  <si>
    <t xml:space="preserve">Pipe line structure fabrication installation cooling tower assembly work and material shifting and housekeeping work </t>
  </si>
  <si>
    <t>3662</t>
  </si>
  <si>
    <t xml:space="preserve">Pipe line fabrication installation work material shifting and housekeeping work pump dismantling </t>
  </si>
  <si>
    <t xml:space="preserve">MWRS pipe rack </t>
  </si>
  <si>
    <t>8:05 am</t>
  </si>
  <si>
    <t>8:10 am</t>
  </si>
  <si>
    <t>3660</t>
  </si>
  <si>
    <t xml:space="preserve">Pipe line structure fabrication installation work scaffolding erection and dismantling work material shifting and housekeeping work </t>
  </si>
  <si>
    <t xml:space="preserve">9:35 am </t>
  </si>
  <si>
    <t>3768</t>
  </si>
  <si>
    <t xml:space="preserve">Metro sheet fixing &amp; gap closing with foam , material shifting, housekeeping work </t>
  </si>
  <si>
    <t xml:space="preserve">9:50 am </t>
  </si>
  <si>
    <t>3767</t>
  </si>
  <si>
    <t xml:space="preserve">Paint work , putty work, Material shifting, housekeeping work </t>
  </si>
  <si>
    <t xml:space="preserve">Milk tank </t>
  </si>
  <si>
    <t xml:space="preserve">9:20 am </t>
  </si>
  <si>
    <t>3766</t>
  </si>
  <si>
    <t xml:space="preserve">Foundation demolition work, Material shifting and housekeeping work </t>
  </si>
  <si>
    <t>15:30</t>
  </si>
  <si>
    <t>15:34</t>
  </si>
  <si>
    <t>937</t>
  </si>
  <si>
    <t xml:space="preserve">Material Unloading by farana </t>
  </si>
  <si>
    <t>15:10</t>
  </si>
  <si>
    <t>5248</t>
  </si>
  <si>
    <t xml:space="preserve">Fiting pipe unloading by farana </t>
  </si>
  <si>
    <t xml:space="preserve">Filter cleaning </t>
  </si>
  <si>
    <t>07:10 Am</t>
  </si>
  <si>
    <t>07:20 Am</t>
  </si>
  <si>
    <t>3665</t>
  </si>
  <si>
    <t xml:space="preserve">Material shifting, lifting using faranna and chain block, Scaffolding erection </t>
  </si>
  <si>
    <t>Evo paratar</t>
  </si>
  <si>
    <t xml:space="preserve">Use full body harness, please maintain housekeeping before and after work and proper safe access </t>
  </si>
  <si>
    <t xml:space="preserve">9:10am </t>
  </si>
  <si>
    <t>9:26am</t>
  </si>
  <si>
    <t>3664</t>
  </si>
  <si>
    <t xml:space="preserve">Block work D-shuttering shuttering steel bending bolt fixing housekeeping excavation &amp; backfilling &amp; jcb </t>
  </si>
  <si>
    <t xml:space="preserve">New chiller building &amp; air compressor area </t>
  </si>
  <si>
    <t>9:40 Am</t>
  </si>
  <si>
    <t>9:45 Am</t>
  </si>
  <si>
    <t>3666</t>
  </si>
  <si>
    <t xml:space="preserve">Pipe rake erection, material shifting lifting and unloading using faranna and boom lift </t>
  </si>
  <si>
    <t xml:space="preserve">Near Canteen </t>
  </si>
  <si>
    <t>5234</t>
  </si>
  <si>
    <t xml:space="preserve">SS tank pipe line fabrication, grinding, cutting, welding, scaffold erection &amp; dismantle, material shifting, housekeeping </t>
  </si>
  <si>
    <t>09:25 am</t>
  </si>
  <si>
    <t>5235</t>
  </si>
  <si>
    <t>SS pipe line fabrication, welding, cutting, grinding, scaffold erection &amp; dismantle, material shifting, housekeeping</t>
  </si>
  <si>
    <t>5236</t>
  </si>
  <si>
    <t xml:space="preserve">MS plate cutting, grinding, welding and MS support fabrication, material shifting, housekeeping </t>
  </si>
  <si>
    <t>3588</t>
  </si>
  <si>
    <t xml:space="preserve">Platform shifting erection plateform railing fiting plateform welding Cutting fiting scaffolding erection and Dismantle </t>
  </si>
  <si>
    <t>9:18</t>
  </si>
  <si>
    <t>938</t>
  </si>
  <si>
    <t>10:20 Am</t>
  </si>
  <si>
    <t>10:25Pm</t>
  </si>
  <si>
    <t>3711</t>
  </si>
  <si>
    <t xml:space="preserve">Railing cutting and fixing work </t>
  </si>
  <si>
    <t>Scrap yard</t>
  </si>
  <si>
    <t>11:25Am</t>
  </si>
  <si>
    <t>11:30Am</t>
  </si>
  <si>
    <t>3713</t>
  </si>
  <si>
    <t xml:space="preserve">Material shifting tarfelt House keeping work </t>
  </si>
  <si>
    <t>9:10 Am</t>
  </si>
  <si>
    <t>3710</t>
  </si>
  <si>
    <t xml:space="preserve">Scaffolding erection material shifting paint putty  work </t>
  </si>
  <si>
    <t xml:space="preserve">9:10 </t>
  </si>
  <si>
    <t>3709</t>
  </si>
  <si>
    <t xml:space="preserve">Manual mateial shifting and plaster work </t>
  </si>
  <si>
    <t xml:space="preserve">Boiler roof </t>
  </si>
  <si>
    <t>2:10 Am</t>
  </si>
  <si>
    <t>2:15 Am</t>
  </si>
  <si>
    <t>3714</t>
  </si>
  <si>
    <t>Drain cover gutar fixing work</t>
  </si>
  <si>
    <t xml:space="preserve">Oil reception </t>
  </si>
  <si>
    <t>3703</t>
  </si>
  <si>
    <t>Foundation blareking work and debris shifting work</t>
  </si>
  <si>
    <t>Refrigeration area</t>
  </si>
  <si>
    <t xml:space="preserve">9:30 AM </t>
  </si>
  <si>
    <t xml:space="preserve">Housekeeping, barrication, Hot work, Block work, de shuttering And backfilling </t>
  </si>
  <si>
    <t xml:space="preserve">Pipe reaction and lifting shifting, AND loading and unloading </t>
  </si>
  <si>
    <t>9:20 AM</t>
  </si>
  <si>
    <t>9:26 AM</t>
  </si>
  <si>
    <t>3807</t>
  </si>
  <si>
    <t xml:space="preserve">Manually excavation, tree cutting, house keeping </t>
  </si>
  <si>
    <t xml:space="preserve">Canteen frant </t>
  </si>
  <si>
    <t xml:space="preserve">9:20 AM </t>
  </si>
  <si>
    <t>3808</t>
  </si>
  <si>
    <t xml:space="preserve">Tree cutting, material shifting, house keeping </t>
  </si>
  <si>
    <t>12:00</t>
  </si>
  <si>
    <t>939</t>
  </si>
  <si>
    <t xml:space="preserve">Fitting pipe material Unloading </t>
  </si>
  <si>
    <t>6:00</t>
  </si>
  <si>
    <t>6:10</t>
  </si>
  <si>
    <t>940</t>
  </si>
  <si>
    <t>12:10</t>
  </si>
  <si>
    <t>3589</t>
  </si>
  <si>
    <t xml:space="preserve">Fitting pipe unloading by farana </t>
  </si>
  <si>
    <t>08:10</t>
  </si>
  <si>
    <t>08:15</t>
  </si>
  <si>
    <t>3809</t>
  </si>
  <si>
    <t>Terrace coba removing scaffolding erection dismantle housekeeping material shifting</t>
  </si>
  <si>
    <t>5237</t>
  </si>
  <si>
    <t xml:space="preserve">SS pipe line fabrication and scaffold erection &amp; dismantle, ladder fixing, welding, grinding, cutting, material shifting, housekeeping </t>
  </si>
  <si>
    <t>5238</t>
  </si>
  <si>
    <t xml:space="preserve">SS pipe line fabrication, platform welding &amp; cutting, scaffold erection &amp; dismantle </t>
  </si>
  <si>
    <t>3851</t>
  </si>
  <si>
    <t xml:space="preserve">Welding, grinding, insulation, Cladding, Heat Trace Cable remove </t>
  </si>
  <si>
    <t>9.10</t>
  </si>
  <si>
    <t>9.22</t>
  </si>
  <si>
    <t>941</t>
  </si>
  <si>
    <t xml:space="preserve">Platform shifting &amp; eraction </t>
  </si>
  <si>
    <t xml:space="preserve">Evoparator </t>
  </si>
  <si>
    <t>9.5</t>
  </si>
  <si>
    <t>9.19</t>
  </si>
  <si>
    <t>3590</t>
  </si>
  <si>
    <t xml:space="preserve">Platform cutting , fitting &amp; welding , platform shifting eraction </t>
  </si>
  <si>
    <t>7:10 Am</t>
  </si>
  <si>
    <t>3810</t>
  </si>
  <si>
    <t xml:space="preserve">Material shifting and lifting using faranna and chain block, Scaffolding erection,puf Panel  removing </t>
  </si>
  <si>
    <t xml:space="preserve">Evaporator areas </t>
  </si>
  <si>
    <t xml:space="preserve">Maintain housekeeping before and after work </t>
  </si>
  <si>
    <t>9:8</t>
  </si>
  <si>
    <t>9:21</t>
  </si>
  <si>
    <t>3591</t>
  </si>
  <si>
    <t xml:space="preserve">Ms structure fabrication &amp; material shifting </t>
  </si>
  <si>
    <t xml:space="preserve">Near filter cleaning </t>
  </si>
  <si>
    <t>8:00 Am</t>
  </si>
  <si>
    <t>8:05 Am</t>
  </si>
  <si>
    <t>3667</t>
  </si>
  <si>
    <t xml:space="preserve">Pipe rake erection, material shifting lifting and unloading using faranna , Structure member size modification </t>
  </si>
  <si>
    <t>3780</t>
  </si>
  <si>
    <t xml:space="preserve">Pipeline fabrication installation material shifting and housekeeping </t>
  </si>
  <si>
    <t>3668</t>
  </si>
  <si>
    <t xml:space="preserve">Brick work,nut bolts welding &amp; fixing, shuttering,d- shuttering ,reinforcement work, concrete, material shifting scaffolding erection &amp; modification activity </t>
  </si>
  <si>
    <t xml:space="preserve">Maintain housekeeping before &amp; after work, use full body harness during work at height, proper supervision,lone working not allowed, use job specific PPEs during work activity </t>
  </si>
  <si>
    <t>3811</t>
  </si>
  <si>
    <t xml:space="preserve">Manually excavation, material shifting, dabris removed for site, house keeping </t>
  </si>
  <si>
    <t>Canteen frant near by gate no 2</t>
  </si>
  <si>
    <t xml:space="preserve">10: 15 Am </t>
  </si>
  <si>
    <t>3812</t>
  </si>
  <si>
    <t xml:space="preserve">Scaffolding erection, material shifting,tree cutting, house keeping </t>
  </si>
  <si>
    <t>10:00Am</t>
  </si>
  <si>
    <t>10:05 Am</t>
  </si>
  <si>
    <t>5144</t>
  </si>
  <si>
    <t xml:space="preserve">Paint putty work door lock  fixing work </t>
  </si>
  <si>
    <t>9:35 Am</t>
  </si>
  <si>
    <t>5143</t>
  </si>
  <si>
    <t xml:space="preserve">Foundation demolition work and housekeeping work </t>
  </si>
  <si>
    <t>Refrigeration</t>
  </si>
  <si>
    <t xml:space="preserve">Scaffolding erection dismantle material shifting tree cutting housekeeping </t>
  </si>
  <si>
    <t>3779</t>
  </si>
  <si>
    <t>3781</t>
  </si>
  <si>
    <t xml:space="preserve">Nitrogen tank shifting equipment lifting material shifting </t>
  </si>
  <si>
    <t>7:45</t>
  </si>
  <si>
    <t>3778</t>
  </si>
  <si>
    <t xml:space="preserve">Pipeline fabrication support fabrication and installation </t>
  </si>
  <si>
    <t>9:19</t>
  </si>
  <si>
    <t>943</t>
  </si>
  <si>
    <t xml:space="preserve">Platform Erection </t>
  </si>
  <si>
    <t>12:30</t>
  </si>
  <si>
    <t>3592</t>
  </si>
  <si>
    <t xml:space="preserve">Platform shifting by farana </t>
  </si>
  <si>
    <t>942</t>
  </si>
  <si>
    <t>9:7</t>
  </si>
  <si>
    <t xml:space="preserve">Material shifting ms structure fabrication </t>
  </si>
  <si>
    <t>3782</t>
  </si>
  <si>
    <t>05::</t>
  </si>
  <si>
    <t>05:45</t>
  </si>
  <si>
    <t>3816</t>
  </si>
  <si>
    <t xml:space="preserve">Slab beam chipping scaffolding erection dismantle housekeeping material shifting </t>
  </si>
  <si>
    <t>7:35 Am</t>
  </si>
  <si>
    <t>3670</t>
  </si>
  <si>
    <t>Beem strengthing work material lifting using chain block and anchor fashnar fixing</t>
  </si>
  <si>
    <t xml:space="preserve">Use full body harness, maintain housekeeping before and after work </t>
  </si>
  <si>
    <t>5239</t>
  </si>
  <si>
    <t>Scaffolding erection &amp; dismantle, 50 mm pipe fabrication &amp; installation, pipe welding in men line</t>
  </si>
  <si>
    <t>5240</t>
  </si>
  <si>
    <t xml:space="preserve">SS pipe line fabrication, grinding, cutting, welding and scaffold erection &amp; dismantle </t>
  </si>
  <si>
    <t>5241</t>
  </si>
  <si>
    <t xml:space="preserve">65 mm pipe line fabrication &amp; installation, welding, cutting, grinding and scaffold erection &amp; dismantle </t>
  </si>
  <si>
    <t>3854</t>
  </si>
  <si>
    <t xml:space="preserve">Welding grinding, OQ Activity </t>
  </si>
  <si>
    <t>Oil Blending and Lecithing Area</t>
  </si>
  <si>
    <t>3785</t>
  </si>
  <si>
    <t xml:space="preserve">Pipeline welding </t>
  </si>
  <si>
    <t>3853</t>
  </si>
  <si>
    <t xml:space="preserve">Welding grinding cutting, </t>
  </si>
  <si>
    <t>3593</t>
  </si>
  <si>
    <t xml:space="preserve">Platform shifting &amp; eraction, platform cutting fitting &amp; welding scaffolding erection </t>
  </si>
  <si>
    <t>944</t>
  </si>
  <si>
    <t>Evaporator</t>
  </si>
  <si>
    <t>9.20</t>
  </si>
  <si>
    <t>9.40</t>
  </si>
  <si>
    <t>945</t>
  </si>
  <si>
    <t>10:50</t>
  </si>
  <si>
    <t>3786</t>
  </si>
  <si>
    <t xml:space="preserve">Nitrogen tank shifting equipment shifting </t>
  </si>
  <si>
    <t>3783</t>
  </si>
  <si>
    <t xml:space="preserve">Pipe line support and fabrication work and material shifting and housekeeping </t>
  </si>
  <si>
    <t>3784</t>
  </si>
  <si>
    <t xml:space="preserve">Pipe line support welding cutting buffing work and housekeeping work </t>
  </si>
  <si>
    <t xml:space="preserve">9:00  am </t>
  </si>
  <si>
    <t xml:space="preserve">9:00 am </t>
  </si>
  <si>
    <t xml:space="preserve">RCC, shuttering work,not bolt welding, formwork, brick work, and material shifting </t>
  </si>
  <si>
    <t>9.30 Am</t>
  </si>
  <si>
    <t>3719</t>
  </si>
  <si>
    <t xml:space="preserve">Brick work on cut out outside boiler trace </t>
  </si>
  <si>
    <t xml:space="preserve">Boiler trace </t>
  </si>
  <si>
    <t>9:10 AM</t>
  </si>
  <si>
    <t>9:15AM</t>
  </si>
  <si>
    <t>3717</t>
  </si>
  <si>
    <t xml:space="preserve">Manual material handling, painting and putty work, housekeeping, scaffolding errection and modify work </t>
  </si>
  <si>
    <t>MILK TANK AREA</t>
  </si>
  <si>
    <t>9:00 AM</t>
  </si>
  <si>
    <t>3716</t>
  </si>
  <si>
    <t xml:space="preserve">Foundation dismantling work and debris removing work </t>
  </si>
  <si>
    <t xml:space="preserve">Refrigeration area </t>
  </si>
  <si>
    <t>09:07</t>
  </si>
  <si>
    <t>3511</t>
  </si>
  <si>
    <t xml:space="preserve">Tray installation &amp; tray shifting  manually </t>
  </si>
  <si>
    <t>Neear by Canteen area road</t>
  </si>
  <si>
    <t>Others</t>
  </si>
  <si>
    <t>3512</t>
  </si>
  <si>
    <t>Digging for earthing pit and support fabrication for tray</t>
  </si>
  <si>
    <t xml:space="preserve">Near New chiller area building </t>
  </si>
  <si>
    <t>3829</t>
  </si>
  <si>
    <t xml:space="preserve">Terrace coba removing work housekeeping material shifting </t>
  </si>
  <si>
    <t>3817</t>
  </si>
  <si>
    <t xml:space="preserve">Trail pit excavation material shifting debris material removing housekeeping </t>
  </si>
  <si>
    <t>3818</t>
  </si>
  <si>
    <t xml:space="preserve">Excavation material shifting housekeeping material shifting </t>
  </si>
  <si>
    <t>7.05 pm</t>
  </si>
  <si>
    <t>7.07 pm</t>
  </si>
  <si>
    <t>947</t>
  </si>
  <si>
    <t>9:55 PM</t>
  </si>
  <si>
    <t>3820</t>
  </si>
  <si>
    <t xml:space="preserve">Chipping for slab &amp; beam, steel cutting, material shifting, debris removed for site </t>
  </si>
  <si>
    <t>7:20 Am</t>
  </si>
  <si>
    <t xml:space="preserve">7:25 Am </t>
  </si>
  <si>
    <t>3672</t>
  </si>
  <si>
    <t xml:space="preserve">Ms Scoffolding erection and beam strengthening work, material lifting shifting by chain block </t>
  </si>
  <si>
    <t xml:space="preserve">Please unsure proper safe access, maintain housekeeping before and after work </t>
  </si>
  <si>
    <t>09:59</t>
  </si>
  <si>
    <t>3823</t>
  </si>
  <si>
    <t xml:space="preserve">Terrace coba removing housekeeping and material shifting </t>
  </si>
  <si>
    <t>09:55 am</t>
  </si>
  <si>
    <t>5242</t>
  </si>
  <si>
    <t xml:space="preserve">Tank welding complete and dummi, flanch fixing, scaffold erection &amp; dismantle and nozzle removing </t>
  </si>
  <si>
    <t>09:58 am</t>
  </si>
  <si>
    <t>09:59 am</t>
  </si>
  <si>
    <t>5243</t>
  </si>
  <si>
    <t xml:space="preserve">SS pipe line installation welding, cutting, grinding, scaffold erection &amp; dismantle and material shifting </t>
  </si>
  <si>
    <t>5244</t>
  </si>
  <si>
    <t xml:space="preserve">50 mm pipe line fabrication grinding, cutting, welding, &amp; 38 mm pipe line fabrication complete of frp tank </t>
  </si>
  <si>
    <t>4503</t>
  </si>
  <si>
    <t xml:space="preserve">Pipeline fabrication and welding </t>
  </si>
  <si>
    <t>4504</t>
  </si>
  <si>
    <t xml:space="preserve">Pipe line dismentaling compressor shifting scaffold erecting and dismantling </t>
  </si>
  <si>
    <t>9:03</t>
  </si>
  <si>
    <t>3513</t>
  </si>
  <si>
    <t xml:space="preserve">Tray installation  and tray move manually </t>
  </si>
  <si>
    <t>Canteen building  near road</t>
  </si>
  <si>
    <t>3514</t>
  </si>
  <si>
    <t xml:space="preserve">Support fabrication  and earthing  pit excavation </t>
  </si>
  <si>
    <t xml:space="preserve">Near chiller building </t>
  </si>
  <si>
    <t>4502</t>
  </si>
  <si>
    <t xml:space="preserve">Pipe line structure fabrication installation work material shifting scaffolding erection and dismantling and housekeeping work </t>
  </si>
  <si>
    <t>7:30am</t>
  </si>
  <si>
    <t>7:31 am</t>
  </si>
  <si>
    <t>4501</t>
  </si>
  <si>
    <t xml:space="preserve">Pipe line fabrication and support work and material shifting and housekeeping work scaffolding erection work </t>
  </si>
  <si>
    <t>9.35</t>
  </si>
  <si>
    <t>9.45</t>
  </si>
  <si>
    <t>3594</t>
  </si>
  <si>
    <t xml:space="preserve">Platform shifting &amp; eraction , platform cutting fitting &amp; welding , scaffolding erection </t>
  </si>
  <si>
    <t>948</t>
  </si>
  <si>
    <t xml:space="preserve">Platform material shifting eraction </t>
  </si>
  <si>
    <t>1:14</t>
  </si>
  <si>
    <t>1:23</t>
  </si>
  <si>
    <t>3788</t>
  </si>
  <si>
    <t>Etp area</t>
  </si>
  <si>
    <t xml:space="preserve">3:00 PM </t>
  </si>
  <si>
    <t>3673</t>
  </si>
  <si>
    <t xml:space="preserve">Pipe erection using farana </t>
  </si>
  <si>
    <t xml:space="preserve">9:03Am </t>
  </si>
  <si>
    <t xml:space="preserve">Cable tray installation and tray manually shifting </t>
  </si>
  <si>
    <t xml:space="preserve">Near canteen area building pipe rack </t>
  </si>
  <si>
    <t xml:space="preserve">4:40 PM </t>
  </si>
  <si>
    <t>3674</t>
  </si>
  <si>
    <t xml:space="preserve">Scaffolding erection </t>
  </si>
  <si>
    <t>New chiller out side</t>
  </si>
  <si>
    <t xml:space="preserve">Support fabrication and earthpit installation </t>
  </si>
  <si>
    <t>10:30 AM</t>
  </si>
  <si>
    <t>10:40 AM</t>
  </si>
  <si>
    <t>3822</t>
  </si>
  <si>
    <t xml:space="preserve">Excavation for manually, material shifting, house keeping </t>
  </si>
  <si>
    <t xml:space="preserve">Front of centeen </t>
  </si>
  <si>
    <t>3671</t>
  </si>
  <si>
    <t xml:space="preserve">Block work,Pcc,Rcc, Shuttering, D-shuttring,R/R binding,Nut bolts fixing, material shifting, concreting </t>
  </si>
  <si>
    <t xml:space="preserve">New chiller,air compressor areas </t>
  </si>
  <si>
    <t>10:00 PM</t>
  </si>
  <si>
    <t>10:35 PM</t>
  </si>
  <si>
    <t>3826</t>
  </si>
  <si>
    <t xml:space="preserve">Chipping for slab &amp; beam , Scaffolding Erection &amp; Dismantle, material shifting, House keeping </t>
  </si>
  <si>
    <t>3675</t>
  </si>
  <si>
    <t xml:space="preserve">Pipe rake erection, material shifting lifting and unloading using faranna and boom lift, Pipe rake member modification work </t>
  </si>
  <si>
    <t>Near Canteen, New Chiller,MWRS</t>
  </si>
  <si>
    <t xml:space="preserve">Please proper Hard barricading at lifting areas , maintain distance between boom lift and farana </t>
  </si>
  <si>
    <t>713</t>
  </si>
  <si>
    <t xml:space="preserve">Near Canteen, New Chiller, MWRS </t>
  </si>
  <si>
    <t>5247</t>
  </si>
  <si>
    <t>SS tank ladder fixing, welding, grinding and SS sheet cutting and fixing</t>
  </si>
  <si>
    <t xml:space="preserve">SS tank ladder fixing welding grinding and SS sheet cutting welding fixing </t>
  </si>
  <si>
    <t>5247 - Evaporator terrace ✅ cooling Tower ❎</t>
  </si>
  <si>
    <t>09:00 am</t>
  </si>
  <si>
    <t>3824</t>
  </si>
  <si>
    <t xml:space="preserve">50 mm SS pipe line installation and welding, grinding, cutting and scaffolding erection &amp; dismantle </t>
  </si>
  <si>
    <t>3828</t>
  </si>
  <si>
    <t xml:space="preserve">Excavation of jcb material shifting &amp; housekeeping </t>
  </si>
  <si>
    <t xml:space="preserve">Front of canteen </t>
  </si>
  <si>
    <t>3825</t>
  </si>
  <si>
    <t xml:space="preserve">09:25 am </t>
  </si>
  <si>
    <t xml:space="preserve">50 mm pipe line fabrication grinding, cutting, welding and 38 mm pipe line welding &amp; materials shifting </t>
  </si>
  <si>
    <t>3858</t>
  </si>
  <si>
    <t xml:space="preserve">Welding, grinding, cutting </t>
  </si>
  <si>
    <t xml:space="preserve">Housekeeping, brick coba chiping and material shifting work </t>
  </si>
  <si>
    <t>Evapretor</t>
  </si>
  <si>
    <t>7:30 AM</t>
  </si>
  <si>
    <t>7:35AM</t>
  </si>
  <si>
    <t>3727</t>
  </si>
  <si>
    <t xml:space="preserve">L flashing installation work, tarfelt laying work, scaffolding errection work, lifeline installation work, welding work, housekeeping work </t>
  </si>
  <si>
    <t>9 AM</t>
  </si>
  <si>
    <t>9:05 AM</t>
  </si>
  <si>
    <t>3728</t>
  </si>
  <si>
    <t xml:space="preserve">Demolition of footing, cutting of steel bar, brick work housekeeping </t>
  </si>
  <si>
    <t>9:11 AM</t>
  </si>
  <si>
    <t>3729</t>
  </si>
  <si>
    <t xml:space="preserve">Paint work, putty work, L flashing fixing work, glass fixing work </t>
  </si>
  <si>
    <t>7:35</t>
  </si>
  <si>
    <t>4506</t>
  </si>
  <si>
    <t xml:space="preserve">Pipeline welding and housekeeping </t>
  </si>
  <si>
    <t>9:32</t>
  </si>
  <si>
    <t>3789</t>
  </si>
  <si>
    <t xml:space="preserve">Pipeline dismantling equipment dismantling and shifting scaffolding erection and dismantling </t>
  </si>
  <si>
    <t>3857</t>
  </si>
  <si>
    <t xml:space="preserve">OQ ACTIVITY, HOUSEKEEPING, DRILLING </t>
  </si>
  <si>
    <t>3677</t>
  </si>
  <si>
    <t xml:space="preserve">Not bolt fixing, block work, pcc,  RCC, shuttering, grinding, material shifting </t>
  </si>
  <si>
    <t xml:space="preserve">New chiller building area </t>
  </si>
  <si>
    <t>3515</t>
  </si>
  <si>
    <t xml:space="preserve">Tray installation &amp; tray shifting manually </t>
  </si>
  <si>
    <t>Near canteen building to DG Panal room</t>
  </si>
  <si>
    <t>3516</t>
  </si>
  <si>
    <t xml:space="preserve">Tray fabrication  support fabrication &amp; excavation for earthing pit </t>
  </si>
  <si>
    <t xml:space="preserve">7:00 am </t>
  </si>
  <si>
    <t xml:space="preserve">Pipe erection, material shifting, lifting, </t>
  </si>
  <si>
    <t xml:space="preserve">Near canteen area </t>
  </si>
  <si>
    <t xml:space="preserve">Pipe erection, lifting and shifting </t>
  </si>
  <si>
    <t>7:10am</t>
  </si>
  <si>
    <t>7:20am</t>
  </si>
  <si>
    <t>4505</t>
  </si>
  <si>
    <t xml:space="preserve">Pipe line structure fabrication installation work material shifting scaffolding erection dismantling and housekeeping work </t>
  </si>
  <si>
    <t>8:15am</t>
  </si>
  <si>
    <t>8:20am</t>
  </si>
  <si>
    <t xml:space="preserve">Pipe line fabrication and structure installation work and material shifting and housekeeping work </t>
  </si>
  <si>
    <t xml:space="preserve">8:40 AM </t>
  </si>
  <si>
    <t xml:space="preserve">8:50 AM </t>
  </si>
  <si>
    <t>3830</t>
  </si>
  <si>
    <t xml:space="preserve">Chipping slab &amp; beam, material shifting, scaffolding erection dismantling, debris removed for site </t>
  </si>
  <si>
    <t>9.29</t>
  </si>
  <si>
    <t>3595</t>
  </si>
  <si>
    <t xml:space="preserve">Platform cutting fitting welding , platform shifting eraction </t>
  </si>
  <si>
    <t>3596</t>
  </si>
  <si>
    <t xml:space="preserve">Panel shifting </t>
  </si>
  <si>
    <t xml:space="preserve">New utility building </t>
  </si>
  <si>
    <t>3597</t>
  </si>
  <si>
    <t xml:space="preserve">Material sagrication </t>
  </si>
  <si>
    <t>Near Etp</t>
  </si>
  <si>
    <t>949</t>
  </si>
  <si>
    <t xml:space="preserve">Platform &amp; panel shifting </t>
  </si>
  <si>
    <t>7:30</t>
  </si>
  <si>
    <t>8:30</t>
  </si>
  <si>
    <t>4508</t>
  </si>
  <si>
    <t>8:00</t>
  </si>
  <si>
    <t>4509</t>
  </si>
  <si>
    <t xml:space="preserve">Fabrication work pipelines laying material shifting </t>
  </si>
  <si>
    <t>3679</t>
  </si>
  <si>
    <t xml:space="preserve">Block work, curing, housekeeping </t>
  </si>
  <si>
    <t xml:space="preserve">New chiller,air compressor </t>
  </si>
  <si>
    <t xml:space="preserve">Please proper safe access, maintain housekeeping before and after work </t>
  </si>
  <si>
    <t>9:02 AM</t>
  </si>
  <si>
    <t>3731</t>
  </si>
  <si>
    <t xml:space="preserve">Tarfelt installation work, material shifting, housekeeping </t>
  </si>
  <si>
    <t>Project office roof</t>
  </si>
  <si>
    <t>9:55</t>
  </si>
  <si>
    <t>3833</t>
  </si>
  <si>
    <t xml:space="preserve">Slad&amp;beam chipping material shifting, housekeeping and scaffolding reaction, dismantle </t>
  </si>
  <si>
    <t xml:space="preserve">Evapretor </t>
  </si>
  <si>
    <t>09:50</t>
  </si>
  <si>
    <t>09:55</t>
  </si>
  <si>
    <t>3831</t>
  </si>
  <si>
    <t xml:space="preserve">Excavation in manual material shifting and housekeeping </t>
  </si>
  <si>
    <t>7:30 PM</t>
  </si>
  <si>
    <t>3834</t>
  </si>
  <si>
    <t>Chipping for slab &amp; beam, steel cutting, material shifting, scaffolding erection dismantling, debris removed for site</t>
  </si>
  <si>
    <t>3733</t>
  </si>
  <si>
    <t xml:space="preserve">Milk tabk touchup point of plaint, housekeeping work </t>
  </si>
  <si>
    <t>3735</t>
  </si>
  <si>
    <t xml:space="preserve">Pedustal Demolition work, bedris cleaning work, housekeeping work </t>
  </si>
  <si>
    <t>Paint and putty work and housekeeping work</t>
  </si>
  <si>
    <t xml:space="preserve">Mil tank </t>
  </si>
  <si>
    <t xml:space="preserve">Pedastle Demolition work debris shifting work </t>
  </si>
  <si>
    <t>4512</t>
  </si>
  <si>
    <t xml:space="preserve">Pipe and equipment dismantling scaffolding erection and dismantling material shifting </t>
  </si>
  <si>
    <t>9:59Am</t>
  </si>
  <si>
    <t>3835</t>
  </si>
  <si>
    <t xml:space="preserve">Welding grinding cutting, Material Handling,K-2 Paste Cleaning </t>
  </si>
  <si>
    <t>9:50Am</t>
  </si>
  <si>
    <t>9:55Am</t>
  </si>
  <si>
    <t>3836</t>
  </si>
  <si>
    <t>OQ Activity, Water Circulation, Housekeeping.</t>
  </si>
  <si>
    <t>10:00AM</t>
  </si>
  <si>
    <t>3951</t>
  </si>
  <si>
    <t xml:space="preserve">S.S pipe line fabrication &amp; support fixing scaffold eraction &amp; desmentle metrial shifting, housekeeping </t>
  </si>
  <si>
    <t>3680</t>
  </si>
  <si>
    <t xml:space="preserve">Beam strengthening work, scoffolding erection </t>
  </si>
  <si>
    <t xml:space="preserve">Eveporater areas </t>
  </si>
  <si>
    <t>3517</t>
  </si>
  <si>
    <t xml:space="preserve">Tray installation  , Tray shifting manually </t>
  </si>
  <si>
    <t>Near canteen  building road</t>
  </si>
  <si>
    <t>8:35 am</t>
  </si>
  <si>
    <t>4511</t>
  </si>
  <si>
    <t xml:space="preserve">Pipe line structure fabrication installation work and material shifting and housekeeping work </t>
  </si>
  <si>
    <t>7:00am</t>
  </si>
  <si>
    <t>4510</t>
  </si>
  <si>
    <t xml:space="preserve">Pipe line fabrication installation work material shifting and housekeeping work </t>
  </si>
  <si>
    <t>3518</t>
  </si>
  <si>
    <t>Support fabrication and manually excavation for earthing pit</t>
  </si>
  <si>
    <t xml:space="preserve">Near new chillar </t>
  </si>
  <si>
    <t>950</t>
  </si>
  <si>
    <t>773</t>
  </si>
  <si>
    <t xml:space="preserve">Penal Shifting </t>
  </si>
  <si>
    <t xml:space="preserve">New Utility building </t>
  </si>
  <si>
    <t>3599</t>
  </si>
  <si>
    <t xml:space="preserve">Platform cutting fiting welding plateform shifting erection plat fixing Scaffolding Erection and Dismantle panel shifting </t>
  </si>
  <si>
    <t>3901</t>
  </si>
  <si>
    <t xml:space="preserve">Panel shifting by farana new Utility building to old utility </t>
  </si>
  <si>
    <t>3678</t>
  </si>
  <si>
    <t xml:space="preserve">Block work, block shifting, back filling, shuttering,d- shuttering reinforcement work </t>
  </si>
  <si>
    <t xml:space="preserve">Use full body harness during work at height, &amp; job specific PPEs mandatory , ensure proper supervision during work activity </t>
  </si>
  <si>
    <t>7:45 AM</t>
  </si>
  <si>
    <t xml:space="preserve">7:46 AM </t>
  </si>
  <si>
    <t>3838</t>
  </si>
  <si>
    <t xml:space="preserve">Chipping for slab &amp; beam, material shifting, debris removed for site </t>
  </si>
  <si>
    <t>9:26 Am</t>
  </si>
  <si>
    <t>3684</t>
  </si>
  <si>
    <t xml:space="preserve">Beam strengthening work drilling, scoffolding erection </t>
  </si>
  <si>
    <t>3790</t>
  </si>
  <si>
    <t xml:space="preserve">Pipe dismantling PHE disconnect and shutting material shifting housekeeping </t>
  </si>
  <si>
    <t>6:00Pm</t>
  </si>
  <si>
    <t>3863</t>
  </si>
  <si>
    <t xml:space="preserve">OQ Activity, CIP Circulation Housekeeping </t>
  </si>
  <si>
    <t>9:0]</t>
  </si>
  <si>
    <t>3520</t>
  </si>
  <si>
    <t xml:space="preserve">Cable tray fixing ,cable  tray shifting manually </t>
  </si>
  <si>
    <t xml:space="preserve">Oil reception  to new chillar </t>
  </si>
  <si>
    <t>3862</t>
  </si>
  <si>
    <t>Welding, grinding, Cutting, Housekeeping, Material Shifting.</t>
  </si>
  <si>
    <t>8:05 sm</t>
  </si>
  <si>
    <t>4514</t>
  </si>
  <si>
    <t>7:11am</t>
  </si>
  <si>
    <t>4513</t>
  </si>
  <si>
    <t xml:space="preserve">Pipe line fabrication installation work pipe rack and material shifting and housekeeping work </t>
  </si>
  <si>
    <t>9:18Am</t>
  </si>
  <si>
    <t>4003</t>
  </si>
  <si>
    <t xml:space="preserve">Paint putty House keeping work </t>
  </si>
  <si>
    <t xml:space="preserve">Oil blinding </t>
  </si>
  <si>
    <t>4002</t>
  </si>
  <si>
    <t xml:space="preserve">Demolition work and debries shifting work </t>
  </si>
  <si>
    <t xml:space="preserve">Refrigeration </t>
  </si>
  <si>
    <t>4001</t>
  </si>
  <si>
    <t>Tarfelt work manually material shifting work l flashing work</t>
  </si>
  <si>
    <t>3521</t>
  </si>
  <si>
    <t xml:space="preserve">Support fabrication and earthing pit excavation manually </t>
  </si>
  <si>
    <t>Water ro to chillar area</t>
  </si>
  <si>
    <t>3:30 pm</t>
  </si>
  <si>
    <t>776</t>
  </si>
  <si>
    <t xml:space="preserve">Pipe rake erection </t>
  </si>
  <si>
    <t>3:30 Pm</t>
  </si>
  <si>
    <t>3:40 Pm</t>
  </si>
  <si>
    <t>3681</t>
  </si>
  <si>
    <t xml:space="preserve">Pipe rake erection using faranna and boom lift </t>
  </si>
  <si>
    <t>3.15</t>
  </si>
  <si>
    <t>3.30</t>
  </si>
  <si>
    <t>3902</t>
  </si>
  <si>
    <t xml:space="preserve">Ac installation </t>
  </si>
  <si>
    <t xml:space="preserve">Near Etp </t>
  </si>
  <si>
    <t>9.15</t>
  </si>
  <si>
    <t>9.30</t>
  </si>
  <si>
    <t>3903</t>
  </si>
  <si>
    <t xml:space="preserve">Platform cutting fitting welding scaffolding erection,platform shifting eraction </t>
  </si>
  <si>
    <t>3904</t>
  </si>
  <si>
    <t>Admin</t>
  </si>
  <si>
    <t>716</t>
  </si>
  <si>
    <t>715</t>
  </si>
  <si>
    <t>07:50 pm</t>
  </si>
  <si>
    <t>3953</t>
  </si>
  <si>
    <t xml:space="preserve">SS pipe line cutting, welding, grinding material shifting, housekeeping, scaffold erection g dismantle </t>
  </si>
  <si>
    <t xml:space="preserve"> 08:00 pm</t>
  </si>
  <si>
    <t>08:00 pm</t>
  </si>
  <si>
    <t>3955</t>
  </si>
  <si>
    <t xml:space="preserve">Puff pannel fixing &amp; removing and puff cutting and frp tank pipe line fabrication </t>
  </si>
  <si>
    <t>3865</t>
  </si>
  <si>
    <t>OQ ACTIVITY AND HOUSEKEEPING.</t>
  </si>
  <si>
    <t>9:35Am</t>
  </si>
  <si>
    <t>3864</t>
  </si>
  <si>
    <t>Welding grinding cutting and manually material handling shifting, Housekeeping</t>
  </si>
  <si>
    <t>3523</t>
  </si>
  <si>
    <t>Support fabrication for cable tray &amp; structure  work</t>
  </si>
  <si>
    <t>Near water ro plant</t>
  </si>
  <si>
    <t>3525</t>
  </si>
  <si>
    <t xml:space="preserve">Earthing strip straightness and manually strip shifting </t>
  </si>
  <si>
    <t>Near new chillar to etp road</t>
  </si>
  <si>
    <t>3686</t>
  </si>
  <si>
    <t xml:space="preserve">Brick work, shuttering work, Pcc,  RCC, excavation, material shifting </t>
  </si>
  <si>
    <t>3687</t>
  </si>
  <si>
    <t xml:space="preserve">Pipe erection, lifting and shifting, </t>
  </si>
  <si>
    <t xml:space="preserve">9 :00 am </t>
  </si>
  <si>
    <t>3688</t>
  </si>
  <si>
    <t xml:space="preserve">Beam strengthing work, drilling and anchoring, and scaffolding erection </t>
  </si>
  <si>
    <t xml:space="preserve">Evaporator area </t>
  </si>
  <si>
    <t>9:35am</t>
  </si>
  <si>
    <t>3618</t>
  </si>
  <si>
    <t xml:space="preserve">Earthing cable laying and termination </t>
  </si>
  <si>
    <t>E.T.P&amp; R.o planl</t>
  </si>
  <si>
    <t>Sai electro</t>
  </si>
  <si>
    <t>9 : 42 AM</t>
  </si>
  <si>
    <t>9:58 am</t>
  </si>
  <si>
    <t>3956</t>
  </si>
  <si>
    <t xml:space="preserve">Material shifting scaffolding eraction and dismantle lifting shifting of pipeline and silicon silent use to gape closing se to gape close </t>
  </si>
  <si>
    <t>7:05 am</t>
  </si>
  <si>
    <t>4515</t>
  </si>
  <si>
    <t xml:space="preserve">Pipe line fabrication and installation work and pipe rack chiller welding and material shifting and housekeeping work </t>
  </si>
  <si>
    <t>4516</t>
  </si>
  <si>
    <t xml:space="preserve">Pipe line structure fabrication installation work and housekeeping and material shifting work </t>
  </si>
  <si>
    <t>3791</t>
  </si>
  <si>
    <t xml:space="preserve">Pipe dismantling work pipe cutting material shifting housekeeping scaffolding erection and dismantling work </t>
  </si>
  <si>
    <t>4005</t>
  </si>
  <si>
    <t>Pedastle Demolition work and debries shifting work</t>
  </si>
  <si>
    <t>9:48 Am</t>
  </si>
  <si>
    <t>4006</t>
  </si>
  <si>
    <t xml:space="preserve">Paint House keeping and manualy material shifting work </t>
  </si>
  <si>
    <t>Oil blinding area</t>
  </si>
  <si>
    <t>3842</t>
  </si>
  <si>
    <t xml:space="preserve">Koba dismentle, material shifting, debris removed for site, house keeping, plaster work, chipping work, steel cutting </t>
  </si>
  <si>
    <t xml:space="preserve">Evaporator terrace &amp; Evaporator </t>
  </si>
  <si>
    <t>3:06 PM</t>
  </si>
  <si>
    <t>3:00pm</t>
  </si>
  <si>
    <t>4007</t>
  </si>
  <si>
    <t xml:space="preserve">Barication of green net housekeeping </t>
  </si>
  <si>
    <t>ETP area</t>
  </si>
  <si>
    <t>15:45 PM</t>
  </si>
  <si>
    <t>15:50 PM</t>
  </si>
  <si>
    <t>4008</t>
  </si>
  <si>
    <t xml:space="preserve">Cooling tower flout Valve fitting </t>
  </si>
  <si>
    <t xml:space="preserve">Contren outside </t>
  </si>
  <si>
    <t>9:07</t>
  </si>
  <si>
    <t>3524</t>
  </si>
  <si>
    <t>Tray installation tray measurements</t>
  </si>
  <si>
    <t>Dg room to new chillar piperack</t>
  </si>
  <si>
    <t>07:00 pm</t>
  </si>
  <si>
    <t>07:02 pm</t>
  </si>
  <si>
    <t>3957</t>
  </si>
  <si>
    <t xml:space="preserve">SS pipe line fabrication, grinding, cutting, welding of cip tank line, material shifting, housekeeping </t>
  </si>
  <si>
    <t>08:30 pm</t>
  </si>
  <si>
    <t>733</t>
  </si>
  <si>
    <t xml:space="preserve">SS pipe line welding and grinding inside tank </t>
  </si>
  <si>
    <t>3690</t>
  </si>
  <si>
    <t xml:space="preserve">Pipe rake erection, material lifting, shifting and unloading using faranna and boom lift </t>
  </si>
  <si>
    <t xml:space="preserve">New chiller areas, MWRS, Near canteen areas </t>
  </si>
  <si>
    <t xml:space="preserve">Please proper Hard barricading at lifting areas </t>
  </si>
  <si>
    <t>3792</t>
  </si>
  <si>
    <t xml:space="preserve">Pipeline dismantling drum shifting and lifting scaffold erection and dismantling </t>
  </si>
  <si>
    <t xml:space="preserve">Refegeration </t>
  </si>
  <si>
    <t>3619</t>
  </si>
  <si>
    <t xml:space="preserve">Panal leinig discmental </t>
  </si>
  <si>
    <t>M.w.r.s</t>
  </si>
  <si>
    <t>7:05am</t>
  </si>
  <si>
    <t>7:23. Am</t>
  </si>
  <si>
    <t>779</t>
  </si>
  <si>
    <t xml:space="preserve">Pipe rack erection work </t>
  </si>
  <si>
    <t xml:space="preserve">Lifting area hard barricade &amp; maintain proper housekeeping </t>
  </si>
  <si>
    <t>3866</t>
  </si>
  <si>
    <t>OQ Activity and Housekeeping.</t>
  </si>
  <si>
    <t>3867</t>
  </si>
  <si>
    <t>Welding grinding cutting and material shifting, Hot work at height.</t>
  </si>
  <si>
    <t>3526</t>
  </si>
  <si>
    <t xml:space="preserve">Tray installation and tray shifting manually </t>
  </si>
  <si>
    <t>Near dg area</t>
  </si>
  <si>
    <t>3527</t>
  </si>
  <si>
    <t xml:space="preserve">Tray support fabrication and structure fabrication </t>
  </si>
  <si>
    <t>Near water ro area</t>
  </si>
  <si>
    <t>3528</t>
  </si>
  <si>
    <t xml:space="preserve">Earthing strip straightness </t>
  </si>
  <si>
    <t>Near etp road</t>
  </si>
  <si>
    <t>9 : 25AM</t>
  </si>
  <si>
    <t>9 : 28AM</t>
  </si>
  <si>
    <t>3959</t>
  </si>
  <si>
    <t xml:space="preserve">50mm,4 inch water supply line tapping work, pipe line fabrication &amp; installation, scaffold eraction, pipe line shifting with farana, cable tray installation with help of boom lift &amp; puff panel removed </t>
  </si>
  <si>
    <t xml:space="preserve">Colling tower </t>
  </si>
  <si>
    <t>9:48Am</t>
  </si>
  <si>
    <t>Pedastle Demolition work and debries shifting work steel cutting work</t>
  </si>
  <si>
    <t>9:48</t>
  </si>
  <si>
    <t>4009</t>
  </si>
  <si>
    <t xml:space="preserve">Tarfelt laying work used by scaffolding manually material shifting work </t>
  </si>
  <si>
    <t xml:space="preserve">9:00 Am </t>
  </si>
  <si>
    <t>3689</t>
  </si>
  <si>
    <t xml:space="preserve">Brick work, pcc , RCC, material shifting, scaffolding erection, grinding,  JCB compection </t>
  </si>
  <si>
    <t xml:space="preserve">Varun Sodhi name plz update </t>
  </si>
  <si>
    <t>4517</t>
  </si>
  <si>
    <t xml:space="preserve">Pipe line fabrication and installation work on pipe rack welding and material shifting and housekeeping work </t>
  </si>
  <si>
    <t>9:05am</t>
  </si>
  <si>
    <t>4518</t>
  </si>
  <si>
    <t xml:space="preserve">Pipe line and structure fabrication installation material shifting cooling tower installation and housekeeping work </t>
  </si>
  <si>
    <t>3620</t>
  </si>
  <si>
    <t xml:space="preserve">Cable dressing </t>
  </si>
  <si>
    <t>5 : 30 PM</t>
  </si>
  <si>
    <t>722</t>
  </si>
  <si>
    <t xml:space="preserve">200 nb ss pipe line lifting with farj </t>
  </si>
  <si>
    <t>07:22 pm</t>
  </si>
  <si>
    <t>07:30 pm</t>
  </si>
  <si>
    <t>3960</t>
  </si>
  <si>
    <t xml:space="preserve">SS pipe line fabrication, grinding, cutting, welding </t>
  </si>
  <si>
    <t>7:15 Am</t>
  </si>
  <si>
    <t>3692</t>
  </si>
  <si>
    <t xml:space="preserve">Beam strengthening work, Drilling Anchor fashnar fixing,plate erection </t>
  </si>
  <si>
    <t>3793</t>
  </si>
  <si>
    <t xml:space="preserve">Pipeline dismantling drum lifting scaffold erection and dismantling </t>
  </si>
  <si>
    <t>3868</t>
  </si>
  <si>
    <t>Welding Grinding, Cutting and material handling, K-2 Paste Cleaning.</t>
  </si>
  <si>
    <t>9:22Am</t>
  </si>
  <si>
    <t>3869</t>
  </si>
  <si>
    <t>OQ ACTIVITY, HOUSEKEEPING.</t>
  </si>
  <si>
    <t>3531</t>
  </si>
  <si>
    <t xml:space="preserve"> Tray support fabrication  and structure fabrication </t>
  </si>
  <si>
    <t>3961</t>
  </si>
  <si>
    <t xml:space="preserve">SS pipe line fabrication, grinding, cutting, welding and tank reducer cutting, welding </t>
  </si>
  <si>
    <t xml:space="preserve">Permit issuer by  - sunny kumar  </t>
  </si>
  <si>
    <t>3962</t>
  </si>
  <si>
    <t xml:space="preserve">Air pump frame fabrication and grinding, cutting and fixing </t>
  </si>
  <si>
    <t>Permit issuer by - Sunny kumar</t>
  </si>
  <si>
    <t>3963</t>
  </si>
  <si>
    <t xml:space="preserve">MS pipe line fabrication and installation </t>
  </si>
  <si>
    <t xml:space="preserve">Permit issuer by - Sunny kumar </t>
  </si>
  <si>
    <t>735</t>
  </si>
  <si>
    <t xml:space="preserve">Reducer cutting, welding &amp; grinding inside tank </t>
  </si>
  <si>
    <t xml:space="preserve">Permit issuer by - Sunny Kumar </t>
  </si>
  <si>
    <t>3530</t>
  </si>
  <si>
    <t xml:space="preserve">Tray installation ,tray shifting manually, house keeping </t>
  </si>
  <si>
    <t>Near chillar building pipe rack</t>
  </si>
  <si>
    <t>9:36am</t>
  </si>
  <si>
    <t>3846</t>
  </si>
  <si>
    <t xml:space="preserve">Chipping for slab &amp; beam, brick work dismantle, scaffolding erection and dismantle, steel cutting, material shifting, housekeeping </t>
  </si>
  <si>
    <t>Sunny</t>
  </si>
  <si>
    <t>11:45</t>
  </si>
  <si>
    <t>4522</t>
  </si>
  <si>
    <t xml:space="preserve">Pipe shifting </t>
  </si>
  <si>
    <t>11:50</t>
  </si>
  <si>
    <t>3795</t>
  </si>
  <si>
    <t xml:space="preserve">Cooling tower pipeline disconnect welding scaffolding erection and material shifting </t>
  </si>
  <si>
    <t>9:55am</t>
  </si>
  <si>
    <t>3621</t>
  </si>
  <si>
    <t xml:space="preserve">Light remove/D.B kebal connection </t>
  </si>
  <si>
    <t>4012</t>
  </si>
  <si>
    <t xml:space="preserve">Tarfelt and shail bond laying work, tarfelt cutting work material shifting, housekeeping work </t>
  </si>
  <si>
    <t>Vrun</t>
  </si>
  <si>
    <t>4013</t>
  </si>
  <si>
    <t xml:space="preserve">Demolition work, debris shifting work, wall cutting work, housekeeping </t>
  </si>
  <si>
    <t>11:20 AM</t>
  </si>
  <si>
    <t>4014</t>
  </si>
  <si>
    <t xml:space="preserve">Staircase cutting and modifications work </t>
  </si>
  <si>
    <t>Boiler roof</t>
  </si>
  <si>
    <t>2:30 PM</t>
  </si>
  <si>
    <t>2:45 PM</t>
  </si>
  <si>
    <t>4010</t>
  </si>
  <si>
    <t xml:space="preserve">Painting touchup work, housekeeping work </t>
  </si>
  <si>
    <t xml:space="preserve">Oil Belding </t>
  </si>
  <si>
    <t>9:40am</t>
  </si>
  <si>
    <t>10:55am</t>
  </si>
  <si>
    <t>3845</t>
  </si>
  <si>
    <t xml:space="preserve">Manually excavation, material shifting, housekeeping, area marking and scanning </t>
  </si>
  <si>
    <t>4520</t>
  </si>
  <si>
    <t xml:space="preserve">Housekeeping work </t>
  </si>
  <si>
    <t xml:space="preserve">Pipeline shifting </t>
  </si>
  <si>
    <t>4521</t>
  </si>
  <si>
    <t xml:space="preserve">Pipeline and structure fabrication </t>
  </si>
  <si>
    <t>3696</t>
  </si>
  <si>
    <t xml:space="preserve">Beam strengthening work, drilling, plate erection, scaffolding erection </t>
  </si>
  <si>
    <t xml:space="preserve">Please proper safe access and maintain housekeeping before and after work </t>
  </si>
  <si>
    <t>09:49 am</t>
  </si>
  <si>
    <t>3967</t>
  </si>
  <si>
    <t xml:space="preserve">65 mm pipe line fabrication and fixing, welding, grinding, cutting and support fixing with anchor fastener, scaffold erection &amp; dismantle </t>
  </si>
  <si>
    <t>Vrun </t>
  </si>
  <si>
    <t>3796</t>
  </si>
  <si>
    <t xml:space="preserve">Drum unloading and shifting by chain block and farina scaffolding dismantling material shifting housekeeping </t>
  </si>
  <si>
    <t>3872</t>
  </si>
  <si>
    <t>Pump stand installation, Hot work, OQ Activity, Housekeeping.</t>
  </si>
  <si>
    <t>3797</t>
  </si>
  <si>
    <t xml:space="preserve">Pipeline welding insulation of pipeline </t>
  </si>
  <si>
    <t>9:26Am</t>
  </si>
  <si>
    <t>9:38Am</t>
  </si>
  <si>
    <t>3879</t>
  </si>
  <si>
    <t>Welding, grinding, cutting, Material Shifting,Hot work at height, k-2 paste cleaning</t>
  </si>
  <si>
    <t>4523</t>
  </si>
  <si>
    <t xml:space="preserve">Pipe line fabrication installation work on pipe rack support and material shifting and housekeeping work </t>
  </si>
  <si>
    <t>4524</t>
  </si>
  <si>
    <t xml:space="preserve">Pipe line fabrication and cooling tower installation and material shifting and housekeeping </t>
  </si>
  <si>
    <t>9.45 am</t>
  </si>
  <si>
    <t>9.50 am</t>
  </si>
  <si>
    <t>3847</t>
  </si>
  <si>
    <t>Manually excavation, material shifting, housekeeping.</t>
  </si>
  <si>
    <t>Etp</t>
  </si>
  <si>
    <t>10:02Am</t>
  </si>
  <si>
    <t>4017</t>
  </si>
  <si>
    <t>Pedastle Demolition work debris shifting work and steel cutting work</t>
  </si>
  <si>
    <t>9:51</t>
  </si>
  <si>
    <t>4021</t>
  </si>
  <si>
    <t xml:space="preserve">Tarfelt laying work help of boom lift life line installation work material shifting </t>
  </si>
  <si>
    <t>Chiller area</t>
  </si>
  <si>
    <t>10:41 Am</t>
  </si>
  <si>
    <t>4023</t>
  </si>
  <si>
    <t>Epoxy paint work ramp cutting and repair housekeeping work</t>
  </si>
  <si>
    <t>11:18 Am</t>
  </si>
  <si>
    <t>4022</t>
  </si>
  <si>
    <t>Floor cabin paint work and housekeeping work</t>
  </si>
  <si>
    <t>3534</t>
  </si>
  <si>
    <t xml:space="preserve">Tray fabrication ,structure fabrication and support painting </t>
  </si>
  <si>
    <t>3535</t>
  </si>
  <si>
    <t xml:space="preserve">Cable tray fixing manually tray shifting, excavation for earthing pit manually, and house keeping </t>
  </si>
  <si>
    <t xml:space="preserve">Near new chillar building </t>
  </si>
  <si>
    <t xml:space="preserve">Esswin </t>
  </si>
  <si>
    <t>2:35</t>
  </si>
  <si>
    <t>3536</t>
  </si>
  <si>
    <t xml:space="preserve">Cable tray support  ,tray installation ,scaffolding erection and housekeeping </t>
  </si>
  <si>
    <t>Dg room</t>
  </si>
  <si>
    <t xml:space="preserve">9:40 AM </t>
  </si>
  <si>
    <t xml:space="preserve">9:45 AM </t>
  </si>
  <si>
    <t>3848</t>
  </si>
  <si>
    <t xml:space="preserve">Chipping for slab, beam, steel cutting, material shifting, house keeping, dabris removed for site </t>
  </si>
  <si>
    <t xml:space="preserve">Evaporator &amp; evaporator terrace </t>
  </si>
  <si>
    <t>4527</t>
  </si>
  <si>
    <t xml:space="preserve">Pipeline installation on pipe rack support installation by electrical team </t>
  </si>
  <si>
    <t>4528</t>
  </si>
  <si>
    <t xml:space="preserve">10:15 Am </t>
  </si>
  <si>
    <t>3737</t>
  </si>
  <si>
    <t xml:space="preserve">Chipping for slab &amp; beam, steel cutting, debris removed for site, house keeping </t>
  </si>
  <si>
    <t>3798</t>
  </si>
  <si>
    <t xml:space="preserve">Pipeline dismantling scaffolding erection and dismantling material shifting </t>
  </si>
  <si>
    <t xml:space="preserve">Dg corridor </t>
  </si>
  <si>
    <t>9:58</t>
  </si>
  <si>
    <t>3799</t>
  </si>
  <si>
    <t xml:space="preserve">Pipeline erecting and shifting insulation at Refegeration terrace </t>
  </si>
  <si>
    <t xml:space="preserve">MWRS pipe rack and Refegeration tere </t>
  </si>
  <si>
    <t>3971</t>
  </si>
  <si>
    <t xml:space="preserve">Tank ptaform railing fixing welding grinding cutting and 65mm line welding and fixing </t>
  </si>
  <si>
    <t xml:space="preserve">Evoporater terrace </t>
  </si>
  <si>
    <t>8:45am</t>
  </si>
  <si>
    <t>8:50am</t>
  </si>
  <si>
    <t>3973</t>
  </si>
  <si>
    <t>Scaffolding erection and dismantling supply water line modification and tapping work , fabrication,valve fixing with boom lift</t>
  </si>
  <si>
    <t>3537</t>
  </si>
  <si>
    <t xml:space="preserve">Support painting and housekeeping </t>
  </si>
  <si>
    <t>Water ro area</t>
  </si>
  <si>
    <t>3540</t>
  </si>
  <si>
    <t xml:space="preserve">Support fabrication </t>
  </si>
  <si>
    <t>3538</t>
  </si>
  <si>
    <t xml:space="preserve">Tray installation </t>
  </si>
  <si>
    <t>New chillar pipe rack</t>
  </si>
  <si>
    <t>3539</t>
  </si>
  <si>
    <t xml:space="preserve">Tray support fixing, scaffolding Erection and housekeeping </t>
  </si>
  <si>
    <t xml:space="preserve">9:15am </t>
  </si>
  <si>
    <t>4024</t>
  </si>
  <si>
    <t xml:space="preserve">Tarfelt shailbond laying work, Material shifting, housekeeping work </t>
  </si>
  <si>
    <t>Temporary chiller Roof</t>
  </si>
  <si>
    <t>4026</t>
  </si>
  <si>
    <t xml:space="preserve">Paint, putty work, tuchpoint closing work, material shifting, housekeeping </t>
  </si>
  <si>
    <t xml:space="preserve">Milk Tank </t>
  </si>
  <si>
    <t xml:space="preserve">9:08am </t>
  </si>
  <si>
    <t>4025</t>
  </si>
  <si>
    <t xml:space="preserve">Tarfelt &amp; Shailbond laying work, material shifting, housekeeping </t>
  </si>
  <si>
    <t xml:space="preserve">Project office Roof </t>
  </si>
  <si>
    <t>8:30 Am</t>
  </si>
  <si>
    <t>4027</t>
  </si>
  <si>
    <t xml:space="preserve">Tarfelt laying work use by scaffolding work and manually material shifting work </t>
  </si>
  <si>
    <t>4028</t>
  </si>
  <si>
    <t>8:45</t>
  </si>
  <si>
    <t xml:space="preserve"> Pedastle Demolition work and debries shifting work </t>
  </si>
  <si>
    <t>9.10am</t>
  </si>
  <si>
    <t>9.15am</t>
  </si>
  <si>
    <t>3974</t>
  </si>
  <si>
    <t xml:space="preserve">Manually excavation, material shifting, housekeeping </t>
  </si>
  <si>
    <t>3873</t>
  </si>
  <si>
    <t>OQ Activity, Welding, Grinding Activity, Work At Height.</t>
  </si>
  <si>
    <t>3975</t>
  </si>
  <si>
    <t xml:space="preserve">SS railing fixing and fabrication, grinding, cutting, welding, housekeeping, material shifting </t>
  </si>
  <si>
    <t>3874</t>
  </si>
  <si>
    <t>Welding grinding cutting,Hot work at height, Material Handling, Cable Termination.</t>
  </si>
  <si>
    <t>09:38 am</t>
  </si>
  <si>
    <t>3976</t>
  </si>
  <si>
    <t xml:space="preserve">Scaffolding dismantle &amp; erection and sensor fixing </t>
  </si>
  <si>
    <t>4030</t>
  </si>
  <si>
    <t>9:42Am</t>
  </si>
  <si>
    <t>Puff panel cutting and fixing work housekeeping work</t>
  </si>
  <si>
    <t>4031</t>
  </si>
  <si>
    <t xml:space="preserve">Tarfelt laying work use by boom boom and hot work </t>
  </si>
  <si>
    <t>3699</t>
  </si>
  <si>
    <t>3697</t>
  </si>
  <si>
    <t xml:space="preserve">Block work, PCC, RCC, shuttering, grinding, painting, not bolt fixing , scaffolding erection </t>
  </si>
  <si>
    <t>4529</t>
  </si>
  <si>
    <t xml:space="preserve">Pipe line fabrication and installation work and material shifting and panel installation and shifting and housekeeping work </t>
  </si>
  <si>
    <t>4530</t>
  </si>
  <si>
    <t xml:space="preserve">Pipe line fabrication and support and cooling tower installation and material shifting and housekeeping work </t>
  </si>
  <si>
    <t>3542</t>
  </si>
  <si>
    <t xml:space="preserve">Tray support fabrication &amp; manually tray shifting </t>
  </si>
  <si>
    <t>Near dg room road</t>
  </si>
  <si>
    <t>4531</t>
  </si>
  <si>
    <t xml:space="preserve">Pipe rack welding grinding buffing work and housekeeping work material shifting </t>
  </si>
  <si>
    <t>08:40 am</t>
  </si>
  <si>
    <t>3738</t>
  </si>
  <si>
    <t>Pipline fabrication work, insulation work, housekeeping work. Welding work.</t>
  </si>
  <si>
    <t>3541</t>
  </si>
  <si>
    <t xml:space="preserve">Support fabrication &amp;painting  and housekeeping </t>
  </si>
  <si>
    <t xml:space="preserve">9:35Am </t>
  </si>
  <si>
    <t>3876</t>
  </si>
  <si>
    <t>OQ Activity, Housekeeping.</t>
  </si>
  <si>
    <t>3875</t>
  </si>
  <si>
    <t xml:space="preserve">Welding grinding cutting, Work At Height, material handling </t>
  </si>
  <si>
    <t>9:20am</t>
  </si>
  <si>
    <t>4203</t>
  </si>
  <si>
    <t xml:space="preserve">Manual excavation, material shifting </t>
  </si>
  <si>
    <t>10:10am</t>
  </si>
  <si>
    <t>10:15am</t>
  </si>
  <si>
    <t>3980</t>
  </si>
  <si>
    <t>65mm pipe line tapping handrail cutting, grinding, welding and fixing</t>
  </si>
  <si>
    <t>Evoperater terrace</t>
  </si>
  <si>
    <t>Arun</t>
  </si>
  <si>
    <t>4033</t>
  </si>
  <si>
    <t>Tarfelt laying work help of boom lift Manual material shifting work</t>
  </si>
  <si>
    <t xml:space="preserve">9:11 </t>
  </si>
  <si>
    <t>4035</t>
  </si>
  <si>
    <t xml:space="preserve">Puff pannel fixing cutting work manual mateial shifting work </t>
  </si>
  <si>
    <t>4034</t>
  </si>
  <si>
    <t xml:space="preserve">Padestale Demolition work and debries shifting work </t>
  </si>
  <si>
    <t>11.10am</t>
  </si>
  <si>
    <t>12.00pm</t>
  </si>
  <si>
    <t>4204</t>
  </si>
  <si>
    <t xml:space="preserve">Manually excavation, material shifting </t>
  </si>
  <si>
    <t>Chillar building</t>
  </si>
  <si>
    <t>4036</t>
  </si>
  <si>
    <t xml:space="preserve">Tarfelt laying work use by scaffolding work and fabrication work </t>
  </si>
  <si>
    <t>10:02</t>
  </si>
  <si>
    <t>4037</t>
  </si>
  <si>
    <t>Stair case cutting and modification work and manual mateial shifting work</t>
  </si>
  <si>
    <t>Boiler arae</t>
  </si>
  <si>
    <t>3543</t>
  </si>
  <si>
    <t xml:space="preserve">Tray support fabrication and support painting &amp; housekeeping </t>
  </si>
  <si>
    <t>Water RO Area</t>
  </si>
  <si>
    <t>4534</t>
  </si>
  <si>
    <t>Support fabrication, pipe cutting, welding, material shifting, housekeeping.</t>
  </si>
  <si>
    <t>New chiller tarrece</t>
  </si>
  <si>
    <t>07:15 am</t>
  </si>
  <si>
    <t>07:25 am</t>
  </si>
  <si>
    <t>4533</t>
  </si>
  <si>
    <t>Pipeline support, fabrication, insulation work, material shifting, scaffolding &amp; dismantling, housekeeping.</t>
  </si>
  <si>
    <t>4202</t>
  </si>
  <si>
    <t xml:space="preserve">Beam strengthening, Drilling, Welding, Scaffolding erection </t>
  </si>
  <si>
    <t>10 : 05 AM</t>
  </si>
  <si>
    <t>10 : 25 AM</t>
  </si>
  <si>
    <t>3979</t>
  </si>
  <si>
    <t xml:space="preserve">Tank frame fabrication welding cutting grinding </t>
  </si>
  <si>
    <t>10:19 am</t>
  </si>
  <si>
    <t xml:space="preserve">65 mm pipe line tapping handrail cutting, grinding, welding and fixing, material shifting &amp; housekeeping </t>
  </si>
  <si>
    <t>5:25 PM</t>
  </si>
  <si>
    <t xml:space="preserve">5:25 PM </t>
  </si>
  <si>
    <t>4205</t>
  </si>
  <si>
    <t xml:space="preserve">Chipping for slab &amp; beam, koba dismentle, scaffolding erection &amp; dismentle,dl debris removed for site, house keeping, dewatering, material shifting </t>
  </si>
  <si>
    <t xml:space="preserve">Evaporator, Evaporator terrace </t>
  </si>
  <si>
    <t>4053</t>
  </si>
  <si>
    <t xml:space="preserve">Material shifting, lifting, beam strengthening work, drilling and welding work </t>
  </si>
  <si>
    <t>Eveporater areas (14.865 mtr)</t>
  </si>
  <si>
    <t xml:space="preserve">Maintain housekeeping before and after work, proper safe access </t>
  </si>
  <si>
    <t>4206</t>
  </si>
  <si>
    <t xml:space="preserve">Excavation work material shifting, housekeeping </t>
  </si>
  <si>
    <t xml:space="preserve">9:35am </t>
  </si>
  <si>
    <t>4207</t>
  </si>
  <si>
    <t xml:space="preserve">Manual excavation and dresing , material shifting </t>
  </si>
  <si>
    <t>3983</t>
  </si>
  <si>
    <t>65 mm pipe line support  fixing with anchor fastener, scaffold erection &amp; dismantle, welding, grinding, cutting, material shifting, housekeeping and tank platform railing welding,</t>
  </si>
  <si>
    <t>3878</t>
  </si>
  <si>
    <t xml:space="preserve">OQ Activity </t>
  </si>
  <si>
    <t>3982</t>
  </si>
  <si>
    <t xml:space="preserve">Tank frame fabrication , grinding, cutting, welding and painting work, material shifting &amp; housekeeping </t>
  </si>
  <si>
    <t>4040</t>
  </si>
  <si>
    <t xml:space="preserve">Puff panel cutting fixing work material shifting and structure fixing work </t>
  </si>
  <si>
    <t>4039</t>
  </si>
  <si>
    <t>Demolition work and Gp 2 filling and civil work and steel cutting work</t>
  </si>
  <si>
    <t>3545</t>
  </si>
  <si>
    <t xml:space="preserve">Tray support fabrication &amp; support painting </t>
  </si>
  <si>
    <t>Esswin</t>
  </si>
  <si>
    <t>3546</t>
  </si>
  <si>
    <t xml:space="preserve">Support structure welding </t>
  </si>
  <si>
    <t>Near new chillar building piperack</t>
  </si>
  <si>
    <t>9:20 An</t>
  </si>
  <si>
    <t>3877</t>
  </si>
  <si>
    <t xml:space="preserve">Welding grinding cutting, hot work at height, confined space </t>
  </si>
  <si>
    <t>2:25Pm</t>
  </si>
  <si>
    <t>2:30Pm</t>
  </si>
  <si>
    <t>736</t>
  </si>
  <si>
    <t xml:space="preserve">Hot work in confined space </t>
  </si>
  <si>
    <t>08:50 am</t>
  </si>
  <si>
    <t>4537</t>
  </si>
  <si>
    <t>Pipe cutting, welding, finishing, clamp fixing, material shifting, housekeeping &amp; insulation work.</t>
  </si>
  <si>
    <t>07:30 am</t>
  </si>
  <si>
    <t>4536</t>
  </si>
  <si>
    <t>Pipe cutting, welding, finishing, pipe Shifting, instrument installation, material shifting, housekeeping.</t>
  </si>
  <si>
    <t>3740</t>
  </si>
  <si>
    <t>Pipeline fabrication and insulation work and housekeeping.</t>
  </si>
  <si>
    <t>Refrigeration terrice</t>
  </si>
  <si>
    <t>4538</t>
  </si>
  <si>
    <t>Pipe cutting, welding, finishing, material shifting, insulation work, housekeeping.</t>
  </si>
  <si>
    <t>3626</t>
  </si>
  <si>
    <t xml:space="preserve">Cable dismental and cable laying </t>
  </si>
  <si>
    <t xml:space="preserve">M.W.R.S and refrigeration </t>
  </si>
  <si>
    <t>4051</t>
  </si>
  <si>
    <t xml:space="preserve">Block work painting work Rcc concrete shuttering di shuttering </t>
  </si>
  <si>
    <t xml:space="preserve">5:00 PM </t>
  </si>
  <si>
    <t>4208</t>
  </si>
  <si>
    <t xml:space="preserve">Scaffolding erection dismantling, material shifting, dabris removed for site, chipping for slab beam, wall dismantle </t>
  </si>
  <si>
    <t>4055</t>
  </si>
  <si>
    <t xml:space="preserve">Beam strengthening work, welding, Drilling work </t>
  </si>
  <si>
    <t>10:20 am</t>
  </si>
  <si>
    <t>10:25 am</t>
  </si>
  <si>
    <t>4156</t>
  </si>
  <si>
    <t xml:space="preserve">5 kl tank shifting with faranna at terrace and pipe line laying &amp; support fixing of upvc pipe and cutting, welding, grinding, material shifting &amp; housekeeping </t>
  </si>
  <si>
    <t>MWRS terrace</t>
  </si>
  <si>
    <t>3880</t>
  </si>
  <si>
    <t>9:41Am</t>
  </si>
  <si>
    <t xml:space="preserve">Welding, Grinding work at height, Material Handling, Confined space </t>
  </si>
  <si>
    <t>Meptrics</t>
  </si>
  <si>
    <t>10:30Am</t>
  </si>
  <si>
    <t>737</t>
  </si>
  <si>
    <t>Hot work and platform installation in side confined space</t>
  </si>
  <si>
    <t>3547</t>
  </si>
  <si>
    <t xml:space="preserve">Tray fixing, tray support fixing and housekeeping </t>
  </si>
  <si>
    <t>3986</t>
  </si>
  <si>
    <t xml:space="preserve">65 mm pipe line support fixing with anchor fastener, scaffold erection &amp; dismantle, tank railing welding &amp; cable tray welding, grinding, cutting, material shifting, housekeeping </t>
  </si>
  <si>
    <t>07:00 am</t>
  </si>
  <si>
    <t>4539</t>
  </si>
  <si>
    <t>Pipe cutting, welding, pipe Shifting, Structure fabrication,fixing woek, instrument insulation, cable tray fixing, material shifting, housekeeping.</t>
  </si>
  <si>
    <t>3741</t>
  </si>
  <si>
    <t>Pipeline fabrication,welding work,housekeeping,</t>
  </si>
  <si>
    <t>Soft room</t>
  </si>
  <si>
    <t>4043</t>
  </si>
  <si>
    <t xml:space="preserve">Demolition of wall debries shifting bar cutting work </t>
  </si>
  <si>
    <t>4044</t>
  </si>
  <si>
    <t xml:space="preserve">Stair case welding modification work Manual material shifting work </t>
  </si>
  <si>
    <t xml:space="preserve">10:10 </t>
  </si>
  <si>
    <t>4045</t>
  </si>
  <si>
    <t>Milk tank cleaning and was House keeping work</t>
  </si>
  <si>
    <t>3.30 pm</t>
  </si>
  <si>
    <t>3.45 pm</t>
  </si>
  <si>
    <t>4209</t>
  </si>
  <si>
    <t xml:space="preserve">Dewatering ,steel binding, shuttering, concreting </t>
  </si>
  <si>
    <t>3882</t>
  </si>
  <si>
    <t>OQ Activity.</t>
  </si>
  <si>
    <t xml:space="preserve">Oil Blending Area </t>
  </si>
  <si>
    <t>9:16 Am</t>
  </si>
  <si>
    <t>4057</t>
  </si>
  <si>
    <t xml:space="preserve">Beam strengthening work, Drilling and welding work </t>
  </si>
  <si>
    <t>09:16 am</t>
  </si>
  <si>
    <t>3989</t>
  </si>
  <si>
    <t xml:space="preserve">Tank finishing &amp; fabrication of tank and cable tray fixing welding, grinding, cutting, material shifting </t>
  </si>
  <si>
    <t>739</t>
  </si>
  <si>
    <t>Welding grinding cutting finishing in confined space.</t>
  </si>
  <si>
    <t>09:12 am</t>
  </si>
  <si>
    <t>3988</t>
  </si>
  <si>
    <t xml:space="preserve">FRP tank monkey ladder door fabrication, MS support fabrication railing fixing, MS support fabrication, grinding cutting welding, material shifting, housekeeping </t>
  </si>
  <si>
    <t>9:05An</t>
  </si>
  <si>
    <t>9:28Am</t>
  </si>
  <si>
    <t>3881</t>
  </si>
  <si>
    <t>Welding grinding cutting work at height, Confined space.</t>
  </si>
  <si>
    <t>9 : 10 AM</t>
  </si>
  <si>
    <t>4157</t>
  </si>
  <si>
    <t xml:space="preserve">5 kl water tank &amp; frame shifting pvc pipe line laying </t>
  </si>
  <si>
    <t xml:space="preserve">MWRS terrace </t>
  </si>
  <si>
    <t>09:51 am</t>
  </si>
  <si>
    <t>3990</t>
  </si>
  <si>
    <t xml:space="preserve">Puff pannel removing and cutting, material shifting, housekeeping </t>
  </si>
  <si>
    <t>07:35 am</t>
  </si>
  <si>
    <t>4541</t>
  </si>
  <si>
    <t>Pipe cutting, welding, structure fabrication, material shifting, pipe rek, housekeeping, cable tray, laying.</t>
  </si>
  <si>
    <t>4542</t>
  </si>
  <si>
    <t>MS Pipe installation work &amp; housekeeping.</t>
  </si>
  <si>
    <t>MWRS</t>
  </si>
  <si>
    <t>4540</t>
  </si>
  <si>
    <t xml:space="preserve">Support &amp; fabrication, Pipe cutting, welding, fabrication, drilling &amp; housekeeping </t>
  </si>
  <si>
    <t>New chiller Terrace</t>
  </si>
  <si>
    <t>4056</t>
  </si>
  <si>
    <t>Block work, pcc, RCC, shuttering, grinding, painting and Housekeeping,</t>
  </si>
  <si>
    <t>4048</t>
  </si>
  <si>
    <t xml:space="preserve">Wall Demolition work fabrication work </t>
  </si>
  <si>
    <t>4049</t>
  </si>
  <si>
    <t>Milk tank cleaning work and housekeeping work</t>
  </si>
  <si>
    <t>9:06</t>
  </si>
  <si>
    <t>4102</t>
  </si>
  <si>
    <t xml:space="preserve">Tray fixing, tray support fixing, painting, and housekeeping </t>
  </si>
  <si>
    <t>Dg room area</t>
  </si>
  <si>
    <t>4103</t>
  </si>
  <si>
    <t xml:space="preserve">Tray support fixing </t>
  </si>
  <si>
    <t>Near canteen road piperack</t>
  </si>
  <si>
    <t>4101</t>
  </si>
  <si>
    <t xml:space="preserve">Tray support fabrication, material shifting, housekeeping </t>
  </si>
  <si>
    <t>9:17 am</t>
  </si>
  <si>
    <t>3742</t>
  </si>
  <si>
    <t xml:space="preserve">Pipe line fabrication and installation work and housekeeping work </t>
  </si>
  <si>
    <t>9:56 AM</t>
  </si>
  <si>
    <t>4211</t>
  </si>
  <si>
    <t xml:space="preserve">Brick coba dismantle, material shifting, house keeping, wall dismantle, scaffolding dismantle </t>
  </si>
  <si>
    <t xml:space="preserve">Evaporator terrace, Evaporator </t>
  </si>
  <si>
    <t>10.00am</t>
  </si>
  <si>
    <t>10.20 am</t>
  </si>
  <si>
    <t>4212</t>
  </si>
  <si>
    <t xml:space="preserve">Dewatering, shuttering , material shifting </t>
  </si>
  <si>
    <t>9:53</t>
  </si>
  <si>
    <t>4252</t>
  </si>
  <si>
    <t xml:space="preserve">Stair case modification work material shifting work </t>
  </si>
  <si>
    <t>High risk Observation categories</t>
  </si>
  <si>
    <t>Count</t>
  </si>
  <si>
    <t>High risk observations</t>
  </si>
  <si>
    <t>Contractor</t>
  </si>
  <si>
    <t>Observations</t>
  </si>
  <si>
    <t>This will fill if more contractors are added</t>
  </si>
  <si>
    <t>Date</t>
  </si>
  <si>
    <t>Auditor Name</t>
  </si>
  <si>
    <t>Contractor type </t>
  </si>
  <si>
    <t>Type of PTW</t>
  </si>
  <si>
    <t>Area</t>
  </si>
  <si>
    <t>Issuer</t>
  </si>
  <si>
    <t>Authorizer</t>
  </si>
  <si>
    <t>1st Observation</t>
  </si>
  <si>
    <t>1st Category of Observation</t>
  </si>
  <si>
    <t>1st Severity</t>
  </si>
  <si>
    <t>2nd Observation</t>
  </si>
  <si>
    <t>2nd Category of Observation</t>
  </si>
  <si>
    <t>2nd Severity</t>
  </si>
  <si>
    <t>3rd Observation</t>
  </si>
  <si>
    <t>3rd Category of Observation</t>
  </si>
  <si>
    <t>3rd Severity</t>
  </si>
  <si>
    <t>4th Observation</t>
  </si>
  <si>
    <t>4th Category of Observation</t>
  </si>
  <si>
    <t>4th Severity</t>
  </si>
  <si>
    <t>5th Severity</t>
  </si>
  <si>
    <t>5th Observation</t>
  </si>
  <si>
    <t>5th Category of Observation</t>
  </si>
  <si>
    <t>Audited</t>
  </si>
  <si>
    <t xml:space="preserve">ANKUR KUMAR </t>
  </si>
  <si>
    <t>Project</t>
  </si>
  <si>
    <t>Height Work</t>
  </si>
  <si>
    <t xml:space="preserve">Ebevorator </t>
  </si>
  <si>
    <t xml:space="preserve">Emergency exit pathway not clear </t>
  </si>
  <si>
    <t>Housekeeping</t>
  </si>
  <si>
    <t xml:space="preserve">Cable routing not maintained as per standard </t>
  </si>
  <si>
    <t>Electrical safety</t>
  </si>
  <si>
    <t>2</t>
  </si>
  <si>
    <t>Hot work</t>
  </si>
  <si>
    <t xml:space="preserve">Aalanaa </t>
  </si>
  <si>
    <t xml:space="preserve">Work planned not shared </t>
  </si>
  <si>
    <t>Wrong Work Permit/No Permit</t>
  </si>
  <si>
    <t>3</t>
  </si>
  <si>
    <t xml:space="preserve">Fire watcher name and signed not mentioned on permit </t>
  </si>
  <si>
    <t>Fire Safety</t>
  </si>
  <si>
    <t xml:space="preserve">Anil kumar </t>
  </si>
  <si>
    <t>Lifting</t>
  </si>
  <si>
    <t>manoj</t>
  </si>
  <si>
    <t>Permit not closed after work completed</t>
  </si>
  <si>
    <t>Closing &amp; Authorization Issues</t>
  </si>
  <si>
    <t>Anil Kumar</t>
  </si>
  <si>
    <t>General</t>
  </si>
  <si>
    <t>Meterial shifting without Adiqute PPE's (Hand glaves)</t>
  </si>
  <si>
    <t>PPE</t>
  </si>
  <si>
    <t>Sahil</t>
  </si>
  <si>
    <t>Plant </t>
  </si>
  <si>
    <t>21346</t>
  </si>
  <si>
    <t>Satnam</t>
  </si>
  <si>
    <t>Tca ground floor</t>
  </si>
  <si>
    <t>Saurav</t>
  </si>
  <si>
    <t xml:space="preserve">Barrication of the are not done </t>
  </si>
  <si>
    <t>Barricading</t>
  </si>
  <si>
    <t xml:space="preserve">Person observed without googles </t>
  </si>
  <si>
    <t>Fluidline</t>
  </si>
  <si>
    <t>New chiller area</t>
  </si>
  <si>
    <t>Combustible material kept in the hot work area</t>
  </si>
  <si>
    <t xml:space="preserve">Person observed without google working near cutting &amp; grinding work </t>
  </si>
  <si>
    <t xml:space="preserve">Barrication of the area is not adequate </t>
  </si>
  <si>
    <t>Height work more than 6m started without safety authorization</t>
  </si>
  <si>
    <t>Shahnawaj</t>
  </si>
  <si>
    <t>Worker observed standing on scaffolding rungs without having platform</t>
  </si>
  <si>
    <t>Behavioral Issue -Unsafe Act</t>
  </si>
  <si>
    <t>Worker observed without tieng safety harness while working at height</t>
  </si>
  <si>
    <t xml:space="preserve">Ebevorator terrace </t>
  </si>
  <si>
    <t>During using grinder worker not wear gloves and ear plugs</t>
  </si>
  <si>
    <t xml:space="preserve">New chiller plant </t>
  </si>
  <si>
    <t xml:space="preserve">Scaffolding planks stacked on scaffolding plateform improper manners </t>
  </si>
  <si>
    <t>720</t>
  </si>
  <si>
    <t>Permit end date and time not maintained.</t>
  </si>
  <si>
    <t>4011</t>
  </si>
  <si>
    <t>Refrigeration out side near evaporator area</t>
  </si>
  <si>
    <t>Worker using hammer without hand gloves.</t>
  </si>
  <si>
    <t xml:space="preserve">Project office terrace </t>
  </si>
  <si>
    <t>Safety harness found in damaged condition.</t>
  </si>
  <si>
    <t>Refrigerator area</t>
  </si>
  <si>
    <t>Cable routing not proper at site</t>
  </si>
  <si>
    <t xml:space="preserve">Fire extinguisher not available at site during hot work </t>
  </si>
  <si>
    <t>Light not sufficient for work</t>
  </si>
  <si>
    <t>Inspection and Calibration</t>
  </si>
  <si>
    <t>3906</t>
  </si>
  <si>
    <t>Using grinder ear plugs not wear</t>
  </si>
  <si>
    <t>Anil kumar</t>
  </si>
  <si>
    <t>23926</t>
  </si>
  <si>
    <t xml:space="preserve">Oil blending near staircase </t>
  </si>
  <si>
    <t xml:space="preserve">Sourav </t>
  </si>
  <si>
    <t>The work permit was signed before its official issue time. The permit was authorized at 9:20, while the issue time is 10:20.</t>
  </si>
  <si>
    <t>23009</t>
  </si>
  <si>
    <t xml:space="preserve">Utility </t>
  </si>
  <si>
    <t xml:space="preserve">Jibran </t>
  </si>
  <si>
    <t>Pardeep saho</t>
  </si>
  <si>
    <t xml:space="preserve">Permit location not mentioned </t>
  </si>
  <si>
    <t xml:space="preserve">ANIL KUMAR </t>
  </si>
  <si>
    <t>Scaffold dismantling in progress. Red Tag displayed.</t>
  </si>
  <si>
    <t xml:space="preserve">ANIL kumar </t>
  </si>
  <si>
    <t>Varun sodhi</t>
  </si>
  <si>
    <t>Sharp edge on the DB canopy is not covered.</t>
  </si>
  <si>
    <t>Powered and Hand Tools</t>
  </si>
  <si>
    <t>Contractor supervisor signed missing.</t>
  </si>
  <si>
    <t>1</t>
  </si>
  <si>
    <t>4519</t>
  </si>
  <si>
    <t>Fire watcher person signed missing.</t>
  </si>
  <si>
    <t>Safety harness serial number not mentioned.</t>
  </si>
  <si>
    <t>3693</t>
  </si>
  <si>
    <t xml:space="preserve">Varun </t>
  </si>
  <si>
    <t xml:space="preserve">Person standing on block at height unsafe </t>
  </si>
  <si>
    <t>4</t>
  </si>
  <si>
    <t xml:space="preserve">Combustible material not covered </t>
  </si>
  <si>
    <t xml:space="preserve">Refrigerator </t>
  </si>
  <si>
    <t xml:space="preserve">Sharp edges not covered </t>
  </si>
  <si>
    <t xml:space="preserve">anil kumar </t>
  </si>
  <si>
    <t xml:space="preserve">KC flooring </t>
  </si>
  <si>
    <t>HCA</t>
  </si>
  <si>
    <t>Dinesh</t>
  </si>
  <si>
    <t>Jibran</t>
  </si>
  <si>
    <t xml:space="preserve">Contractor supervisor signed missing </t>
  </si>
  <si>
    <t xml:space="preserve">Jsa and MOS number not maintained </t>
  </si>
  <si>
    <t>3909</t>
  </si>
  <si>
    <t xml:space="preserve">Lifting aLifting activity started without protecting the electrical panel. </t>
  </si>
  <si>
    <t xml:space="preserve">Fire watcher person signed missing </t>
  </si>
  <si>
    <t>3694</t>
  </si>
  <si>
    <t xml:space="preserve">Person not wear helmet and reflection jecket inside chiller </t>
  </si>
  <si>
    <t xml:space="preserve">Scaffolding tag not apply,loose ledger, base jeck not installed worker working on it </t>
  </si>
  <si>
    <t xml:space="preserve">Paint was kept near by Hot work </t>
  </si>
  <si>
    <t xml:space="preserve">Task JSA not available </t>
  </si>
  <si>
    <t>TBT /JSA</t>
  </si>
  <si>
    <t xml:space="preserve">Hot work going on combustible material not covered </t>
  </si>
  <si>
    <t xml:space="preserve">Scaffolder standing on unsafe platform </t>
  </si>
  <si>
    <t xml:space="preserve">Ankur kumar </t>
  </si>
  <si>
    <t xml:space="preserve">Pathway is not clear Trip hazard observed </t>
  </si>
  <si>
    <t xml:space="preserve">Light not sufficient for work </t>
  </si>
  <si>
    <t xml:space="preserve">Scaffolding tag not apply </t>
  </si>
  <si>
    <t>Fire extinguisher not present near by Hot work</t>
  </si>
  <si>
    <t>Cable routing not proper at site and S book not used</t>
  </si>
  <si>
    <t>Loose electrical cables are improperly routed over scaffold and pipeline, creating trip and cable damage hazards.</t>
  </si>
  <si>
    <t xml:space="preserve">Wet and slippery floor due to water </t>
  </si>
  <si>
    <t xml:space="preserve">Combustible material not covered with fire blanket </t>
  </si>
  <si>
    <t xml:space="preserve">Worker used unsafe platform at 1 meter height </t>
  </si>
  <si>
    <t>Rajesh</t>
  </si>
  <si>
    <t>Zone 3</t>
  </si>
  <si>
    <t>Contractor Shed and Periphery</t>
  </si>
  <si>
    <t>Done</t>
  </si>
  <si>
    <t>Deepanshu</t>
  </si>
  <si>
    <t>Zone 4</t>
  </si>
  <si>
    <t>Oil Blending, Panel, Refrigeration Building &amp; Roof</t>
  </si>
  <si>
    <t>NA</t>
  </si>
  <si>
    <t>Rohit</t>
  </si>
  <si>
    <t>Zone 1</t>
  </si>
  <si>
    <t>Chiller and Oil Injection</t>
  </si>
  <si>
    <t>Leave</t>
  </si>
  <si>
    <t>Vivek</t>
  </si>
  <si>
    <t>Not Done</t>
  </si>
  <si>
    <t>Zone 2</t>
  </si>
  <si>
    <t>Evaporator Building</t>
  </si>
  <si>
    <t>Paras</t>
  </si>
  <si>
    <t>Nikunj</t>
  </si>
  <si>
    <t>Monty</t>
  </si>
  <si>
    <t>Om Prakash</t>
  </si>
  <si>
    <t>Anil</t>
  </si>
  <si>
    <t>No. of work permits issued</t>
  </si>
  <si>
    <t>No. of work permits closed</t>
  </si>
  <si>
    <t>No. of work permits audited</t>
  </si>
  <si>
    <t>No. of observations</t>
  </si>
  <si>
    <t>Critical observations</t>
  </si>
  <si>
    <t>Compliance %</t>
  </si>
  <si>
    <t>No. of high risk issued</t>
  </si>
  <si>
    <t>High risk executed</t>
  </si>
  <si>
    <t>Obs in high risk permits</t>
  </si>
  <si>
    <t>Top 3 contractor vs obs</t>
  </si>
  <si>
    <t>Top 3 observations</t>
  </si>
  <si>
    <t xml:space="preserve">Top 3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</si>
</sst>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1" xfId="0" applyBorder="1"/>
    <xf numFmtId="15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4" borderId="3" xfId="0" applyFont="1" applyFill="1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anone.sharepoint.com/sites/AMEA-IndiaCAPEXProjectsTeam/Shared%20Documents/General/92.%20Safety%20Dashboard/Project%20Himalaya_Safety%20Dashboard_v01.xlsx" TargetMode="External"/><Relationship Id="rId1" Type="http://schemas.openxmlformats.org/officeDocument/2006/relationships/externalLinkPath" Target="https://danone.sharepoint.com/sites/AMEA-IndiaCAPEXProjectsTeam/Shared%20Documents/General/92.%20Safety%20Dashboard/Project%20Himalaya_Safety%20Dashboard_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QAECOK40Em4UukdOsO8lYP7bo8fhN5Ljc2rvh3eLw2o_B24NX8wSJemCUnqXQFN" itemId="01DU5NGB27VUWNN3QASVHYLKPISGVMPMUS">
      <xxl21:absoluteUrl r:id="rId2"/>
    </xxl21:alternateUrls>
    <sheetNames>
      <sheetName val="Safety Contact"/>
      <sheetName val="PTW (2)"/>
      <sheetName val="Safety Dashboard"/>
      <sheetName val="PTW"/>
      <sheetName val="Work Plan"/>
      <sheetName val="Detail1"/>
      <sheetName val="PTW Record Pivot"/>
      <sheetName val="PTW Record"/>
      <sheetName val="Sheet5"/>
      <sheetName val="Safety Observations"/>
      <sheetName val="Sphera"/>
      <sheetName val="Today's Permit"/>
      <sheetName val="Safety Observations PTD"/>
      <sheetName val="Safety Observation-Contractors"/>
      <sheetName val="GEMBA"/>
      <sheetName val="Autofill Values"/>
      <sheetName val="Observation before-after"/>
      <sheetName val="Manhours Lost Summary"/>
      <sheetName val="Sheet3"/>
      <sheetName val="Sheet1"/>
      <sheetName val="Sheet2"/>
      <sheetName val="Safety Assessments"/>
      <sheetName val="Critical Activity"/>
      <sheetName val="Safety assesments 1"/>
      <sheetName val="Sheet4"/>
      <sheetName val="Sheet6"/>
      <sheetName val="Pyramid"/>
      <sheetName val="Manpower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Q3">
            <v>2907</v>
          </cell>
          <cell r="R3">
            <v>2832</v>
          </cell>
          <cell r="S3">
            <v>321</v>
          </cell>
          <cell r="T3">
            <v>314</v>
          </cell>
          <cell r="U3">
            <v>22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TWTable" displayName="PTWTable" ref="A1:R767" totalsRowShown="0">
  <autoFilter ref="A1:R767" xr:uid="{00000000-0009-0000-0100-000001000000}">
    <filterColumn colId="1">
      <filters>
        <dateGroupItem year="2026" month="6" day="11" dateTimeGrouping="day"/>
      </filters>
    </filterColumn>
  </autoFilter>
  <tableColumns count="18">
    <tableColumn id="1" xr3:uid="{00000000-0010-0000-0000-000001000000}" name="Id" dataDxfId="3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3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3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PTW Date">
      <extLst>
        <ext xmlns:xlmsforms="http://schemas.microsoft.com/office/spreadsheetml/2023/msForms" uri="{FCC71383-01E1-4257-9335-427F07BE8D7F}">
          <xlmsforms:question id="r6458b50cce0c450281fa72edcf9caf87"/>
        </ext>
      </extLst>
    </tableColumn>
    <tableColumn id="7" xr3:uid="{00000000-0010-0000-0000-000007000000}" name="PTW Issued Time" dataDxfId="34">
      <extLst>
        <ext xmlns:xlmsforms="http://schemas.microsoft.com/office/spreadsheetml/2023/msForms" uri="{FCC71383-01E1-4257-9335-427F07BE8D7F}">
          <xlmsforms:question id="r975f166b13a24df88f43e6ce67b99d9d"/>
        </ext>
      </extLst>
    </tableColumn>
    <tableColumn id="18" xr3:uid="{5B051FB0-C17A-4130-8A59-DFC5128271AB}" name="PTW Authorizer Time" dataDxfId="33">
      <extLst>
        <ext xmlns:xlmsforms="http://schemas.microsoft.com/office/spreadsheetml/2023/msForms" uri="{FCC71383-01E1-4257-9335-427F07BE8D7F}">
          <xlmsforms:question id="ra20b0fa2af174897b30ed1f1f50389a3"/>
        </ext>
      </extLst>
    </tableColumn>
    <tableColumn id="8" xr3:uid="{00000000-0010-0000-0000-000008000000}" name="PTW No" dataDxfId="32">
      <extLst>
        <ext xmlns:xlmsforms="http://schemas.microsoft.com/office/spreadsheetml/2023/msForms" uri="{FCC71383-01E1-4257-9335-427F07BE8D7F}">
          <xlmsforms:question id="ref33da00331a48458ae88ed071e9c7ea"/>
        </ext>
      </extLst>
    </tableColumn>
    <tableColumn id="9" xr3:uid="{00000000-0010-0000-0000-000009000000}" name="Work Description" dataDxfId="31">
      <extLst>
        <ext xmlns:xlmsforms="http://schemas.microsoft.com/office/spreadsheetml/2023/msForms" uri="{FCC71383-01E1-4257-9335-427F07BE8D7F}">
          <xlmsforms:question id="r5fb07d23fb114fe5b676867c117c49ed"/>
        </ext>
      </extLst>
    </tableColumn>
    <tableColumn id="10" xr3:uid="{00000000-0010-0000-0000-00000A000000}" name="Work Location" dataDxfId="30">
      <extLst>
        <ext xmlns:xlmsforms="http://schemas.microsoft.com/office/spreadsheetml/2023/msForms" uri="{FCC71383-01E1-4257-9335-427F07BE8D7F}">
          <xlmsforms:question id="r71ecf0fd0b194e24abcdaef331229ebc"/>
        </ext>
      </extLst>
    </tableColumn>
    <tableColumn id="11" xr3:uid="{00000000-0010-0000-0000-00000B000000}" name="Contractor Name " dataDxfId="29">
      <extLst>
        <ext xmlns:xlmsforms="http://schemas.microsoft.com/office/spreadsheetml/2023/msForms" uri="{FCC71383-01E1-4257-9335-427F07BE8D7F}">
          <xlmsforms:question id="rd6a919679df44e0abb1091049cf2ee4c"/>
        </ext>
      </extLst>
    </tableColumn>
    <tableColumn id="12" xr3:uid="{00000000-0010-0000-0000-00000C000000}" name="PTW Authorizer" dataDxfId="28">
      <extLst>
        <ext xmlns:xlmsforms="http://schemas.microsoft.com/office/spreadsheetml/2023/msForms" uri="{FCC71383-01E1-4257-9335-427F07BE8D7F}">
          <xlmsforms:question id="r9c11bab3eeb1483b863fd417fe6e6524"/>
        </ext>
      </extLst>
    </tableColumn>
    <tableColumn id="13" xr3:uid="{00000000-0010-0000-0000-00000D000000}" name="Permit Issuer" dataDxfId="27">
      <extLst>
        <ext xmlns:xlmsforms="http://schemas.microsoft.com/office/spreadsheetml/2023/msForms" uri="{FCC71383-01E1-4257-9335-427F07BE8D7F}">
          <xlmsforms:question id="r3d3e0f0a01f740a7b223628e0b2fb5aa"/>
        </ext>
      </extLst>
    </tableColumn>
    <tableColumn id="14" xr3:uid="{00000000-0010-0000-0000-00000E000000}" name="Special permission" dataDxfId="26">
      <extLst>
        <ext xmlns:xlmsforms="http://schemas.microsoft.com/office/spreadsheetml/2023/msForms" uri="{FCC71383-01E1-4257-9335-427F07BE8D7F}">
          <xlmsforms:question id="r8663bc66c1ad45ed879bf981251cac24"/>
        </ext>
      </extLst>
    </tableColumn>
    <tableColumn id="15" xr3:uid="{00000000-0010-0000-0000-00000F000000}" name="PTW Type" dataDxfId="25">
      <extLst>
        <ext xmlns:xlmsforms="http://schemas.microsoft.com/office/spreadsheetml/2023/msForms" uri="{FCC71383-01E1-4257-9335-427F07BE8D7F}">
          <xlmsforms:question id="rdc79d659d14b43a5b52043209ef0207b"/>
        </ext>
      </extLst>
    </tableColumn>
    <tableColumn id="16" xr3:uid="{00000000-0010-0000-0000-000010000000}" name="Risk " dataDxfId="24">
      <extLst>
        <ext xmlns:xlmsforms="http://schemas.microsoft.com/office/spreadsheetml/2023/msForms" uri="{FCC71383-01E1-4257-9335-427F07BE8D7F}">
          <xlmsforms:question id="rc471ebc4c557426aa5e86532a5447c4f"/>
        </ext>
      </extLst>
    </tableColumn>
    <tableColumn id="17" xr3:uid="{00000000-0010-0000-0000-000011000000}" name="Remarks" dataDxfId="23">
      <extLst>
        <ext xmlns:xlmsforms="http://schemas.microsoft.com/office/spreadsheetml/2023/msForms" uri="{FCC71383-01E1-4257-9335-427F07BE8D7F}">
          <xlmsforms:question id="rc5d6fe894c534b10aa2d15ddb5cb83c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Xu0gR0XF60aZpZWN0zPp8uLAF4NXkw1Pu-Kwocqjo-VUNDBRRDhRVjMzMVZOWkJUSUZTRlVRRkpPVy4u" isFormConnected="1" maxResponseId="766" latestEventMarker="75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r6458b50cce0c450281fa72edcf9caf87</xlmsforms:syncedQuestionId>
        <xlmsforms:syncedQuestionId>r975f166b13a24df88f43e6ce67b99d9d</xlmsforms:syncedQuestionId>
        <xlmsforms:syncedQuestionId>ref33da00331a48458ae88ed071e9c7ea</xlmsforms:syncedQuestionId>
        <xlmsforms:syncedQuestionId>r5fb07d23fb114fe5b676867c117c49ed</xlmsforms:syncedQuestionId>
        <xlmsforms:syncedQuestionId>r71ecf0fd0b194e24abcdaef331229ebc</xlmsforms:syncedQuestionId>
        <xlmsforms:syncedQuestionId>rd6a919679df44e0abb1091049cf2ee4c</xlmsforms:syncedQuestionId>
        <xlmsforms:syncedQuestionId>r9c11bab3eeb1483b863fd417fe6e6524</xlmsforms:syncedQuestionId>
        <xlmsforms:syncedQuestionId>r3d3e0f0a01f740a7b223628e0b2fb5aa</xlmsforms:syncedQuestionId>
        <xlmsforms:syncedQuestionId>r8663bc66c1ad45ed879bf981251cac24</xlmsforms:syncedQuestionId>
        <xlmsforms:syncedQuestionId>rdc79d659d14b43a5b52043209ef0207b</xlmsforms:syncedQuestionId>
        <xlmsforms:syncedQuestionId>rc471ebc4c557426aa5e86532a5447c4f</xlmsforms:syncedQuestionId>
        <xlmsforms:syncedQuestionId>rc5d6fe894c534b10aa2d15ddb5cb83cf</xlmsforms:syncedQuestionId>
        <xlmsforms:syncedQuestionId>ra20b0fa2af174897b30ed1f1f50389a3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CBF6CF-8A53-4274-8645-B2E8A4BA0BA8}" name="PTWAuditTable" displayName="PTWAuditTable" ref="A1:Y39" totalsRowShown="0">
  <autoFilter ref="A1:Y39" xr:uid="{3CCBF6CF-8A53-4274-8645-B2E8A4BA0BA8}">
    <filterColumn colId="1">
      <filters>
        <dateGroupItem year="2026" month="7" day="6" dateTimeGrouping="day"/>
        <dateGroupItem year="2026" month="7" day="7" dateTimeGrouping="day"/>
      </filters>
    </filterColumn>
  </autoFilter>
  <tableColumns count="25">
    <tableColumn id="3" xr3:uid="{8442F6CE-36C5-4C7E-A0A4-618B44C472DD}" name="Completion time"/>
    <tableColumn id="6" xr3:uid="{640D7BCD-DE66-49B1-A8D3-6629BD40BF32}" name="Date"/>
    <tableColumn id="7" xr3:uid="{26655B25-D5E1-4105-8E50-CA40DD4AC3B2}" name="Auditor Name" dataDxfId="22"/>
    <tableColumn id="8" xr3:uid="{33FE96C6-78E5-499D-BC38-993296EE8EFB}" name="Contractor type " dataDxfId="21"/>
    <tableColumn id="9" xr3:uid="{06B8F430-0230-405E-816D-F5730DEDE4D6}" name="PTW No" dataDxfId="20"/>
    <tableColumn id="10" xr3:uid="{8D96CFDE-7EEE-42E7-B3F8-074F739B8F3E}" name="Type of PTW" dataDxfId="19"/>
    <tableColumn id="11" xr3:uid="{1C498AC8-BF66-47D8-868D-4AA12D1D5AAF}" name="Contractor" dataDxfId="18"/>
    <tableColumn id="12" xr3:uid="{1FC42F51-3A27-4A80-BADF-A91C6B5802E3}" name="Area" dataDxfId="17"/>
    <tableColumn id="13" xr3:uid="{1D4AF127-72FC-4CDB-B357-8D46085780A6}" name="Issuer" dataDxfId="16"/>
    <tableColumn id="14" xr3:uid="{CD855324-EBA5-4B97-AA9E-94D70F0DE53B}" name="Authorizer" dataDxfId="15"/>
    <tableColumn id="15" xr3:uid="{7C536796-B8F7-4091-BAFD-55ACDCC2F7BE}" name="1st Observation" dataDxfId="14"/>
    <tableColumn id="16" xr3:uid="{09DD5068-1467-4ED2-924D-6E5BB0AD603A}" name="1st Category of Observation" dataDxfId="13"/>
    <tableColumn id="17" xr3:uid="{B01A70C5-6785-4C94-A253-6CF417132FA1}" name="1st Severity" dataDxfId="12"/>
    <tableColumn id="18" xr3:uid="{D9580C85-5387-4D47-A743-1FE69CF25205}" name="2nd Observation" dataDxfId="11"/>
    <tableColumn id="19" xr3:uid="{6B99D9CE-C166-41A3-B71A-920AFA42F9DF}" name="2nd Category of Observation" dataDxfId="10"/>
    <tableColumn id="20" xr3:uid="{1B22874E-5E90-48C8-833E-6657D6D559FE}" name="2nd Severity" dataDxfId="9"/>
    <tableColumn id="21" xr3:uid="{DD96A860-2788-4DD0-BADC-11760E367028}" name="3rd Observation" dataDxfId="8"/>
    <tableColumn id="22" xr3:uid="{ACCB6C3F-F08D-4727-A159-22DAB1783425}" name="3rd Category of Observation" dataDxfId="7"/>
    <tableColumn id="23" xr3:uid="{7D198864-9349-44A4-82D2-EDD5C969C008}" name="3rd Severity" dataDxfId="6"/>
    <tableColumn id="24" xr3:uid="{90166522-083A-4056-B0FF-92AB967D04DB}" name="4th Observation" dataDxfId="5"/>
    <tableColumn id="25" xr3:uid="{BB2023BB-25F5-4865-94FC-1FFF534B4F30}" name="4th Category of Observation" dataDxfId="4"/>
    <tableColumn id="26" xr3:uid="{56A49189-6E82-4E20-A109-D6F5F1E2A2C8}" name="4th Severity" dataDxfId="3"/>
    <tableColumn id="29" xr3:uid="{89C3A935-BCEB-4A72-A5AE-E4604E00FC66}" name="5th Severity" dataDxfId="2"/>
    <tableColumn id="27" xr3:uid="{AE076D63-DFDE-4CE5-B50F-B48C8444D633}" name="5th Observation" dataDxfId="1"/>
    <tableColumn id="28" xr3:uid="{07AAFE67-71DC-4104-8E3E-61D0A2F390FC}" name="5th Category of Observ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7"/>
  <sheetViews>
    <sheetView topLeftCell="A206" workbookViewId="0">
      <selection activeCell="B215" sqref="B215"/>
    </sheetView>
  </sheetViews>
  <sheetFormatPr defaultRowHeight="15"/>
  <cols>
    <col min="1" max="7" width="20" bestFit="1" customWidth="1"/>
    <col min="8" max="8" width="19" customWidth="1"/>
    <col min="9" max="9" width="88" customWidth="1"/>
    <col min="10" max="10" width="42.5703125" bestFit="1" customWidth="1"/>
    <col min="11" max="14" width="20" bestFit="1" customWidth="1"/>
    <col min="15" max="15" width="53" bestFit="1" customWidth="1"/>
    <col min="16" max="16" width="12.42578125" bestFit="1" customWidth="1"/>
    <col min="17" max="17" width="146.28515625" bestFit="1" customWidth="1"/>
    <col min="18" max="18" width="162.2851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3">
        <v>46167.870046296295</v>
      </c>
      <c r="C2" s="3">
        <v>46167.872824074075</v>
      </c>
      <c r="D2" t="s">
        <v>18</v>
      </c>
      <c r="F2" s="1">
        <v>46167</v>
      </c>
      <c r="G2" t="s">
        <v>19</v>
      </c>
      <c r="I2" s="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</row>
    <row r="3" spans="1:18">
      <c r="A3">
        <v>2</v>
      </c>
      <c r="B3" s="3">
        <v>46168.438807870371</v>
      </c>
      <c r="C3" s="3">
        <v>46168.441666666666</v>
      </c>
      <c r="D3" t="s">
        <v>18</v>
      </c>
      <c r="F3" s="1">
        <v>46168</v>
      </c>
      <c r="G3" t="s">
        <v>28</v>
      </c>
      <c r="I3" s="2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27</v>
      </c>
    </row>
    <row r="4" spans="1:18">
      <c r="A4">
        <v>3</v>
      </c>
      <c r="B4" s="3">
        <v>46168.525983796295</v>
      </c>
      <c r="C4" s="3">
        <v>46168.535914351851</v>
      </c>
      <c r="D4" t="s">
        <v>18</v>
      </c>
      <c r="F4" s="1">
        <v>46168</v>
      </c>
      <c r="G4" t="s">
        <v>37</v>
      </c>
      <c r="I4" s="2" t="s">
        <v>38</v>
      </c>
      <c r="J4" t="s">
        <v>39</v>
      </c>
      <c r="K4" t="s">
        <v>40</v>
      </c>
      <c r="L4" t="s">
        <v>23</v>
      </c>
      <c r="M4" t="s">
        <v>33</v>
      </c>
      <c r="N4" t="s">
        <v>34</v>
      </c>
      <c r="O4" t="s">
        <v>25</v>
      </c>
      <c r="P4" t="s">
        <v>26</v>
      </c>
      <c r="Q4" t="s">
        <v>27</v>
      </c>
    </row>
    <row r="5" spans="1:18">
      <c r="A5">
        <v>4</v>
      </c>
      <c r="B5" s="3">
        <v>46168.602546296293</v>
      </c>
      <c r="C5" s="3">
        <v>46168.606620370374</v>
      </c>
      <c r="D5" t="s">
        <v>18</v>
      </c>
      <c r="F5" s="1">
        <v>46168</v>
      </c>
      <c r="G5" t="s">
        <v>41</v>
      </c>
      <c r="I5" s="2" t="s">
        <v>42</v>
      </c>
      <c r="J5" t="s">
        <v>43</v>
      </c>
      <c r="K5" t="s">
        <v>31</v>
      </c>
      <c r="L5" t="s">
        <v>44</v>
      </c>
      <c r="M5" t="s">
        <v>34</v>
      </c>
      <c r="N5" t="s">
        <v>45</v>
      </c>
      <c r="O5" t="s">
        <v>25</v>
      </c>
      <c r="P5" t="s">
        <v>36</v>
      </c>
      <c r="Q5" t="s">
        <v>27</v>
      </c>
    </row>
    <row r="6" spans="1:18">
      <c r="A6">
        <v>5</v>
      </c>
      <c r="B6" s="3">
        <v>46168.654583333337</v>
      </c>
      <c r="C6" s="3">
        <v>46168.6559837963</v>
      </c>
      <c r="D6" t="s">
        <v>18</v>
      </c>
      <c r="F6" s="1">
        <v>46168</v>
      </c>
      <c r="G6" t="s">
        <v>46</v>
      </c>
      <c r="I6" s="2" t="s">
        <v>47</v>
      </c>
      <c r="J6" t="s">
        <v>48</v>
      </c>
      <c r="K6" t="s">
        <v>49</v>
      </c>
      <c r="L6" t="s">
        <v>44</v>
      </c>
      <c r="M6" t="s">
        <v>45</v>
      </c>
      <c r="N6" t="s">
        <v>24</v>
      </c>
      <c r="O6" t="s">
        <v>25</v>
      </c>
      <c r="P6" t="s">
        <v>50</v>
      </c>
      <c r="Q6" t="s">
        <v>27</v>
      </c>
    </row>
    <row r="7" spans="1:18">
      <c r="A7">
        <v>6</v>
      </c>
      <c r="B7" s="3">
        <v>46168.830613425926</v>
      </c>
      <c r="C7" s="3">
        <v>46168.833368055559</v>
      </c>
      <c r="D7" t="s">
        <v>18</v>
      </c>
      <c r="F7" s="1">
        <v>46168</v>
      </c>
      <c r="G7" t="s">
        <v>51</v>
      </c>
      <c r="I7" s="2" t="s">
        <v>52</v>
      </c>
      <c r="J7" t="s">
        <v>53</v>
      </c>
      <c r="K7" t="s">
        <v>54</v>
      </c>
      <c r="L7" t="s">
        <v>23</v>
      </c>
      <c r="M7" t="s">
        <v>24</v>
      </c>
      <c r="N7" t="s">
        <v>24</v>
      </c>
      <c r="O7" t="s">
        <v>25</v>
      </c>
      <c r="P7" t="s">
        <v>55</v>
      </c>
      <c r="Q7" t="s">
        <v>27</v>
      </c>
    </row>
    <row r="8" spans="1:18">
      <c r="A8">
        <v>7</v>
      </c>
      <c r="B8" s="3">
        <v>46169.404722222222</v>
      </c>
      <c r="C8" s="3">
        <v>46169.406273148146</v>
      </c>
      <c r="D8" t="s">
        <v>18</v>
      </c>
      <c r="F8" s="1">
        <v>46169</v>
      </c>
      <c r="G8" t="s">
        <v>56</v>
      </c>
      <c r="I8" s="2" t="s">
        <v>57</v>
      </c>
      <c r="J8" t="s">
        <v>58</v>
      </c>
      <c r="K8" t="s">
        <v>59</v>
      </c>
      <c r="L8" t="s">
        <v>32</v>
      </c>
      <c r="M8" t="s">
        <v>60</v>
      </c>
      <c r="N8" t="s">
        <v>61</v>
      </c>
      <c r="O8" t="s">
        <v>25</v>
      </c>
      <c r="P8" t="s">
        <v>50</v>
      </c>
      <c r="Q8" t="s">
        <v>27</v>
      </c>
    </row>
    <row r="9" spans="1:18">
      <c r="A9">
        <v>8</v>
      </c>
      <c r="B9" s="3">
        <v>46169.460162037038</v>
      </c>
      <c r="C9" s="3">
        <v>46169.462094907409</v>
      </c>
      <c r="D9" t="s">
        <v>18</v>
      </c>
      <c r="F9" s="1">
        <v>46169</v>
      </c>
      <c r="G9" t="s">
        <v>62</v>
      </c>
      <c r="I9" s="2" t="s">
        <v>63</v>
      </c>
      <c r="J9" t="s">
        <v>64</v>
      </c>
      <c r="K9" t="s">
        <v>31</v>
      </c>
      <c r="L9" t="s">
        <v>44</v>
      </c>
      <c r="M9" t="s">
        <v>45</v>
      </c>
      <c r="N9" t="s">
        <v>61</v>
      </c>
      <c r="O9" t="s">
        <v>25</v>
      </c>
      <c r="P9" t="s">
        <v>36</v>
      </c>
      <c r="Q9" t="s">
        <v>27</v>
      </c>
    </row>
    <row r="10" spans="1:18">
      <c r="A10">
        <v>9</v>
      </c>
      <c r="B10" s="3">
        <v>46169.462488425925</v>
      </c>
      <c r="C10" s="3">
        <v>46169.465173611112</v>
      </c>
      <c r="D10" t="s">
        <v>18</v>
      </c>
      <c r="F10" s="1">
        <v>46169</v>
      </c>
      <c r="G10" t="s">
        <v>65</v>
      </c>
      <c r="I10" s="2" t="s">
        <v>66</v>
      </c>
      <c r="J10" t="s">
        <v>67</v>
      </c>
      <c r="K10" t="s">
        <v>68</v>
      </c>
      <c r="L10" t="s">
        <v>44</v>
      </c>
      <c r="M10" t="s">
        <v>45</v>
      </c>
      <c r="N10" t="s">
        <v>61</v>
      </c>
      <c r="O10" t="s">
        <v>25</v>
      </c>
      <c r="P10" t="s">
        <v>69</v>
      </c>
      <c r="Q10" t="s">
        <v>27</v>
      </c>
    </row>
    <row r="11" spans="1:18">
      <c r="A11">
        <v>10</v>
      </c>
      <c r="B11" s="3">
        <v>46169.465196759258</v>
      </c>
      <c r="C11" s="3">
        <v>46169.467013888891</v>
      </c>
      <c r="D11" t="s">
        <v>18</v>
      </c>
      <c r="F11" s="1">
        <v>46169</v>
      </c>
      <c r="G11" t="s">
        <v>65</v>
      </c>
      <c r="I11" s="2" t="s">
        <v>70</v>
      </c>
      <c r="J11" t="s">
        <v>71</v>
      </c>
      <c r="K11" t="s">
        <v>72</v>
      </c>
      <c r="L11" t="s">
        <v>44</v>
      </c>
      <c r="M11" t="s">
        <v>45</v>
      </c>
      <c r="N11" t="s">
        <v>61</v>
      </c>
      <c r="O11" t="s">
        <v>25</v>
      </c>
      <c r="P11" t="s">
        <v>50</v>
      </c>
      <c r="Q11" t="s">
        <v>27</v>
      </c>
    </row>
    <row r="12" spans="1:18">
      <c r="A12">
        <v>11</v>
      </c>
      <c r="B12" s="3">
        <v>46169.78392361111</v>
      </c>
      <c r="C12" s="3">
        <v>46169.786145833335</v>
      </c>
      <c r="D12" t="s">
        <v>18</v>
      </c>
      <c r="F12" s="1">
        <v>46169</v>
      </c>
      <c r="G12" t="s">
        <v>73</v>
      </c>
      <c r="I12" s="2" t="s">
        <v>74</v>
      </c>
      <c r="J12" t="s">
        <v>75</v>
      </c>
      <c r="K12" t="s">
        <v>22</v>
      </c>
      <c r="L12" t="s">
        <v>23</v>
      </c>
      <c r="M12" t="s">
        <v>33</v>
      </c>
      <c r="N12" t="s">
        <v>60</v>
      </c>
      <c r="O12" t="s">
        <v>25</v>
      </c>
      <c r="P12" t="s">
        <v>26</v>
      </c>
      <c r="Q12" t="s">
        <v>27</v>
      </c>
    </row>
    <row r="13" spans="1:18">
      <c r="A13">
        <v>12</v>
      </c>
      <c r="B13" s="3">
        <v>46169.783935185187</v>
      </c>
      <c r="C13" s="3">
        <v>46169.787870370368</v>
      </c>
      <c r="D13" t="s">
        <v>18</v>
      </c>
      <c r="F13" s="1">
        <v>46169</v>
      </c>
      <c r="G13" t="s">
        <v>76</v>
      </c>
      <c r="I13" s="2" t="s">
        <v>77</v>
      </c>
      <c r="J13" t="s">
        <v>78</v>
      </c>
      <c r="K13" t="s">
        <v>22</v>
      </c>
      <c r="L13" t="s">
        <v>23</v>
      </c>
      <c r="M13" t="s">
        <v>60</v>
      </c>
      <c r="N13" t="s">
        <v>33</v>
      </c>
      <c r="O13" t="s">
        <v>25</v>
      </c>
      <c r="P13" t="s">
        <v>55</v>
      </c>
      <c r="Q13" t="s">
        <v>79</v>
      </c>
    </row>
    <row r="14" spans="1:18">
      <c r="A14">
        <v>13</v>
      </c>
      <c r="B14" s="3">
        <v>46170.445173611108</v>
      </c>
      <c r="C14" s="3">
        <v>46170.446655092594</v>
      </c>
      <c r="D14" t="s">
        <v>18</v>
      </c>
      <c r="F14" s="1">
        <v>46170</v>
      </c>
      <c r="G14" t="s">
        <v>80</v>
      </c>
      <c r="I14" s="2" t="s">
        <v>81</v>
      </c>
      <c r="J14" t="s">
        <v>82</v>
      </c>
      <c r="K14" t="s">
        <v>31</v>
      </c>
      <c r="L14" t="s">
        <v>44</v>
      </c>
      <c r="M14" t="s">
        <v>34</v>
      </c>
      <c r="N14" t="s">
        <v>61</v>
      </c>
      <c r="O14" t="s">
        <v>25</v>
      </c>
      <c r="P14" t="s">
        <v>50</v>
      </c>
      <c r="Q14" t="s">
        <v>27</v>
      </c>
    </row>
    <row r="15" spans="1:18">
      <c r="A15">
        <v>14</v>
      </c>
      <c r="B15" s="3">
        <v>46170.446076388886</v>
      </c>
      <c r="C15" s="3">
        <v>46170.452662037038</v>
      </c>
      <c r="D15" t="s">
        <v>18</v>
      </c>
      <c r="F15" s="1">
        <v>46170</v>
      </c>
      <c r="G15" t="s">
        <v>83</v>
      </c>
      <c r="I15" s="2" t="s">
        <v>84</v>
      </c>
      <c r="J15" t="s">
        <v>85</v>
      </c>
      <c r="K15" t="s">
        <v>31</v>
      </c>
      <c r="L15" t="s">
        <v>32</v>
      </c>
      <c r="M15" t="s">
        <v>34</v>
      </c>
      <c r="N15" t="s">
        <v>61</v>
      </c>
      <c r="O15" t="s">
        <v>25</v>
      </c>
      <c r="P15" t="s">
        <v>86</v>
      </c>
      <c r="Q15" t="s">
        <v>27</v>
      </c>
    </row>
    <row r="16" spans="1:18">
      <c r="A16">
        <v>15</v>
      </c>
      <c r="B16" s="3">
        <v>46170.545960648102</v>
      </c>
      <c r="C16" s="3">
        <v>46170.5477314815</v>
      </c>
      <c r="D16" s="4" t="s">
        <v>18</v>
      </c>
      <c r="E16" s="4"/>
      <c r="F16" s="1">
        <v>46170</v>
      </c>
      <c r="G16" s="4" t="s">
        <v>87</v>
      </c>
      <c r="H16" s="4"/>
      <c r="I16" s="5" t="s">
        <v>88</v>
      </c>
      <c r="J16" s="4" t="s">
        <v>89</v>
      </c>
      <c r="K16" s="4" t="s">
        <v>90</v>
      </c>
      <c r="L16" s="4" t="s">
        <v>91</v>
      </c>
      <c r="M16" s="4" t="s">
        <v>61</v>
      </c>
      <c r="N16" s="4" t="s">
        <v>34</v>
      </c>
      <c r="O16" s="4" t="s">
        <v>35</v>
      </c>
      <c r="P16" s="4" t="s">
        <v>92</v>
      </c>
      <c r="Q16" s="4" t="s">
        <v>93</v>
      </c>
      <c r="R16" s="4"/>
    </row>
    <row r="17" spans="1:18">
      <c r="A17">
        <v>16</v>
      </c>
      <c r="B17" s="3">
        <v>46170.547037037002</v>
      </c>
      <c r="C17" s="3">
        <v>46170.550439814797</v>
      </c>
      <c r="D17" s="4" t="s">
        <v>18</v>
      </c>
      <c r="E17" s="4"/>
      <c r="F17" s="1">
        <v>46170</v>
      </c>
      <c r="G17" s="4" t="s">
        <v>94</v>
      </c>
      <c r="H17" s="4"/>
      <c r="I17" s="5" t="s">
        <v>95</v>
      </c>
      <c r="J17" s="4" t="s">
        <v>96</v>
      </c>
      <c r="K17" s="4" t="s">
        <v>97</v>
      </c>
      <c r="L17" s="4" t="s">
        <v>98</v>
      </c>
      <c r="M17" s="4" t="s">
        <v>34</v>
      </c>
      <c r="N17" s="4" t="s">
        <v>61</v>
      </c>
      <c r="O17" s="4" t="s">
        <v>25</v>
      </c>
      <c r="P17" s="4" t="s">
        <v>50</v>
      </c>
      <c r="Q17" s="4" t="s">
        <v>93</v>
      </c>
      <c r="R17" s="4"/>
    </row>
    <row r="18" spans="1:18">
      <c r="A18">
        <v>17</v>
      </c>
      <c r="B18" s="3">
        <v>46170.550868055601</v>
      </c>
      <c r="C18" s="3">
        <v>46170.554537037002</v>
      </c>
      <c r="D18" s="4" t="s">
        <v>18</v>
      </c>
      <c r="E18" s="4"/>
      <c r="F18" s="1">
        <v>46170</v>
      </c>
      <c r="G18" s="4" t="s">
        <v>99</v>
      </c>
      <c r="H18" s="4"/>
      <c r="I18" s="5" t="s">
        <v>100</v>
      </c>
      <c r="J18" s="4" t="s">
        <v>101</v>
      </c>
      <c r="K18" s="4" t="s">
        <v>102</v>
      </c>
      <c r="L18" s="4" t="s">
        <v>98</v>
      </c>
      <c r="M18" s="4" t="s">
        <v>34</v>
      </c>
      <c r="N18" s="4" t="s">
        <v>61</v>
      </c>
      <c r="O18" s="4" t="s">
        <v>25</v>
      </c>
      <c r="P18" s="4" t="s">
        <v>36</v>
      </c>
      <c r="Q18" s="4" t="s">
        <v>27</v>
      </c>
      <c r="R18" s="4"/>
    </row>
    <row r="19" spans="1:18">
      <c r="A19">
        <v>18</v>
      </c>
      <c r="B19" s="3">
        <v>46170.590972222199</v>
      </c>
      <c r="C19" s="3">
        <v>46170.592384259297</v>
      </c>
      <c r="D19" s="4" t="s">
        <v>18</v>
      </c>
      <c r="E19" s="4"/>
      <c r="F19" s="1">
        <v>46170</v>
      </c>
      <c r="G19" s="4" t="s">
        <v>62</v>
      </c>
      <c r="H19" s="4"/>
      <c r="I19" s="5" t="s">
        <v>103</v>
      </c>
      <c r="J19" s="4" t="s">
        <v>104</v>
      </c>
      <c r="K19" s="4" t="s">
        <v>49</v>
      </c>
      <c r="L19" s="4" t="s">
        <v>44</v>
      </c>
      <c r="M19" s="4" t="s">
        <v>61</v>
      </c>
      <c r="N19" s="4" t="s">
        <v>24</v>
      </c>
      <c r="O19" s="4" t="s">
        <v>25</v>
      </c>
      <c r="P19" s="4" t="s">
        <v>50</v>
      </c>
      <c r="Q19" s="4" t="s">
        <v>27</v>
      </c>
      <c r="R19" s="4"/>
    </row>
    <row r="20" spans="1:18">
      <c r="A20">
        <v>19</v>
      </c>
      <c r="B20" s="3">
        <v>46170.592789351896</v>
      </c>
      <c r="C20" s="3">
        <v>46170.593807870398</v>
      </c>
      <c r="D20" s="4" t="s">
        <v>18</v>
      </c>
      <c r="E20" s="4"/>
      <c r="F20" s="1">
        <v>46170</v>
      </c>
      <c r="G20" s="4" t="s">
        <v>105</v>
      </c>
      <c r="H20" s="4"/>
      <c r="I20" s="5" t="s">
        <v>106</v>
      </c>
      <c r="J20" s="4" t="s">
        <v>107</v>
      </c>
      <c r="K20" s="4" t="s">
        <v>108</v>
      </c>
      <c r="L20" s="4" t="s">
        <v>44</v>
      </c>
      <c r="M20" s="4" t="s">
        <v>34</v>
      </c>
      <c r="N20" s="4" t="s">
        <v>61</v>
      </c>
      <c r="O20" s="4" t="s">
        <v>25</v>
      </c>
      <c r="P20" s="4" t="s">
        <v>69</v>
      </c>
      <c r="Q20" s="4" t="s">
        <v>27</v>
      </c>
      <c r="R20" s="4"/>
    </row>
    <row r="21" spans="1:18">
      <c r="A21">
        <v>20</v>
      </c>
      <c r="B21" s="3">
        <v>46170.594363425902</v>
      </c>
      <c r="C21" s="3">
        <v>46170.595833333296</v>
      </c>
      <c r="D21" s="4" t="s">
        <v>18</v>
      </c>
      <c r="E21" s="4"/>
      <c r="F21" s="1">
        <v>46170</v>
      </c>
      <c r="G21" s="4" t="s">
        <v>62</v>
      </c>
      <c r="H21" s="4"/>
      <c r="I21" s="5" t="s">
        <v>109</v>
      </c>
      <c r="J21" s="4" t="s">
        <v>110</v>
      </c>
      <c r="K21" s="4" t="s">
        <v>111</v>
      </c>
      <c r="L21" s="4" t="s">
        <v>91</v>
      </c>
      <c r="M21" s="4" t="s">
        <v>112</v>
      </c>
      <c r="N21" s="4" t="s">
        <v>34</v>
      </c>
      <c r="O21" s="4" t="s">
        <v>25</v>
      </c>
      <c r="P21" s="4" t="s">
        <v>69</v>
      </c>
      <c r="Q21" s="4" t="s">
        <v>27</v>
      </c>
      <c r="R21" s="4"/>
    </row>
    <row r="22" spans="1:18">
      <c r="A22">
        <v>21</v>
      </c>
      <c r="B22" s="3">
        <v>46170.638078703698</v>
      </c>
      <c r="C22" s="3">
        <v>46170.639884259297</v>
      </c>
      <c r="D22" s="4" t="s">
        <v>18</v>
      </c>
      <c r="E22" s="4"/>
      <c r="F22" s="1">
        <v>46170</v>
      </c>
      <c r="G22" s="4" t="s">
        <v>113</v>
      </c>
      <c r="H22" s="4"/>
      <c r="I22" s="5" t="s">
        <v>114</v>
      </c>
      <c r="J22" s="4" t="s">
        <v>115</v>
      </c>
      <c r="K22" s="4" t="s">
        <v>116</v>
      </c>
      <c r="L22" s="4" t="s">
        <v>91</v>
      </c>
      <c r="M22" s="4" t="s">
        <v>34</v>
      </c>
      <c r="N22" s="4" t="s">
        <v>117</v>
      </c>
      <c r="O22" s="4" t="s">
        <v>25</v>
      </c>
      <c r="P22" s="4" t="s">
        <v>69</v>
      </c>
      <c r="Q22" s="4" t="s">
        <v>93</v>
      </c>
      <c r="R22" s="4" t="s">
        <v>118</v>
      </c>
    </row>
    <row r="23" spans="1:18">
      <c r="A23">
        <v>22</v>
      </c>
      <c r="B23" s="3">
        <v>46170.669479166703</v>
      </c>
      <c r="C23" s="3">
        <v>46170.670486111099</v>
      </c>
      <c r="D23" s="4" t="s">
        <v>18</v>
      </c>
      <c r="E23" s="4"/>
      <c r="F23" s="1">
        <v>46170</v>
      </c>
      <c r="G23" s="4" t="s">
        <v>119</v>
      </c>
      <c r="H23" s="4"/>
      <c r="I23" s="5" t="s">
        <v>120</v>
      </c>
      <c r="J23" s="4" t="s">
        <v>121</v>
      </c>
      <c r="K23" s="4" t="s">
        <v>122</v>
      </c>
      <c r="L23" s="4" t="s">
        <v>44</v>
      </c>
      <c r="M23" s="4" t="s">
        <v>33</v>
      </c>
      <c r="N23" s="4" t="s">
        <v>61</v>
      </c>
      <c r="O23" s="4" t="s">
        <v>25</v>
      </c>
      <c r="P23" s="4" t="s">
        <v>92</v>
      </c>
      <c r="Q23" s="4" t="s">
        <v>27</v>
      </c>
      <c r="R23" s="4"/>
    </row>
    <row r="24" spans="1:18">
      <c r="A24">
        <v>23</v>
      </c>
      <c r="B24" s="3">
        <v>46170.840254629598</v>
      </c>
      <c r="C24" s="3">
        <v>46170.8422222222</v>
      </c>
      <c r="D24" s="4" t="s">
        <v>18</v>
      </c>
      <c r="E24" s="4"/>
      <c r="F24" s="1">
        <v>46170</v>
      </c>
      <c r="G24" s="4" t="s">
        <v>123</v>
      </c>
      <c r="H24" s="4"/>
      <c r="I24" s="5" t="s">
        <v>124</v>
      </c>
      <c r="J24" s="4" t="s">
        <v>125</v>
      </c>
      <c r="K24" s="4" t="s">
        <v>22</v>
      </c>
      <c r="L24" s="4" t="s">
        <v>23</v>
      </c>
      <c r="M24" s="4" t="s">
        <v>24</v>
      </c>
      <c r="N24" s="4" t="s">
        <v>34</v>
      </c>
      <c r="O24" s="4" t="s">
        <v>25</v>
      </c>
      <c r="P24" s="4" t="s">
        <v>86</v>
      </c>
      <c r="Q24" s="4" t="s">
        <v>27</v>
      </c>
      <c r="R24" s="4"/>
    </row>
    <row r="25" spans="1:18">
      <c r="A25">
        <v>24</v>
      </c>
      <c r="B25" s="3">
        <v>46170.842465277798</v>
      </c>
      <c r="C25" s="3">
        <v>46170.843877314801</v>
      </c>
      <c r="D25" s="4" t="s">
        <v>18</v>
      </c>
      <c r="E25" s="4"/>
      <c r="F25" s="1">
        <v>46170</v>
      </c>
      <c r="G25" s="4" t="s">
        <v>123</v>
      </c>
      <c r="H25" s="4"/>
      <c r="I25" s="5" t="s">
        <v>126</v>
      </c>
      <c r="J25" s="4" t="s">
        <v>127</v>
      </c>
      <c r="K25" s="4" t="s">
        <v>128</v>
      </c>
      <c r="L25" s="4" t="s">
        <v>23</v>
      </c>
      <c r="M25" s="4" t="s">
        <v>24</v>
      </c>
      <c r="N25" s="4" t="s">
        <v>34</v>
      </c>
      <c r="O25" s="4" t="s">
        <v>25</v>
      </c>
      <c r="P25" s="4" t="s">
        <v>69</v>
      </c>
      <c r="Q25" s="4" t="s">
        <v>27</v>
      </c>
      <c r="R25" s="4"/>
    </row>
    <row r="26" spans="1:18">
      <c r="A26">
        <v>25</v>
      </c>
      <c r="B26" s="3">
        <v>46171.429976851898</v>
      </c>
      <c r="C26" s="3">
        <v>46171.433078703703</v>
      </c>
      <c r="D26" s="4" t="s">
        <v>18</v>
      </c>
      <c r="E26" s="4"/>
      <c r="F26" s="1">
        <v>46171</v>
      </c>
      <c r="G26" s="4" t="s">
        <v>129</v>
      </c>
      <c r="H26" s="4"/>
      <c r="I26" s="5" t="s">
        <v>130</v>
      </c>
      <c r="J26" s="4" t="s">
        <v>131</v>
      </c>
      <c r="K26" s="4" t="s">
        <v>31</v>
      </c>
      <c r="L26" s="4" t="s">
        <v>32</v>
      </c>
      <c r="M26" s="4" t="s">
        <v>24</v>
      </c>
      <c r="N26" s="4" t="s">
        <v>33</v>
      </c>
      <c r="O26" s="4" t="s">
        <v>25</v>
      </c>
      <c r="P26" s="4" t="s">
        <v>36</v>
      </c>
      <c r="Q26" s="4" t="s">
        <v>27</v>
      </c>
      <c r="R26" s="4"/>
    </row>
    <row r="27" spans="1:18">
      <c r="A27">
        <v>26</v>
      </c>
      <c r="B27" s="3">
        <v>46171.4368287037</v>
      </c>
      <c r="C27" s="3">
        <v>46171.438090277799</v>
      </c>
      <c r="D27" s="4" t="s">
        <v>18</v>
      </c>
      <c r="E27" s="4"/>
      <c r="F27" s="1">
        <v>46171</v>
      </c>
      <c r="G27" s="4" t="s">
        <v>65</v>
      </c>
      <c r="H27" s="4"/>
      <c r="I27" s="5" t="s">
        <v>132</v>
      </c>
      <c r="J27" s="4" t="s">
        <v>133</v>
      </c>
      <c r="K27" s="4" t="s">
        <v>49</v>
      </c>
      <c r="L27" s="4" t="s">
        <v>44</v>
      </c>
      <c r="M27" s="4" t="s">
        <v>33</v>
      </c>
      <c r="N27" s="4" t="s">
        <v>24</v>
      </c>
      <c r="O27" s="4" t="s">
        <v>25</v>
      </c>
      <c r="P27" s="4" t="s">
        <v>50</v>
      </c>
      <c r="Q27" s="4" t="s">
        <v>27</v>
      </c>
      <c r="R27" s="4"/>
    </row>
    <row r="28" spans="1:18">
      <c r="A28">
        <v>27</v>
      </c>
      <c r="B28" s="3">
        <v>46171.456087963001</v>
      </c>
      <c r="C28" s="3">
        <v>46171.473495370403</v>
      </c>
      <c r="D28" s="4" t="s">
        <v>18</v>
      </c>
      <c r="E28" s="4"/>
      <c r="F28" s="1">
        <v>46171</v>
      </c>
      <c r="G28" s="4" t="s">
        <v>134</v>
      </c>
      <c r="H28" s="4"/>
      <c r="I28" s="5" t="s">
        <v>135</v>
      </c>
      <c r="J28" s="4" t="s">
        <v>136</v>
      </c>
      <c r="K28" s="4" t="s">
        <v>90</v>
      </c>
      <c r="L28" s="4" t="s">
        <v>91</v>
      </c>
      <c r="M28" s="4" t="s">
        <v>60</v>
      </c>
      <c r="N28" s="4" t="s">
        <v>33</v>
      </c>
      <c r="O28" s="4" t="s">
        <v>25</v>
      </c>
      <c r="P28" s="4" t="s">
        <v>92</v>
      </c>
      <c r="Q28" s="4" t="s">
        <v>93</v>
      </c>
      <c r="R28" s="4"/>
    </row>
    <row r="29" spans="1:18">
      <c r="A29">
        <v>28</v>
      </c>
      <c r="B29" s="3">
        <v>46171.474282407398</v>
      </c>
      <c r="C29" s="3">
        <v>46171.475277777798</v>
      </c>
      <c r="D29" s="4" t="s">
        <v>18</v>
      </c>
      <c r="E29" s="4"/>
      <c r="F29" s="1">
        <v>46171</v>
      </c>
      <c r="G29" s="4" t="s">
        <v>137</v>
      </c>
      <c r="H29" s="4"/>
      <c r="I29" s="5" t="s">
        <v>138</v>
      </c>
      <c r="J29" s="4" t="s">
        <v>139</v>
      </c>
      <c r="K29" s="4" t="s">
        <v>111</v>
      </c>
      <c r="L29" s="4" t="s">
        <v>91</v>
      </c>
      <c r="M29" s="4" t="s">
        <v>60</v>
      </c>
      <c r="N29" s="4" t="s">
        <v>33</v>
      </c>
      <c r="O29" s="4" t="s">
        <v>25</v>
      </c>
      <c r="P29" s="4" t="s">
        <v>69</v>
      </c>
      <c r="Q29" s="4" t="s">
        <v>93</v>
      </c>
      <c r="R29" s="4"/>
    </row>
    <row r="30" spans="1:18">
      <c r="A30">
        <v>29</v>
      </c>
      <c r="B30" s="3">
        <v>46171.532789351899</v>
      </c>
      <c r="C30" s="3">
        <v>46171.534733796303</v>
      </c>
      <c r="D30" s="4" t="s">
        <v>18</v>
      </c>
      <c r="E30" s="4"/>
      <c r="F30" s="1">
        <v>46171</v>
      </c>
      <c r="G30" s="4" t="s">
        <v>140</v>
      </c>
      <c r="H30" s="4"/>
      <c r="I30" s="5" t="s">
        <v>141</v>
      </c>
      <c r="J30" s="4" t="s">
        <v>142</v>
      </c>
      <c r="K30" s="4" t="s">
        <v>143</v>
      </c>
      <c r="L30" s="4" t="s">
        <v>98</v>
      </c>
      <c r="M30" s="4" t="s">
        <v>33</v>
      </c>
      <c r="N30" s="4" t="s">
        <v>24</v>
      </c>
      <c r="O30" s="4" t="s">
        <v>25</v>
      </c>
      <c r="P30" s="4" t="s">
        <v>50</v>
      </c>
      <c r="Q30" s="4" t="s">
        <v>93</v>
      </c>
      <c r="R30" s="4"/>
    </row>
    <row r="31" spans="1:18">
      <c r="A31">
        <v>30</v>
      </c>
      <c r="B31" s="3">
        <v>46171.796180555597</v>
      </c>
      <c r="C31" s="3">
        <v>46171.800254629597</v>
      </c>
      <c r="D31" s="4" t="s">
        <v>18</v>
      </c>
      <c r="E31" s="4"/>
      <c r="F31" s="1">
        <v>46171</v>
      </c>
      <c r="G31" s="4" t="s">
        <v>144</v>
      </c>
      <c r="H31" s="4"/>
      <c r="I31" s="5" t="s">
        <v>145</v>
      </c>
      <c r="J31" s="4" t="s">
        <v>146</v>
      </c>
      <c r="K31" s="4" t="s">
        <v>147</v>
      </c>
      <c r="L31" s="4" t="s">
        <v>148</v>
      </c>
      <c r="M31" s="4" t="s">
        <v>60</v>
      </c>
      <c r="N31" s="4" t="s">
        <v>112</v>
      </c>
      <c r="O31" s="4" t="s">
        <v>25</v>
      </c>
      <c r="P31" s="4" t="s">
        <v>36</v>
      </c>
      <c r="Q31" s="4" t="s">
        <v>79</v>
      </c>
      <c r="R31" s="4"/>
    </row>
    <row r="32" spans="1:18">
      <c r="A32">
        <v>31</v>
      </c>
      <c r="B32" s="3">
        <v>46171.800312500003</v>
      </c>
      <c r="C32" s="3">
        <v>46171.806076388901</v>
      </c>
      <c r="D32" s="4" t="s">
        <v>18</v>
      </c>
      <c r="E32" s="4"/>
      <c r="F32" s="1">
        <v>46171</v>
      </c>
      <c r="G32" s="4" t="s">
        <v>149</v>
      </c>
      <c r="H32" s="4"/>
      <c r="I32" s="5" t="s">
        <v>150</v>
      </c>
      <c r="J32" s="4" t="s">
        <v>151</v>
      </c>
      <c r="K32" s="4" t="s">
        <v>22</v>
      </c>
      <c r="L32" s="4" t="s">
        <v>148</v>
      </c>
      <c r="M32" s="4" t="s">
        <v>24</v>
      </c>
      <c r="N32" s="4" t="s">
        <v>112</v>
      </c>
      <c r="O32" s="4" t="s">
        <v>25</v>
      </c>
      <c r="P32" s="4" t="s">
        <v>69</v>
      </c>
      <c r="Q32" s="4" t="s">
        <v>79</v>
      </c>
      <c r="R32" s="4"/>
    </row>
    <row r="33" spans="1:18">
      <c r="A33">
        <v>32</v>
      </c>
      <c r="B33" s="3">
        <v>46171.806122685201</v>
      </c>
      <c r="C33" s="3">
        <v>46171.807442129597</v>
      </c>
      <c r="D33" s="4" t="s">
        <v>18</v>
      </c>
      <c r="E33" s="4"/>
      <c r="F33" s="1">
        <v>46171</v>
      </c>
      <c r="G33" s="4" t="s">
        <v>152</v>
      </c>
      <c r="H33" s="4"/>
      <c r="I33" s="5" t="s">
        <v>153</v>
      </c>
      <c r="J33" s="4" t="s">
        <v>154</v>
      </c>
      <c r="K33" s="4" t="s">
        <v>22</v>
      </c>
      <c r="L33" s="4" t="s">
        <v>148</v>
      </c>
      <c r="M33" s="4" t="s">
        <v>60</v>
      </c>
      <c r="N33" s="4" t="s">
        <v>45</v>
      </c>
      <c r="O33" s="4" t="s">
        <v>25</v>
      </c>
      <c r="P33" s="4" t="s">
        <v>69</v>
      </c>
      <c r="Q33" s="4" t="s">
        <v>79</v>
      </c>
      <c r="R33" s="4"/>
    </row>
    <row r="34" spans="1:18">
      <c r="A34">
        <v>33</v>
      </c>
      <c r="B34" s="3">
        <v>46171.807465277801</v>
      </c>
      <c r="C34" s="3">
        <v>46171.809224536999</v>
      </c>
      <c r="D34" s="4" t="s">
        <v>18</v>
      </c>
      <c r="E34" s="4"/>
      <c r="F34" s="1">
        <v>46171</v>
      </c>
      <c r="G34" s="4" t="s">
        <v>155</v>
      </c>
      <c r="H34" s="4"/>
      <c r="I34" s="5" t="s">
        <v>156</v>
      </c>
      <c r="J34" s="4" t="s">
        <v>157</v>
      </c>
      <c r="K34" s="4" t="s">
        <v>158</v>
      </c>
      <c r="L34" s="4" t="s">
        <v>148</v>
      </c>
      <c r="M34" s="4" t="s">
        <v>33</v>
      </c>
      <c r="N34" s="4" t="s">
        <v>24</v>
      </c>
      <c r="O34" s="4" t="s">
        <v>25</v>
      </c>
      <c r="P34" s="4" t="s">
        <v>50</v>
      </c>
      <c r="Q34" s="4" t="s">
        <v>79</v>
      </c>
      <c r="R34" s="4"/>
    </row>
    <row r="35" spans="1:18">
      <c r="A35">
        <v>34</v>
      </c>
      <c r="B35" s="3">
        <v>46171.817442129599</v>
      </c>
      <c r="C35" s="3">
        <v>46171.820520833302</v>
      </c>
      <c r="D35" s="4" t="s">
        <v>18</v>
      </c>
      <c r="E35" s="4"/>
      <c r="F35" s="1">
        <v>46171</v>
      </c>
      <c r="G35" s="4" t="s">
        <v>123</v>
      </c>
      <c r="H35" s="4"/>
      <c r="I35" s="5" t="s">
        <v>159</v>
      </c>
      <c r="J35" s="4" t="s">
        <v>160</v>
      </c>
      <c r="K35" s="4" t="s">
        <v>22</v>
      </c>
      <c r="L35" s="4" t="s">
        <v>23</v>
      </c>
      <c r="M35" s="4" t="s">
        <v>24</v>
      </c>
      <c r="N35" s="4" t="s">
        <v>112</v>
      </c>
      <c r="O35" s="4" t="s">
        <v>25</v>
      </c>
      <c r="P35" s="4" t="s">
        <v>86</v>
      </c>
      <c r="Q35" s="4" t="s">
        <v>27</v>
      </c>
      <c r="R35" s="4"/>
    </row>
    <row r="36" spans="1:18">
      <c r="A36">
        <v>35</v>
      </c>
      <c r="B36" s="3">
        <v>46171.820798611101</v>
      </c>
      <c r="C36" s="3">
        <v>46171.822488425903</v>
      </c>
      <c r="D36" s="4" t="s">
        <v>18</v>
      </c>
      <c r="E36" s="4"/>
      <c r="F36" s="1">
        <v>46171</v>
      </c>
      <c r="G36" s="4" t="s">
        <v>123</v>
      </c>
      <c r="H36" s="4"/>
      <c r="I36" s="5" t="s">
        <v>161</v>
      </c>
      <c r="J36" s="4" t="s">
        <v>162</v>
      </c>
      <c r="K36" s="4" t="s">
        <v>128</v>
      </c>
      <c r="L36" s="4" t="s">
        <v>23</v>
      </c>
      <c r="M36" s="4" t="s">
        <v>24</v>
      </c>
      <c r="N36" s="4" t="s">
        <v>117</v>
      </c>
      <c r="O36" s="4" t="s">
        <v>25</v>
      </c>
      <c r="P36" s="4" t="s">
        <v>69</v>
      </c>
      <c r="Q36" s="4" t="s">
        <v>27</v>
      </c>
      <c r="R36" s="4"/>
    </row>
    <row r="37" spans="1:18">
      <c r="A37">
        <v>36</v>
      </c>
      <c r="B37" s="3">
        <v>46171.817442129599</v>
      </c>
      <c r="C37" s="3">
        <v>46171.824479166702</v>
      </c>
      <c r="D37" s="4" t="s">
        <v>18</v>
      </c>
      <c r="E37" s="4"/>
      <c r="F37" s="1">
        <v>46171</v>
      </c>
      <c r="G37" s="4" t="s">
        <v>163</v>
      </c>
      <c r="H37" s="4"/>
      <c r="I37" s="5" t="s">
        <v>164</v>
      </c>
      <c r="J37" s="4" t="s">
        <v>165</v>
      </c>
      <c r="K37" s="4" t="s">
        <v>128</v>
      </c>
      <c r="L37" s="4" t="s">
        <v>23</v>
      </c>
      <c r="M37" s="4" t="s">
        <v>24</v>
      </c>
      <c r="N37" s="4" t="s">
        <v>33</v>
      </c>
      <c r="O37" s="4" t="s">
        <v>25</v>
      </c>
      <c r="P37" s="4" t="s">
        <v>166</v>
      </c>
      <c r="Q37" s="4" t="s">
        <v>27</v>
      </c>
      <c r="R37" s="4"/>
    </row>
    <row r="38" spans="1:18">
      <c r="A38">
        <v>37</v>
      </c>
      <c r="B38" s="3">
        <v>46171.825266203698</v>
      </c>
      <c r="C38" s="3">
        <v>46171.826539351903</v>
      </c>
      <c r="D38" s="4" t="s">
        <v>18</v>
      </c>
      <c r="E38" s="4"/>
      <c r="F38" s="1">
        <v>46171</v>
      </c>
      <c r="G38" s="4" t="s">
        <v>163</v>
      </c>
      <c r="H38" s="4"/>
      <c r="I38" s="5" t="s">
        <v>167</v>
      </c>
      <c r="J38" s="4" t="s">
        <v>168</v>
      </c>
      <c r="K38" s="4" t="s">
        <v>128</v>
      </c>
      <c r="L38" s="4" t="s">
        <v>23</v>
      </c>
      <c r="M38" s="4" t="s">
        <v>33</v>
      </c>
      <c r="N38" s="4" t="s">
        <v>24</v>
      </c>
      <c r="O38" s="4" t="s">
        <v>25</v>
      </c>
      <c r="P38" s="4" t="s">
        <v>55</v>
      </c>
      <c r="Q38" s="4" t="s">
        <v>27</v>
      </c>
      <c r="R38" s="4"/>
    </row>
    <row r="39" spans="1:18">
      <c r="A39">
        <v>38</v>
      </c>
      <c r="B39" s="3">
        <v>46172.371365740699</v>
      </c>
      <c r="C39" s="3">
        <v>46172.372951388897</v>
      </c>
      <c r="D39" s="4" t="s">
        <v>18</v>
      </c>
      <c r="E39" s="4"/>
      <c r="F39" s="1">
        <v>46172</v>
      </c>
      <c r="G39" s="4" t="s">
        <v>169</v>
      </c>
      <c r="H39" s="4"/>
      <c r="I39" s="5" t="s">
        <v>170</v>
      </c>
      <c r="J39" s="4" t="s">
        <v>171</v>
      </c>
      <c r="K39" s="4" t="s">
        <v>31</v>
      </c>
      <c r="L39" s="4" t="s">
        <v>32</v>
      </c>
      <c r="M39" s="4" t="s">
        <v>24</v>
      </c>
      <c r="N39" s="4" t="s">
        <v>34</v>
      </c>
      <c r="O39" s="4" t="s">
        <v>25</v>
      </c>
      <c r="P39" s="4" t="s">
        <v>36</v>
      </c>
      <c r="Q39" s="4" t="s">
        <v>27</v>
      </c>
      <c r="R39" s="4"/>
    </row>
    <row r="40" spans="1:18">
      <c r="A40">
        <v>39</v>
      </c>
      <c r="B40" s="3">
        <v>46172.406006944402</v>
      </c>
      <c r="C40" s="3">
        <v>46172.407789351899</v>
      </c>
      <c r="D40" s="4" t="s">
        <v>18</v>
      </c>
      <c r="E40" s="4"/>
      <c r="F40" s="1">
        <v>46172</v>
      </c>
      <c r="G40" s="4" t="s">
        <v>134</v>
      </c>
      <c r="H40" s="4"/>
      <c r="I40" s="5" t="s">
        <v>172</v>
      </c>
      <c r="J40" s="4" t="s">
        <v>173</v>
      </c>
      <c r="K40" s="4" t="s">
        <v>90</v>
      </c>
      <c r="L40" s="4" t="s">
        <v>91</v>
      </c>
      <c r="M40" s="4" t="s">
        <v>24</v>
      </c>
      <c r="N40" s="4" t="s">
        <v>34</v>
      </c>
      <c r="O40" s="4" t="s">
        <v>25</v>
      </c>
      <c r="P40" s="4" t="s">
        <v>36</v>
      </c>
      <c r="Q40" s="4" t="s">
        <v>27</v>
      </c>
      <c r="R40" s="4"/>
    </row>
    <row r="41" spans="1:18">
      <c r="A41">
        <v>40</v>
      </c>
      <c r="B41" s="3">
        <v>46172.450520833299</v>
      </c>
      <c r="C41" s="3">
        <v>46172.456666666701</v>
      </c>
      <c r="D41" s="4" t="s">
        <v>18</v>
      </c>
      <c r="E41" s="4"/>
      <c r="F41" s="1">
        <v>46172</v>
      </c>
      <c r="G41" s="4" t="s">
        <v>174</v>
      </c>
      <c r="H41" s="4"/>
      <c r="I41" s="5" t="s">
        <v>175</v>
      </c>
      <c r="J41" s="4" t="s">
        <v>176</v>
      </c>
      <c r="K41" s="4" t="s">
        <v>143</v>
      </c>
      <c r="L41" s="4" t="s">
        <v>98</v>
      </c>
      <c r="M41" s="4" t="s">
        <v>45</v>
      </c>
      <c r="N41" s="4" t="s">
        <v>24</v>
      </c>
      <c r="O41" s="4" t="s">
        <v>25</v>
      </c>
      <c r="P41" s="4" t="s">
        <v>50</v>
      </c>
      <c r="Q41" s="4" t="s">
        <v>93</v>
      </c>
      <c r="R41" s="4"/>
    </row>
    <row r="42" spans="1:18">
      <c r="A42">
        <v>41</v>
      </c>
      <c r="B42" s="3">
        <v>46172.456747685203</v>
      </c>
      <c r="C42" s="3">
        <v>46172.460254629601</v>
      </c>
      <c r="D42" s="4" t="s">
        <v>18</v>
      </c>
      <c r="E42" s="4"/>
      <c r="F42" s="1">
        <v>46172</v>
      </c>
      <c r="G42" s="4" t="s">
        <v>177</v>
      </c>
      <c r="H42" s="4"/>
      <c r="I42" s="5" t="s">
        <v>178</v>
      </c>
      <c r="J42" s="4" t="s">
        <v>179</v>
      </c>
      <c r="K42" s="4" t="s">
        <v>180</v>
      </c>
      <c r="L42" s="4" t="s">
        <v>98</v>
      </c>
      <c r="M42" s="4" t="s">
        <v>24</v>
      </c>
      <c r="N42" s="4" t="s">
        <v>45</v>
      </c>
      <c r="O42" s="4" t="s">
        <v>25</v>
      </c>
      <c r="P42" s="4" t="s">
        <v>36</v>
      </c>
      <c r="Q42" s="4" t="s">
        <v>93</v>
      </c>
      <c r="R42" s="4"/>
    </row>
    <row r="43" spans="1:18">
      <c r="A43">
        <v>42</v>
      </c>
      <c r="B43" s="3">
        <v>46172.460312499999</v>
      </c>
      <c r="C43" s="3">
        <v>46172.463425925896</v>
      </c>
      <c r="D43" s="4" t="s">
        <v>18</v>
      </c>
      <c r="E43" s="4"/>
      <c r="F43" s="1">
        <v>46172</v>
      </c>
      <c r="G43" s="4" t="s">
        <v>181</v>
      </c>
      <c r="H43" s="4"/>
      <c r="I43" s="5" t="s">
        <v>182</v>
      </c>
      <c r="J43" s="4" t="s">
        <v>183</v>
      </c>
      <c r="K43" s="4" t="s">
        <v>184</v>
      </c>
      <c r="L43" s="4" t="s">
        <v>98</v>
      </c>
      <c r="M43" s="4" t="s">
        <v>45</v>
      </c>
      <c r="N43" s="4" t="s">
        <v>24</v>
      </c>
      <c r="O43" s="4" t="s">
        <v>25</v>
      </c>
      <c r="P43" s="4" t="s">
        <v>36</v>
      </c>
      <c r="Q43" s="4" t="s">
        <v>93</v>
      </c>
      <c r="R43" s="4"/>
    </row>
    <row r="44" spans="1:18">
      <c r="A44">
        <v>43</v>
      </c>
      <c r="B44" s="3">
        <v>46172.683969907397</v>
      </c>
      <c r="C44" s="3">
        <v>46172.684884259303</v>
      </c>
      <c r="D44" s="4" t="s">
        <v>18</v>
      </c>
      <c r="E44" s="4"/>
      <c r="F44" s="1">
        <v>46172</v>
      </c>
      <c r="G44" s="4" t="s">
        <v>185</v>
      </c>
      <c r="H44" s="4"/>
      <c r="I44" s="5" t="s">
        <v>186</v>
      </c>
      <c r="J44" s="4" t="s">
        <v>187</v>
      </c>
      <c r="K44" s="4" t="s">
        <v>49</v>
      </c>
      <c r="L44" s="4" t="s">
        <v>44</v>
      </c>
      <c r="M44" s="4" t="s">
        <v>34</v>
      </c>
      <c r="N44" s="4" t="s">
        <v>24</v>
      </c>
      <c r="O44" s="4" t="s">
        <v>25</v>
      </c>
      <c r="P44" s="4" t="s">
        <v>50</v>
      </c>
      <c r="Q44" s="4" t="s">
        <v>27</v>
      </c>
      <c r="R44" s="4"/>
    </row>
    <row r="45" spans="1:18">
      <c r="A45">
        <v>44</v>
      </c>
      <c r="B45" s="3">
        <v>46172.8041898148</v>
      </c>
      <c r="C45" s="3">
        <v>46172.805208333302</v>
      </c>
      <c r="D45" s="4" t="s">
        <v>18</v>
      </c>
      <c r="E45" s="4"/>
      <c r="F45" s="1">
        <v>46172</v>
      </c>
      <c r="G45" s="4" t="s">
        <v>188</v>
      </c>
      <c r="H45" s="4"/>
      <c r="I45" s="5" t="s">
        <v>189</v>
      </c>
      <c r="J45" s="4" t="s">
        <v>190</v>
      </c>
      <c r="K45" s="4" t="s">
        <v>191</v>
      </c>
      <c r="L45" s="4" t="s">
        <v>148</v>
      </c>
      <c r="M45" s="4" t="s">
        <v>45</v>
      </c>
      <c r="N45" s="4" t="s">
        <v>24</v>
      </c>
      <c r="O45" s="4" t="s">
        <v>25</v>
      </c>
      <c r="P45" s="4" t="s">
        <v>36</v>
      </c>
      <c r="Q45" s="4" t="s">
        <v>79</v>
      </c>
      <c r="R45" s="4"/>
    </row>
    <row r="46" spans="1:18">
      <c r="A46">
        <v>45</v>
      </c>
      <c r="B46" s="3">
        <v>46172.805243055598</v>
      </c>
      <c r="C46" s="3">
        <v>46172.806597222203</v>
      </c>
      <c r="D46" s="4" t="s">
        <v>18</v>
      </c>
      <c r="E46" s="4"/>
      <c r="F46" s="1">
        <v>46172</v>
      </c>
      <c r="G46" s="4" t="s">
        <v>192</v>
      </c>
      <c r="H46" s="4"/>
      <c r="I46" s="5" t="s">
        <v>193</v>
      </c>
      <c r="J46" s="4" t="s">
        <v>194</v>
      </c>
      <c r="K46" s="4" t="s">
        <v>147</v>
      </c>
      <c r="L46" s="4" t="s">
        <v>148</v>
      </c>
      <c r="M46" s="4" t="s">
        <v>45</v>
      </c>
      <c r="N46" s="4" t="s">
        <v>24</v>
      </c>
      <c r="O46" s="4" t="s">
        <v>25</v>
      </c>
      <c r="P46" s="4" t="s">
        <v>36</v>
      </c>
      <c r="Q46" s="4" t="s">
        <v>79</v>
      </c>
      <c r="R46" s="4"/>
    </row>
    <row r="47" spans="1:18">
      <c r="A47">
        <v>46</v>
      </c>
      <c r="B47" s="3">
        <v>46172.8066203704</v>
      </c>
      <c r="C47" s="3">
        <v>46172.807754629597</v>
      </c>
      <c r="D47" s="4" t="s">
        <v>18</v>
      </c>
      <c r="E47" s="4"/>
      <c r="F47" s="1">
        <v>46172</v>
      </c>
      <c r="G47" s="4" t="s">
        <v>195</v>
      </c>
      <c r="H47" s="4"/>
      <c r="I47" s="5" t="s">
        <v>196</v>
      </c>
      <c r="J47" s="4" t="s">
        <v>197</v>
      </c>
      <c r="K47" s="4" t="s">
        <v>198</v>
      </c>
      <c r="L47" s="4" t="s">
        <v>148</v>
      </c>
      <c r="M47" s="4" t="s">
        <v>34</v>
      </c>
      <c r="N47" s="4" t="s">
        <v>24</v>
      </c>
      <c r="O47" s="4" t="s">
        <v>25</v>
      </c>
      <c r="P47" s="4" t="s">
        <v>50</v>
      </c>
      <c r="Q47" s="4" t="s">
        <v>79</v>
      </c>
      <c r="R47" s="4"/>
    </row>
    <row r="48" spans="1:18">
      <c r="A48">
        <v>47</v>
      </c>
      <c r="B48" s="3">
        <v>46172.807569444398</v>
      </c>
      <c r="C48" s="3">
        <v>46172.809328703697</v>
      </c>
      <c r="D48" s="4" t="s">
        <v>18</v>
      </c>
      <c r="E48" s="4"/>
      <c r="F48" s="1">
        <v>46172</v>
      </c>
      <c r="G48" s="4" t="s">
        <v>199</v>
      </c>
      <c r="H48" s="4"/>
      <c r="I48" s="5" t="s">
        <v>200</v>
      </c>
      <c r="J48" s="4" t="s">
        <v>201</v>
      </c>
      <c r="K48" s="4" t="s">
        <v>22</v>
      </c>
      <c r="L48" s="4" t="s">
        <v>23</v>
      </c>
      <c r="M48" s="4" t="s">
        <v>24</v>
      </c>
      <c r="N48" s="4" t="s">
        <v>34</v>
      </c>
      <c r="O48" s="4" t="s">
        <v>25</v>
      </c>
      <c r="P48" s="4" t="s">
        <v>69</v>
      </c>
      <c r="Q48" s="4" t="s">
        <v>27</v>
      </c>
      <c r="R48" s="4"/>
    </row>
    <row r="49" spans="1:18">
      <c r="A49">
        <v>48</v>
      </c>
      <c r="B49" s="3">
        <v>46173.425231481502</v>
      </c>
      <c r="C49" s="3">
        <v>46173.426689814798</v>
      </c>
      <c r="D49" s="4" t="s">
        <v>18</v>
      </c>
      <c r="E49" s="4"/>
      <c r="F49" s="1">
        <v>46173</v>
      </c>
      <c r="G49" s="4" t="s">
        <v>129</v>
      </c>
      <c r="H49" s="4"/>
      <c r="I49" s="5" t="s">
        <v>202</v>
      </c>
      <c r="J49" s="4" t="s">
        <v>203</v>
      </c>
      <c r="K49" s="4" t="s">
        <v>31</v>
      </c>
      <c r="L49" s="4" t="s">
        <v>32</v>
      </c>
      <c r="M49" s="4" t="s">
        <v>112</v>
      </c>
      <c r="N49" s="4" t="s">
        <v>45</v>
      </c>
      <c r="O49" s="4" t="s">
        <v>25</v>
      </c>
      <c r="P49" s="4" t="s">
        <v>36</v>
      </c>
      <c r="Q49" s="4" t="s">
        <v>27</v>
      </c>
      <c r="R49" s="4"/>
    </row>
    <row r="50" spans="1:18">
      <c r="A50">
        <v>49</v>
      </c>
      <c r="B50" s="3">
        <v>46173.880081018498</v>
      </c>
      <c r="C50" s="3">
        <v>46173.881990740701</v>
      </c>
      <c r="D50" s="4" t="s">
        <v>18</v>
      </c>
      <c r="E50" s="4"/>
      <c r="F50" s="1">
        <v>46173</v>
      </c>
      <c r="G50" s="4" t="s">
        <v>204</v>
      </c>
      <c r="H50" s="4"/>
      <c r="I50" s="5" t="s">
        <v>205</v>
      </c>
      <c r="J50" s="4" t="s">
        <v>206</v>
      </c>
      <c r="K50" s="4" t="s">
        <v>31</v>
      </c>
      <c r="L50" s="4" t="s">
        <v>32</v>
      </c>
      <c r="M50" s="4" t="s">
        <v>112</v>
      </c>
      <c r="N50" s="4" t="s">
        <v>117</v>
      </c>
      <c r="O50" s="4" t="s">
        <v>25</v>
      </c>
      <c r="P50" s="4" t="s">
        <v>69</v>
      </c>
      <c r="Q50" s="4" t="s">
        <v>27</v>
      </c>
      <c r="R50" s="4"/>
    </row>
    <row r="51" spans="1:18">
      <c r="A51">
        <v>50</v>
      </c>
      <c r="B51" s="3">
        <v>46174.412881944401</v>
      </c>
      <c r="C51" s="3">
        <v>46174.414432870399</v>
      </c>
      <c r="D51" s="4" t="s">
        <v>18</v>
      </c>
      <c r="E51" s="4"/>
      <c r="F51" s="1">
        <v>46174</v>
      </c>
      <c r="G51" s="4" t="s">
        <v>207</v>
      </c>
      <c r="H51" s="4"/>
      <c r="I51" s="5" t="s">
        <v>208</v>
      </c>
      <c r="J51" s="4" t="s">
        <v>209</v>
      </c>
      <c r="K51" s="4" t="s">
        <v>143</v>
      </c>
      <c r="L51" s="4" t="s">
        <v>98</v>
      </c>
      <c r="M51" s="4" t="s">
        <v>45</v>
      </c>
      <c r="N51" s="4" t="s">
        <v>61</v>
      </c>
      <c r="O51" s="4" t="s">
        <v>25</v>
      </c>
      <c r="P51" s="4" t="s">
        <v>50</v>
      </c>
      <c r="Q51" s="4" t="s">
        <v>93</v>
      </c>
      <c r="R51" s="4"/>
    </row>
    <row r="52" spans="1:18">
      <c r="A52">
        <v>51</v>
      </c>
      <c r="B52" s="3">
        <v>46174.414502314801</v>
      </c>
      <c r="C52" s="3">
        <v>46174.420115740701</v>
      </c>
      <c r="D52" s="4" t="s">
        <v>18</v>
      </c>
      <c r="E52" s="4"/>
      <c r="F52" s="1">
        <v>46174</v>
      </c>
      <c r="G52" s="4" t="s">
        <v>207</v>
      </c>
      <c r="H52" s="4"/>
      <c r="I52" s="5" t="s">
        <v>210</v>
      </c>
      <c r="J52" s="4" t="s">
        <v>211</v>
      </c>
      <c r="K52" s="4" t="s">
        <v>212</v>
      </c>
      <c r="L52" s="4" t="s">
        <v>98</v>
      </c>
      <c r="M52" s="4" t="s">
        <v>45</v>
      </c>
      <c r="N52" s="4" t="s">
        <v>61</v>
      </c>
      <c r="O52" s="4" t="s">
        <v>35</v>
      </c>
      <c r="P52" s="4" t="s">
        <v>213</v>
      </c>
      <c r="Q52" s="4" t="s">
        <v>79</v>
      </c>
      <c r="R52" s="4"/>
    </row>
    <row r="53" spans="1:18">
      <c r="A53">
        <v>52</v>
      </c>
      <c r="B53" s="3">
        <v>46174.424687500003</v>
      </c>
      <c r="C53" s="3">
        <v>46174.425925925898</v>
      </c>
      <c r="D53" s="4" t="s">
        <v>18</v>
      </c>
      <c r="E53" s="4"/>
      <c r="F53" s="1">
        <v>46174</v>
      </c>
      <c r="G53" s="4" t="s">
        <v>62</v>
      </c>
      <c r="H53" s="4"/>
      <c r="I53" s="5" t="s">
        <v>214</v>
      </c>
      <c r="J53" s="4" t="s">
        <v>215</v>
      </c>
      <c r="K53" s="4" t="s">
        <v>90</v>
      </c>
      <c r="L53" s="4" t="s">
        <v>91</v>
      </c>
      <c r="M53" s="4" t="s">
        <v>61</v>
      </c>
      <c r="N53" s="4" t="s">
        <v>45</v>
      </c>
      <c r="O53" s="4" t="s">
        <v>25</v>
      </c>
      <c r="P53" s="4" t="s">
        <v>92</v>
      </c>
      <c r="Q53" s="4" t="s">
        <v>93</v>
      </c>
      <c r="R53" s="4"/>
    </row>
    <row r="54" spans="1:18">
      <c r="A54">
        <v>53</v>
      </c>
      <c r="B54" s="3">
        <v>46174.426203703697</v>
      </c>
      <c r="C54" s="3">
        <v>46174.427638888897</v>
      </c>
      <c r="D54" s="4" t="s">
        <v>18</v>
      </c>
      <c r="E54" s="4"/>
      <c r="F54" s="1">
        <v>46174</v>
      </c>
      <c r="G54" s="4" t="s">
        <v>65</v>
      </c>
      <c r="H54" s="4"/>
      <c r="I54" s="5" t="s">
        <v>216</v>
      </c>
      <c r="J54" s="4" t="s">
        <v>217</v>
      </c>
      <c r="K54" s="4" t="s">
        <v>218</v>
      </c>
      <c r="L54" s="4" t="s">
        <v>91</v>
      </c>
      <c r="M54" s="4" t="s">
        <v>60</v>
      </c>
      <c r="N54" s="4" t="s">
        <v>33</v>
      </c>
      <c r="O54" s="4" t="s">
        <v>25</v>
      </c>
      <c r="P54" s="4" t="s">
        <v>50</v>
      </c>
      <c r="Q54" s="4" t="s">
        <v>93</v>
      </c>
      <c r="R54" s="4"/>
    </row>
    <row r="55" spans="1:18">
      <c r="A55">
        <v>54</v>
      </c>
      <c r="B55" s="3">
        <v>46174.428310185198</v>
      </c>
      <c r="C55" s="3">
        <v>46174.4305439815</v>
      </c>
      <c r="D55" s="4" t="s">
        <v>18</v>
      </c>
      <c r="E55" s="4"/>
      <c r="F55" s="1">
        <v>46174</v>
      </c>
      <c r="G55" s="4" t="s">
        <v>207</v>
      </c>
      <c r="H55" s="4"/>
      <c r="I55" s="5" t="s">
        <v>219</v>
      </c>
      <c r="J55" s="4" t="s">
        <v>220</v>
      </c>
      <c r="K55" s="4" t="s">
        <v>221</v>
      </c>
      <c r="L55" s="4" t="s">
        <v>98</v>
      </c>
      <c r="M55" s="4" t="s">
        <v>45</v>
      </c>
      <c r="N55" s="4" t="s">
        <v>61</v>
      </c>
      <c r="O55" s="4" t="s">
        <v>25</v>
      </c>
      <c r="P55" s="4" t="s">
        <v>36</v>
      </c>
      <c r="Q55" s="4" t="s">
        <v>93</v>
      </c>
      <c r="R55" s="4"/>
    </row>
    <row r="56" spans="1:18">
      <c r="A56">
        <v>55</v>
      </c>
      <c r="B56" s="3">
        <v>46174.446400462999</v>
      </c>
      <c r="C56" s="3">
        <v>46174.450486111098</v>
      </c>
      <c r="D56" s="4" t="s">
        <v>18</v>
      </c>
      <c r="E56" s="4"/>
      <c r="F56" s="1">
        <v>46174</v>
      </c>
      <c r="G56" s="4" t="s">
        <v>222</v>
      </c>
      <c r="H56" s="4"/>
      <c r="I56" s="5" t="s">
        <v>223</v>
      </c>
      <c r="J56" s="4" t="s">
        <v>224</v>
      </c>
      <c r="K56" s="4" t="s">
        <v>225</v>
      </c>
      <c r="L56" s="4" t="s">
        <v>23</v>
      </c>
      <c r="M56" s="4" t="s">
        <v>60</v>
      </c>
      <c r="N56" s="4" t="s">
        <v>226</v>
      </c>
      <c r="O56" s="4" t="s">
        <v>25</v>
      </c>
      <c r="P56" s="4" t="s">
        <v>36</v>
      </c>
      <c r="Q56" s="4" t="s">
        <v>79</v>
      </c>
      <c r="R56" s="4" t="s">
        <v>227</v>
      </c>
    </row>
    <row r="57" spans="1:18">
      <c r="A57">
        <v>56</v>
      </c>
      <c r="B57" s="3">
        <v>46174.450891203698</v>
      </c>
      <c r="C57" s="3">
        <v>46174.4533912037</v>
      </c>
      <c r="D57" s="4" t="s">
        <v>18</v>
      </c>
      <c r="E57" s="4"/>
      <c r="F57" s="1">
        <v>46174</v>
      </c>
      <c r="G57" s="4" t="s">
        <v>228</v>
      </c>
      <c r="H57" s="4"/>
      <c r="I57" s="5" t="s">
        <v>229</v>
      </c>
      <c r="J57" s="4" t="s">
        <v>230</v>
      </c>
      <c r="K57" s="4" t="s">
        <v>231</v>
      </c>
      <c r="L57" s="4" t="s">
        <v>23</v>
      </c>
      <c r="M57" s="4" t="s">
        <v>226</v>
      </c>
      <c r="N57" s="4" t="s">
        <v>60</v>
      </c>
      <c r="O57" s="4" t="s">
        <v>25</v>
      </c>
      <c r="P57" s="4" t="s">
        <v>55</v>
      </c>
      <c r="Q57" s="4" t="s">
        <v>79</v>
      </c>
      <c r="R57" s="4" t="s">
        <v>232</v>
      </c>
    </row>
    <row r="58" spans="1:18">
      <c r="A58">
        <v>57</v>
      </c>
      <c r="B58" s="3">
        <v>46174.820625</v>
      </c>
      <c r="C58" s="3">
        <v>46174.822488425903</v>
      </c>
      <c r="D58" s="4" t="s">
        <v>18</v>
      </c>
      <c r="E58" s="4"/>
      <c r="F58" s="1">
        <v>46174</v>
      </c>
      <c r="G58" s="4" t="s">
        <v>134</v>
      </c>
      <c r="H58" s="4"/>
      <c r="I58" s="5" t="s">
        <v>233</v>
      </c>
      <c r="J58" s="4" t="s">
        <v>234</v>
      </c>
      <c r="K58" s="4" t="s">
        <v>31</v>
      </c>
      <c r="L58" s="4" t="s">
        <v>44</v>
      </c>
      <c r="M58" s="4" t="s">
        <v>45</v>
      </c>
      <c r="N58" s="4" t="s">
        <v>61</v>
      </c>
      <c r="O58" s="4" t="s">
        <v>25</v>
      </c>
      <c r="P58" s="4" t="s">
        <v>36</v>
      </c>
      <c r="Q58" s="4" t="s">
        <v>27</v>
      </c>
      <c r="R58" s="4"/>
    </row>
    <row r="59" spans="1:18">
      <c r="A59">
        <v>58</v>
      </c>
      <c r="B59" s="3">
        <v>46174.869398148097</v>
      </c>
      <c r="C59" s="3">
        <v>46174.870682870402</v>
      </c>
      <c r="D59" s="4" t="s">
        <v>18</v>
      </c>
      <c r="E59" s="4"/>
      <c r="F59" s="1">
        <v>46174</v>
      </c>
      <c r="G59" s="4" t="s">
        <v>235</v>
      </c>
      <c r="H59" s="4"/>
      <c r="I59" s="5" t="s">
        <v>236</v>
      </c>
      <c r="J59" s="4" t="s">
        <v>237</v>
      </c>
      <c r="K59" s="4" t="s">
        <v>238</v>
      </c>
      <c r="L59" s="4" t="s">
        <v>148</v>
      </c>
      <c r="M59" s="4" t="s">
        <v>33</v>
      </c>
      <c r="N59" s="4" t="s">
        <v>45</v>
      </c>
      <c r="O59" s="4" t="s">
        <v>25</v>
      </c>
      <c r="P59" s="4" t="s">
        <v>36</v>
      </c>
      <c r="Q59" s="4" t="s">
        <v>79</v>
      </c>
      <c r="R59" s="4"/>
    </row>
    <row r="60" spans="1:18">
      <c r="A60">
        <v>59</v>
      </c>
      <c r="B60" s="3">
        <v>46174.870729166701</v>
      </c>
      <c r="C60" s="3">
        <v>46174.871793981503</v>
      </c>
      <c r="D60" s="4" t="s">
        <v>18</v>
      </c>
      <c r="E60" s="4"/>
      <c r="F60" s="1">
        <v>46174</v>
      </c>
      <c r="G60" s="4" t="s">
        <v>239</v>
      </c>
      <c r="H60" s="4"/>
      <c r="I60" s="5" t="s">
        <v>240</v>
      </c>
      <c r="J60" s="4" t="s">
        <v>241</v>
      </c>
      <c r="K60" s="4" t="s">
        <v>242</v>
      </c>
      <c r="L60" s="4" t="s">
        <v>148</v>
      </c>
      <c r="M60" s="4" t="s">
        <v>33</v>
      </c>
      <c r="N60" s="4" t="s">
        <v>45</v>
      </c>
      <c r="O60" s="4" t="s">
        <v>25</v>
      </c>
      <c r="P60" s="4" t="s">
        <v>36</v>
      </c>
      <c r="Q60" s="4" t="s">
        <v>79</v>
      </c>
      <c r="R60" s="4"/>
    </row>
    <row r="61" spans="1:18">
      <c r="A61">
        <v>60</v>
      </c>
      <c r="B61" s="3">
        <v>46174.871805555602</v>
      </c>
      <c r="C61" s="3">
        <v>46174.872800925899</v>
      </c>
      <c r="D61" s="4" t="s">
        <v>18</v>
      </c>
      <c r="E61" s="4"/>
      <c r="F61" s="1">
        <v>46174</v>
      </c>
      <c r="G61" s="4" t="s">
        <v>243</v>
      </c>
      <c r="H61" s="4"/>
      <c r="I61" s="5" t="s">
        <v>244</v>
      </c>
      <c r="J61" s="4" t="s">
        <v>245</v>
      </c>
      <c r="K61" s="4" t="s">
        <v>246</v>
      </c>
      <c r="L61" s="4" t="s">
        <v>148</v>
      </c>
      <c r="M61" s="4" t="s">
        <v>33</v>
      </c>
      <c r="N61" s="4" t="s">
        <v>45</v>
      </c>
      <c r="O61" s="4" t="s">
        <v>25</v>
      </c>
      <c r="P61" s="4" t="s">
        <v>50</v>
      </c>
      <c r="Q61" s="4" t="s">
        <v>79</v>
      </c>
      <c r="R61" s="4"/>
    </row>
    <row r="62" spans="1:18">
      <c r="A62">
        <v>61</v>
      </c>
      <c r="B62" s="3">
        <v>46174.872824074097</v>
      </c>
      <c r="C62" s="3">
        <v>46174.873645833301</v>
      </c>
      <c r="D62" s="4" t="s">
        <v>18</v>
      </c>
      <c r="E62" s="4"/>
      <c r="F62" s="1">
        <v>46174</v>
      </c>
      <c r="G62" s="4" t="s">
        <v>247</v>
      </c>
      <c r="H62" s="4"/>
      <c r="I62" s="5" t="s">
        <v>248</v>
      </c>
      <c r="J62" s="4" t="s">
        <v>249</v>
      </c>
      <c r="K62" s="4" t="s">
        <v>250</v>
      </c>
      <c r="L62" s="4" t="s">
        <v>148</v>
      </c>
      <c r="M62" s="4" t="s">
        <v>33</v>
      </c>
      <c r="N62" s="4" t="s">
        <v>45</v>
      </c>
      <c r="O62" s="4" t="s">
        <v>25</v>
      </c>
      <c r="P62" s="4" t="s">
        <v>69</v>
      </c>
      <c r="Q62" s="4" t="s">
        <v>27</v>
      </c>
      <c r="R62" s="4"/>
    </row>
    <row r="63" spans="1:18">
      <c r="A63">
        <v>62</v>
      </c>
      <c r="B63" s="3">
        <v>46174.873668981498</v>
      </c>
      <c r="C63" s="3">
        <v>46174.8745486111</v>
      </c>
      <c r="D63" s="4" t="s">
        <v>18</v>
      </c>
      <c r="E63" s="4"/>
      <c r="F63" s="1">
        <v>46174</v>
      </c>
      <c r="G63" s="4" t="s">
        <v>251</v>
      </c>
      <c r="H63" s="4"/>
      <c r="I63" s="5" t="s">
        <v>252</v>
      </c>
      <c r="J63" s="4" t="s">
        <v>253</v>
      </c>
      <c r="K63" s="4" t="s">
        <v>254</v>
      </c>
      <c r="L63" s="4" t="s">
        <v>148</v>
      </c>
      <c r="M63" s="4" t="s">
        <v>24</v>
      </c>
      <c r="N63" s="4" t="s">
        <v>45</v>
      </c>
      <c r="O63" s="4" t="s">
        <v>25</v>
      </c>
      <c r="P63" s="4" t="s">
        <v>50</v>
      </c>
      <c r="Q63" s="4" t="s">
        <v>79</v>
      </c>
      <c r="R63" s="4"/>
    </row>
    <row r="64" spans="1:18">
      <c r="A64">
        <v>63</v>
      </c>
      <c r="B64" s="3">
        <v>46174.874571759297</v>
      </c>
      <c r="C64" s="3">
        <v>46174.875393518501</v>
      </c>
      <c r="D64" s="4" t="s">
        <v>18</v>
      </c>
      <c r="E64" s="4"/>
      <c r="F64" s="1">
        <v>46174</v>
      </c>
      <c r="G64" s="4" t="s">
        <v>255</v>
      </c>
      <c r="H64" s="4"/>
      <c r="I64" s="5" t="s">
        <v>256</v>
      </c>
      <c r="J64" s="4" t="s">
        <v>257</v>
      </c>
      <c r="K64" s="4" t="s">
        <v>242</v>
      </c>
      <c r="L64" s="4" t="s">
        <v>148</v>
      </c>
      <c r="M64" s="4" t="s">
        <v>33</v>
      </c>
      <c r="N64" s="4" t="s">
        <v>45</v>
      </c>
      <c r="O64" s="4" t="s">
        <v>25</v>
      </c>
      <c r="P64" s="4" t="s">
        <v>92</v>
      </c>
      <c r="Q64" s="4" t="s">
        <v>79</v>
      </c>
      <c r="R64" s="4"/>
    </row>
    <row r="65" spans="1:18">
      <c r="A65">
        <v>64</v>
      </c>
      <c r="B65" s="3">
        <v>46175.398715277799</v>
      </c>
      <c r="C65" s="3">
        <v>46175.400405092601</v>
      </c>
      <c r="D65" s="4" t="s">
        <v>18</v>
      </c>
      <c r="E65" s="4"/>
      <c r="F65" s="1">
        <v>46175</v>
      </c>
      <c r="G65" s="4" t="s">
        <v>83</v>
      </c>
      <c r="H65" s="4"/>
      <c r="I65" s="5" t="s">
        <v>258</v>
      </c>
      <c r="J65" s="4" t="s">
        <v>259</v>
      </c>
      <c r="K65" s="4" t="s">
        <v>31</v>
      </c>
      <c r="L65" s="4" t="s">
        <v>44</v>
      </c>
      <c r="M65" s="4" t="s">
        <v>24</v>
      </c>
      <c r="N65" s="4" t="s">
        <v>61</v>
      </c>
      <c r="O65" s="4" t="s">
        <v>25</v>
      </c>
      <c r="P65" s="4" t="s">
        <v>36</v>
      </c>
      <c r="Q65" s="4" t="s">
        <v>27</v>
      </c>
      <c r="R65" s="4"/>
    </row>
    <row r="66" spans="1:18">
      <c r="A66">
        <v>65</v>
      </c>
      <c r="B66" s="3">
        <v>46175.405162037001</v>
      </c>
      <c r="C66" s="3">
        <v>46175.406481481499</v>
      </c>
      <c r="D66" s="4" t="s">
        <v>18</v>
      </c>
      <c r="E66" s="4"/>
      <c r="F66" s="1">
        <v>46175</v>
      </c>
      <c r="G66" s="4" t="s">
        <v>83</v>
      </c>
      <c r="H66" s="4"/>
      <c r="I66" s="5" t="s">
        <v>260</v>
      </c>
      <c r="J66" s="4" t="s">
        <v>261</v>
      </c>
      <c r="K66" s="4" t="s">
        <v>242</v>
      </c>
      <c r="L66" s="4" t="s">
        <v>148</v>
      </c>
      <c r="M66" s="4" t="s">
        <v>112</v>
      </c>
      <c r="N66" s="4" t="s">
        <v>24</v>
      </c>
      <c r="O66" s="4" t="s">
        <v>25</v>
      </c>
      <c r="P66" s="4" t="s">
        <v>36</v>
      </c>
      <c r="Q66" s="4" t="s">
        <v>79</v>
      </c>
      <c r="R66" s="4"/>
    </row>
    <row r="67" spans="1:18">
      <c r="A67">
        <v>66</v>
      </c>
      <c r="B67" s="3">
        <v>46175.415254629603</v>
      </c>
      <c r="C67" s="3">
        <v>46175.417442129597</v>
      </c>
      <c r="D67" s="4" t="s">
        <v>18</v>
      </c>
      <c r="E67" s="4"/>
      <c r="F67" s="1">
        <v>46175</v>
      </c>
      <c r="G67" s="4" t="s">
        <v>262</v>
      </c>
      <c r="H67" s="4"/>
      <c r="I67" s="5" t="s">
        <v>263</v>
      </c>
      <c r="J67" s="4" t="s">
        <v>264</v>
      </c>
      <c r="K67" s="4" t="s">
        <v>265</v>
      </c>
      <c r="L67" s="4" t="s">
        <v>266</v>
      </c>
      <c r="M67" s="4" t="s">
        <v>112</v>
      </c>
      <c r="N67" s="4" t="s">
        <v>33</v>
      </c>
      <c r="O67" s="4" t="s">
        <v>25</v>
      </c>
      <c r="P67" s="4" t="s">
        <v>92</v>
      </c>
      <c r="Q67" s="4" t="s">
        <v>93</v>
      </c>
      <c r="R67" s="4"/>
    </row>
    <row r="68" spans="1:18">
      <c r="A68">
        <v>67</v>
      </c>
      <c r="B68" s="3">
        <v>46175.415532407402</v>
      </c>
      <c r="C68" s="3">
        <v>46175.417557870402</v>
      </c>
      <c r="D68" s="4" t="s">
        <v>18</v>
      </c>
      <c r="E68" s="4"/>
      <c r="F68" s="1">
        <v>46175</v>
      </c>
      <c r="G68" s="4" t="s">
        <v>267</v>
      </c>
      <c r="H68" s="4"/>
      <c r="I68" s="5" t="s">
        <v>268</v>
      </c>
      <c r="J68" s="4" t="s">
        <v>269</v>
      </c>
      <c r="K68" s="4" t="s">
        <v>31</v>
      </c>
      <c r="L68" s="4" t="s">
        <v>32</v>
      </c>
      <c r="M68" s="4" t="s">
        <v>34</v>
      </c>
      <c r="N68" s="4" t="s">
        <v>61</v>
      </c>
      <c r="O68" s="4" t="s">
        <v>25</v>
      </c>
      <c r="P68" s="4" t="s">
        <v>36</v>
      </c>
      <c r="Q68" s="4" t="s">
        <v>27</v>
      </c>
      <c r="R68" s="4"/>
    </row>
    <row r="69" spans="1:18">
      <c r="A69">
        <v>68</v>
      </c>
      <c r="B69" s="3">
        <v>46175.417916666702</v>
      </c>
      <c r="C69" s="3">
        <v>46175.419513888897</v>
      </c>
      <c r="D69" s="4" t="s">
        <v>18</v>
      </c>
      <c r="E69" s="4"/>
      <c r="F69" s="1">
        <v>46175</v>
      </c>
      <c r="G69" s="4" t="s">
        <v>270</v>
      </c>
      <c r="H69" s="4"/>
      <c r="I69" s="5" t="s">
        <v>271</v>
      </c>
      <c r="J69" s="4" t="s">
        <v>272</v>
      </c>
      <c r="K69" s="4" t="s">
        <v>273</v>
      </c>
      <c r="L69" s="4" t="s">
        <v>266</v>
      </c>
      <c r="M69" s="4" t="s">
        <v>112</v>
      </c>
      <c r="N69" s="4" t="s">
        <v>33</v>
      </c>
      <c r="O69" s="4" t="s">
        <v>25</v>
      </c>
      <c r="P69" s="4" t="s">
        <v>92</v>
      </c>
      <c r="Q69" s="4" t="s">
        <v>93</v>
      </c>
      <c r="R69" s="4"/>
    </row>
    <row r="70" spans="1:18">
      <c r="A70">
        <v>69</v>
      </c>
      <c r="B70" s="3">
        <v>46175.416435185201</v>
      </c>
      <c r="C70" s="3">
        <v>46175.429722222201</v>
      </c>
      <c r="D70" s="4" t="s">
        <v>18</v>
      </c>
      <c r="E70" s="4"/>
      <c r="F70" s="1">
        <v>46175</v>
      </c>
      <c r="G70" s="4" t="s">
        <v>274</v>
      </c>
      <c r="H70" s="4"/>
      <c r="I70" s="5" t="s">
        <v>275</v>
      </c>
      <c r="J70" s="4" t="s">
        <v>276</v>
      </c>
      <c r="K70" s="4" t="s">
        <v>128</v>
      </c>
      <c r="L70" s="4" t="s">
        <v>23</v>
      </c>
      <c r="M70" s="4" t="s">
        <v>60</v>
      </c>
      <c r="N70" s="4" t="s">
        <v>34</v>
      </c>
      <c r="O70" s="4" t="s">
        <v>25</v>
      </c>
      <c r="P70" s="4" t="s">
        <v>69</v>
      </c>
      <c r="Q70" s="4" t="s">
        <v>27</v>
      </c>
      <c r="R70" s="4" t="s">
        <v>277</v>
      </c>
    </row>
    <row r="71" spans="1:18">
      <c r="A71">
        <v>70</v>
      </c>
      <c r="B71" s="3">
        <v>46175.431134259299</v>
      </c>
      <c r="C71" s="3">
        <v>46175.4344444444</v>
      </c>
      <c r="D71" s="4" t="s">
        <v>18</v>
      </c>
      <c r="E71" s="4"/>
      <c r="F71" s="1">
        <v>46175</v>
      </c>
      <c r="G71" s="4" t="s">
        <v>278</v>
      </c>
      <c r="H71" s="4"/>
      <c r="I71" s="5" t="s">
        <v>279</v>
      </c>
      <c r="J71" s="4" t="s">
        <v>280</v>
      </c>
      <c r="K71" s="4" t="s">
        <v>281</v>
      </c>
      <c r="L71" s="4" t="s">
        <v>23</v>
      </c>
      <c r="M71" s="4" t="s">
        <v>24</v>
      </c>
      <c r="N71" s="4" t="s">
        <v>34</v>
      </c>
      <c r="O71" s="4" t="s">
        <v>25</v>
      </c>
      <c r="P71" s="4" t="s">
        <v>69</v>
      </c>
      <c r="Q71" s="4" t="s">
        <v>27</v>
      </c>
      <c r="R71" s="4" t="s">
        <v>282</v>
      </c>
    </row>
    <row r="72" spans="1:18">
      <c r="A72">
        <v>71</v>
      </c>
      <c r="B72" s="3">
        <v>46175.431956018503</v>
      </c>
      <c r="C72" s="3">
        <v>46175.437442129602</v>
      </c>
      <c r="D72" s="4" t="s">
        <v>18</v>
      </c>
      <c r="E72" s="4"/>
      <c r="F72" s="1">
        <v>46175</v>
      </c>
      <c r="G72" s="4" t="s">
        <v>283</v>
      </c>
      <c r="H72" s="4"/>
      <c r="I72" s="5" t="s">
        <v>284</v>
      </c>
      <c r="J72" s="4" t="s">
        <v>285</v>
      </c>
      <c r="K72" s="4" t="s">
        <v>286</v>
      </c>
      <c r="L72" s="4" t="s">
        <v>23</v>
      </c>
      <c r="M72" s="4" t="s">
        <v>34</v>
      </c>
      <c r="N72" s="4" t="s">
        <v>24</v>
      </c>
      <c r="O72" s="4" t="s">
        <v>25</v>
      </c>
      <c r="P72" s="4" t="s">
        <v>92</v>
      </c>
      <c r="Q72" s="4" t="s">
        <v>79</v>
      </c>
      <c r="R72" s="4" t="s">
        <v>287</v>
      </c>
    </row>
    <row r="73" spans="1:18">
      <c r="A73">
        <v>72</v>
      </c>
      <c r="B73" s="3">
        <v>46175.442719907398</v>
      </c>
      <c r="C73" s="3">
        <v>46175.4440046296</v>
      </c>
      <c r="D73" s="4" t="s">
        <v>18</v>
      </c>
      <c r="E73" s="4"/>
      <c r="F73" s="1">
        <v>46175</v>
      </c>
      <c r="G73" s="4" t="s">
        <v>288</v>
      </c>
      <c r="H73" s="4"/>
      <c r="I73" s="5" t="s">
        <v>289</v>
      </c>
      <c r="J73" s="4" t="s">
        <v>290</v>
      </c>
      <c r="K73" s="4" t="s">
        <v>291</v>
      </c>
      <c r="L73" s="4" t="s">
        <v>44</v>
      </c>
      <c r="M73" s="4" t="s">
        <v>112</v>
      </c>
      <c r="N73" s="4" t="s">
        <v>61</v>
      </c>
      <c r="O73" s="4" t="s">
        <v>25</v>
      </c>
      <c r="P73" s="4" t="s">
        <v>69</v>
      </c>
      <c r="Q73" s="4" t="s">
        <v>27</v>
      </c>
      <c r="R73" s="4"/>
    </row>
    <row r="74" spans="1:18">
      <c r="A74">
        <v>73</v>
      </c>
      <c r="B74" s="3">
        <v>46175.450312499997</v>
      </c>
      <c r="C74" s="3">
        <v>46175.452569444402</v>
      </c>
      <c r="D74" s="4" t="s">
        <v>18</v>
      </c>
      <c r="E74" s="4"/>
      <c r="F74" s="1">
        <v>46175</v>
      </c>
      <c r="G74" s="4" t="s">
        <v>292</v>
      </c>
      <c r="H74" s="4"/>
      <c r="I74" s="5" t="s">
        <v>293</v>
      </c>
      <c r="J74" s="4" t="s">
        <v>294</v>
      </c>
      <c r="K74" s="4" t="s">
        <v>212</v>
      </c>
      <c r="L74" s="4" t="s">
        <v>98</v>
      </c>
      <c r="M74" s="4" t="s">
        <v>24</v>
      </c>
      <c r="N74" s="4" t="s">
        <v>61</v>
      </c>
      <c r="O74" s="4" t="s">
        <v>35</v>
      </c>
      <c r="P74" s="4" t="s">
        <v>213</v>
      </c>
      <c r="Q74" s="4" t="s">
        <v>79</v>
      </c>
      <c r="R74" s="4"/>
    </row>
    <row r="75" spans="1:18">
      <c r="A75">
        <v>74</v>
      </c>
      <c r="B75" s="3">
        <v>46175.451678240701</v>
      </c>
      <c r="C75" s="3">
        <v>46175.453807870399</v>
      </c>
      <c r="D75" s="4" t="s">
        <v>18</v>
      </c>
      <c r="E75" s="4"/>
      <c r="F75" s="1">
        <v>46175</v>
      </c>
      <c r="G75" s="4" t="s">
        <v>134</v>
      </c>
      <c r="H75" s="4"/>
      <c r="I75" s="5" t="s">
        <v>295</v>
      </c>
      <c r="J75" s="4" t="s">
        <v>296</v>
      </c>
      <c r="K75" s="4" t="s">
        <v>90</v>
      </c>
      <c r="L75" s="4" t="s">
        <v>91</v>
      </c>
      <c r="M75" s="4" t="s">
        <v>61</v>
      </c>
      <c r="N75" s="4" t="s">
        <v>34</v>
      </c>
      <c r="O75" s="4" t="s">
        <v>35</v>
      </c>
      <c r="P75" s="4" t="s">
        <v>92</v>
      </c>
      <c r="Q75" s="4" t="s">
        <v>27</v>
      </c>
      <c r="R75" s="4"/>
    </row>
    <row r="76" spans="1:18">
      <c r="A76">
        <v>75</v>
      </c>
      <c r="B76" s="3">
        <v>46175.452638888899</v>
      </c>
      <c r="C76" s="3">
        <v>46175.454375000001</v>
      </c>
      <c r="D76" s="4" t="s">
        <v>18</v>
      </c>
      <c r="E76" s="4"/>
      <c r="F76" s="1">
        <v>46175</v>
      </c>
      <c r="G76" s="4" t="s">
        <v>293</v>
      </c>
      <c r="H76" s="4"/>
      <c r="I76" s="5" t="s">
        <v>297</v>
      </c>
      <c r="J76" s="4" t="s">
        <v>298</v>
      </c>
      <c r="K76" s="4" t="s">
        <v>221</v>
      </c>
      <c r="L76" s="4" t="s">
        <v>98</v>
      </c>
      <c r="M76" s="4" t="s">
        <v>24</v>
      </c>
      <c r="N76" s="4" t="s">
        <v>61</v>
      </c>
      <c r="O76" s="4" t="s">
        <v>25</v>
      </c>
      <c r="P76" s="4" t="s">
        <v>36</v>
      </c>
      <c r="Q76" s="4" t="s">
        <v>93</v>
      </c>
      <c r="R76" s="4"/>
    </row>
    <row r="77" spans="1:18">
      <c r="A77">
        <v>76</v>
      </c>
      <c r="B77" s="3">
        <v>46175.454490740703</v>
      </c>
      <c r="C77" s="3">
        <v>46175.455300925903</v>
      </c>
      <c r="D77" s="4" t="s">
        <v>18</v>
      </c>
      <c r="E77" s="4"/>
      <c r="F77" s="1">
        <v>46175</v>
      </c>
      <c r="G77" s="4" t="s">
        <v>65</v>
      </c>
      <c r="H77" s="4"/>
      <c r="I77" s="5" t="s">
        <v>299</v>
      </c>
      <c r="J77" s="4" t="s">
        <v>217</v>
      </c>
      <c r="K77" s="4" t="s">
        <v>300</v>
      </c>
      <c r="L77" s="4" t="s">
        <v>91</v>
      </c>
      <c r="M77" s="4" t="s">
        <v>112</v>
      </c>
      <c r="N77" s="4" t="s">
        <v>33</v>
      </c>
      <c r="O77" s="4" t="s">
        <v>25</v>
      </c>
      <c r="P77" s="4" t="s">
        <v>69</v>
      </c>
      <c r="Q77" s="4" t="s">
        <v>93</v>
      </c>
      <c r="R77" s="4"/>
    </row>
    <row r="78" spans="1:18">
      <c r="A78">
        <v>77</v>
      </c>
      <c r="B78" s="3">
        <v>46175.4471990741</v>
      </c>
      <c r="C78" s="3">
        <v>46175.467071759304</v>
      </c>
      <c r="D78" s="4" t="s">
        <v>18</v>
      </c>
      <c r="E78" s="4"/>
      <c r="F78" s="1">
        <v>46175</v>
      </c>
      <c r="G78" s="4" t="s">
        <v>301</v>
      </c>
      <c r="H78" s="4"/>
      <c r="I78" s="5" t="s">
        <v>302</v>
      </c>
      <c r="J78" s="4" t="s">
        <v>303</v>
      </c>
      <c r="K78" s="4" t="s">
        <v>304</v>
      </c>
      <c r="L78" s="4" t="s">
        <v>148</v>
      </c>
      <c r="M78" s="4" t="s">
        <v>45</v>
      </c>
      <c r="N78" s="4" t="s">
        <v>24</v>
      </c>
      <c r="O78" s="4" t="s">
        <v>25</v>
      </c>
      <c r="P78" s="4" t="s">
        <v>50</v>
      </c>
      <c r="Q78" s="4" t="s">
        <v>79</v>
      </c>
      <c r="R78" s="4"/>
    </row>
    <row r="79" spans="1:18">
      <c r="A79">
        <v>78</v>
      </c>
      <c r="B79" s="3">
        <v>46175.467118055603</v>
      </c>
      <c r="C79" s="3">
        <v>46175.468217592599</v>
      </c>
      <c r="D79" s="4" t="s">
        <v>18</v>
      </c>
      <c r="E79" s="4"/>
      <c r="F79" s="1">
        <v>46175</v>
      </c>
      <c r="G79" s="4" t="s">
        <v>305</v>
      </c>
      <c r="H79" s="4"/>
      <c r="I79" s="5" t="s">
        <v>306</v>
      </c>
      <c r="J79" s="4" t="s">
        <v>307</v>
      </c>
      <c r="K79" s="4" t="s">
        <v>308</v>
      </c>
      <c r="L79" s="4" t="s">
        <v>148</v>
      </c>
      <c r="M79" s="4" t="s">
        <v>24</v>
      </c>
      <c r="N79" s="4" t="s">
        <v>112</v>
      </c>
      <c r="O79" s="4" t="s">
        <v>25</v>
      </c>
      <c r="P79" s="4" t="s">
        <v>50</v>
      </c>
      <c r="Q79" s="4" t="s">
        <v>79</v>
      </c>
      <c r="R79" s="4"/>
    </row>
    <row r="80" spans="1:18">
      <c r="A80">
        <v>79</v>
      </c>
      <c r="B80" s="3">
        <v>46175.5152662037</v>
      </c>
      <c r="C80" s="3">
        <v>46175.519768518498</v>
      </c>
      <c r="D80" s="4" t="s">
        <v>18</v>
      </c>
      <c r="E80" s="4"/>
      <c r="F80" s="1">
        <v>46175</v>
      </c>
      <c r="G80" s="4" t="s">
        <v>87</v>
      </c>
      <c r="H80" s="4"/>
      <c r="I80" s="5" t="s">
        <v>309</v>
      </c>
      <c r="J80" s="4" t="s">
        <v>310</v>
      </c>
      <c r="K80" s="4" t="s">
        <v>311</v>
      </c>
      <c r="L80" s="4" t="s">
        <v>148</v>
      </c>
      <c r="M80" s="4" t="s">
        <v>61</v>
      </c>
      <c r="N80" s="4" t="s">
        <v>24</v>
      </c>
      <c r="O80" s="4" t="s">
        <v>25</v>
      </c>
      <c r="P80" s="4" t="s">
        <v>36</v>
      </c>
      <c r="Q80" s="4" t="s">
        <v>93</v>
      </c>
      <c r="R80" s="4"/>
    </row>
    <row r="81" spans="1:18">
      <c r="A81">
        <v>80</v>
      </c>
      <c r="B81" s="3">
        <v>46176.321493055599</v>
      </c>
      <c r="C81" s="3">
        <v>46176.325983796298</v>
      </c>
      <c r="D81" s="4" t="s">
        <v>18</v>
      </c>
      <c r="E81" s="4"/>
      <c r="F81" s="1">
        <v>46176</v>
      </c>
      <c r="G81" s="4" t="s">
        <v>312</v>
      </c>
      <c r="H81" s="4"/>
      <c r="I81" s="5" t="s">
        <v>313</v>
      </c>
      <c r="J81" s="4" t="s">
        <v>314</v>
      </c>
      <c r="K81" s="4" t="s">
        <v>315</v>
      </c>
      <c r="L81" s="4" t="s">
        <v>23</v>
      </c>
      <c r="M81" s="4" t="s">
        <v>112</v>
      </c>
      <c r="N81" s="4" t="s">
        <v>24</v>
      </c>
      <c r="O81" s="4" t="s">
        <v>25</v>
      </c>
      <c r="P81" s="4" t="s">
        <v>92</v>
      </c>
      <c r="Q81" s="4" t="s">
        <v>79</v>
      </c>
      <c r="R81" s="4" t="s">
        <v>316</v>
      </c>
    </row>
    <row r="82" spans="1:18">
      <c r="A82">
        <v>81</v>
      </c>
      <c r="B82" s="3">
        <v>46176.367314814801</v>
      </c>
      <c r="C82" s="3">
        <v>46176.369837963</v>
      </c>
      <c r="D82" s="4" t="s">
        <v>18</v>
      </c>
      <c r="E82" s="4"/>
      <c r="F82" s="1">
        <v>46176</v>
      </c>
      <c r="G82" s="4" t="s">
        <v>317</v>
      </c>
      <c r="H82" s="4"/>
      <c r="I82" s="5" t="s">
        <v>318</v>
      </c>
      <c r="J82" s="4" t="s">
        <v>319</v>
      </c>
      <c r="K82" s="4" t="s">
        <v>320</v>
      </c>
      <c r="L82" s="4" t="s">
        <v>266</v>
      </c>
      <c r="M82" s="4" t="s">
        <v>24</v>
      </c>
      <c r="N82" s="4" t="s">
        <v>112</v>
      </c>
      <c r="O82" s="4" t="s">
        <v>25</v>
      </c>
      <c r="P82" s="4" t="s">
        <v>36</v>
      </c>
      <c r="Q82" s="4" t="s">
        <v>27</v>
      </c>
      <c r="R82" s="4"/>
    </row>
    <row r="83" spans="1:18">
      <c r="A83">
        <v>82</v>
      </c>
      <c r="B83" s="3">
        <v>46176.369942129597</v>
      </c>
      <c r="C83" s="3">
        <v>46176.370752314797</v>
      </c>
      <c r="D83" s="4" t="s">
        <v>18</v>
      </c>
      <c r="E83" s="4"/>
      <c r="F83" s="1">
        <v>46176</v>
      </c>
      <c r="G83" s="4" t="s">
        <v>321</v>
      </c>
      <c r="H83" s="4"/>
      <c r="I83" s="5" t="s">
        <v>322</v>
      </c>
      <c r="J83" s="4" t="s">
        <v>323</v>
      </c>
      <c r="K83" s="4" t="s">
        <v>324</v>
      </c>
      <c r="L83" s="4" t="s">
        <v>266</v>
      </c>
      <c r="M83" s="4" t="s">
        <v>24</v>
      </c>
      <c r="N83" s="4" t="s">
        <v>112</v>
      </c>
      <c r="O83" s="4" t="s">
        <v>25</v>
      </c>
      <c r="P83" s="4" t="s">
        <v>69</v>
      </c>
      <c r="Q83" s="4" t="s">
        <v>27</v>
      </c>
      <c r="R83" s="4"/>
    </row>
    <row r="84" spans="1:18">
      <c r="A84">
        <v>83</v>
      </c>
      <c r="B84" s="3">
        <v>46176.416342592602</v>
      </c>
      <c r="C84" s="3">
        <v>46176.418680555602</v>
      </c>
      <c r="D84" s="4" t="s">
        <v>18</v>
      </c>
      <c r="E84" s="4"/>
      <c r="F84" s="1">
        <v>46176</v>
      </c>
      <c r="G84" s="4" t="s">
        <v>325</v>
      </c>
      <c r="H84" s="4"/>
      <c r="I84" s="5" t="s">
        <v>326</v>
      </c>
      <c r="J84" s="4" t="s">
        <v>327</v>
      </c>
      <c r="K84" s="4" t="s">
        <v>31</v>
      </c>
      <c r="L84" s="4" t="s">
        <v>32</v>
      </c>
      <c r="M84" s="4" t="s">
        <v>226</v>
      </c>
      <c r="N84" s="4" t="s">
        <v>61</v>
      </c>
      <c r="O84" s="4" t="s">
        <v>35</v>
      </c>
      <c r="P84" s="4" t="s">
        <v>92</v>
      </c>
      <c r="Q84" s="4" t="s">
        <v>27</v>
      </c>
      <c r="R84" s="4"/>
    </row>
    <row r="85" spans="1:18">
      <c r="A85">
        <v>84</v>
      </c>
      <c r="B85" s="3">
        <v>46176.4227314815</v>
      </c>
      <c r="C85" s="3">
        <v>46176.424467592602</v>
      </c>
      <c r="D85" s="4" t="s">
        <v>18</v>
      </c>
      <c r="E85" s="4"/>
      <c r="F85" s="1">
        <v>46176</v>
      </c>
      <c r="G85" s="4" t="s">
        <v>328</v>
      </c>
      <c r="H85" s="4"/>
      <c r="I85" s="5" t="s">
        <v>329</v>
      </c>
      <c r="J85" s="4" t="s">
        <v>330</v>
      </c>
      <c r="K85" s="4" t="s">
        <v>331</v>
      </c>
      <c r="L85" s="4" t="s">
        <v>148</v>
      </c>
      <c r="M85" s="4" t="s">
        <v>60</v>
      </c>
      <c r="N85" s="4" t="s">
        <v>24</v>
      </c>
      <c r="O85" s="4" t="s">
        <v>25</v>
      </c>
      <c r="P85" s="4" t="s">
        <v>50</v>
      </c>
      <c r="Q85" s="4" t="s">
        <v>93</v>
      </c>
      <c r="R85" s="4"/>
    </row>
    <row r="86" spans="1:18">
      <c r="A86">
        <v>85</v>
      </c>
      <c r="B86" s="3">
        <v>46176.424675925897</v>
      </c>
      <c r="C86" s="3">
        <v>46176.426168981503</v>
      </c>
      <c r="D86" s="4" t="s">
        <v>18</v>
      </c>
      <c r="E86" s="4"/>
      <c r="F86" s="1">
        <v>46176</v>
      </c>
      <c r="G86" s="4" t="s">
        <v>328</v>
      </c>
      <c r="H86" s="4"/>
      <c r="I86" s="5" t="s">
        <v>332</v>
      </c>
      <c r="J86" s="4" t="s">
        <v>333</v>
      </c>
      <c r="K86" s="4" t="s">
        <v>334</v>
      </c>
      <c r="L86" s="4" t="s">
        <v>148</v>
      </c>
      <c r="M86" s="4" t="s">
        <v>60</v>
      </c>
      <c r="N86" s="4" t="s">
        <v>24</v>
      </c>
      <c r="O86" s="4" t="s">
        <v>25</v>
      </c>
      <c r="P86" s="4" t="s">
        <v>50</v>
      </c>
      <c r="Q86" s="4" t="s">
        <v>93</v>
      </c>
      <c r="R86" s="4"/>
    </row>
    <row r="87" spans="1:18">
      <c r="A87">
        <v>86</v>
      </c>
      <c r="B87" s="3">
        <v>46176.433692129598</v>
      </c>
      <c r="C87" s="3">
        <v>46176.434583333299</v>
      </c>
      <c r="D87" s="4" t="s">
        <v>18</v>
      </c>
      <c r="E87" s="4"/>
      <c r="F87" s="1">
        <v>46176</v>
      </c>
      <c r="G87" s="4" t="s">
        <v>134</v>
      </c>
      <c r="H87" s="4"/>
      <c r="I87" s="5" t="s">
        <v>335</v>
      </c>
      <c r="J87" s="4" t="s">
        <v>336</v>
      </c>
      <c r="K87" s="4" t="s">
        <v>337</v>
      </c>
      <c r="L87" s="4" t="s">
        <v>91</v>
      </c>
      <c r="M87" s="4" t="s">
        <v>112</v>
      </c>
      <c r="N87" s="4" t="s">
        <v>34</v>
      </c>
      <c r="O87" s="4" t="s">
        <v>25</v>
      </c>
      <c r="P87" s="4" t="s">
        <v>69</v>
      </c>
      <c r="Q87" s="4" t="s">
        <v>93</v>
      </c>
      <c r="R87" s="4"/>
    </row>
    <row r="88" spans="1:18">
      <c r="A88">
        <v>87</v>
      </c>
      <c r="B88" s="3">
        <v>46176.433842592603</v>
      </c>
      <c r="C88" s="3">
        <v>46176.435601851903</v>
      </c>
      <c r="D88" s="4" t="s">
        <v>18</v>
      </c>
      <c r="E88" s="4"/>
      <c r="F88" s="1">
        <v>46176</v>
      </c>
      <c r="G88" s="4" t="s">
        <v>137</v>
      </c>
      <c r="H88" s="4"/>
      <c r="I88" s="5" t="s">
        <v>338</v>
      </c>
      <c r="J88" s="4" t="s">
        <v>339</v>
      </c>
      <c r="K88" s="4" t="s">
        <v>22</v>
      </c>
      <c r="L88" s="4" t="s">
        <v>148</v>
      </c>
      <c r="M88" s="4" t="s">
        <v>112</v>
      </c>
      <c r="N88" s="4" t="s">
        <v>24</v>
      </c>
      <c r="O88" s="4" t="s">
        <v>25</v>
      </c>
      <c r="P88" s="4" t="s">
        <v>36</v>
      </c>
      <c r="Q88" s="4" t="s">
        <v>79</v>
      </c>
      <c r="R88" s="4"/>
    </row>
    <row r="89" spans="1:18">
      <c r="A89">
        <v>88</v>
      </c>
      <c r="B89" s="3">
        <v>46176.435636574097</v>
      </c>
      <c r="C89" s="3">
        <v>46176.436840277798</v>
      </c>
      <c r="D89" s="4" t="s">
        <v>18</v>
      </c>
      <c r="E89" s="4"/>
      <c r="F89" s="1">
        <v>46176</v>
      </c>
      <c r="G89" s="4" t="s">
        <v>62</v>
      </c>
      <c r="H89" s="4"/>
      <c r="I89" s="5" t="s">
        <v>340</v>
      </c>
      <c r="J89" s="4" t="s">
        <v>341</v>
      </c>
      <c r="K89" s="4" t="s">
        <v>342</v>
      </c>
      <c r="L89" s="4" t="s">
        <v>91</v>
      </c>
      <c r="M89" s="4" t="s">
        <v>112</v>
      </c>
      <c r="N89" s="4" t="s">
        <v>34</v>
      </c>
      <c r="O89" s="4" t="s">
        <v>25</v>
      </c>
      <c r="P89" s="4" t="s">
        <v>69</v>
      </c>
      <c r="Q89" s="4" t="s">
        <v>93</v>
      </c>
      <c r="R89" s="4"/>
    </row>
    <row r="90" spans="1:18">
      <c r="A90">
        <v>89</v>
      </c>
      <c r="B90" s="3">
        <v>46176.4363773148</v>
      </c>
      <c r="C90" s="3">
        <v>46176.4381712963</v>
      </c>
      <c r="D90" s="4" t="s">
        <v>18</v>
      </c>
      <c r="E90" s="4"/>
      <c r="F90" s="1">
        <v>46176</v>
      </c>
      <c r="G90" s="4" t="s">
        <v>343</v>
      </c>
      <c r="H90" s="4"/>
      <c r="I90" s="5" t="s">
        <v>344</v>
      </c>
      <c r="J90" s="4" t="s">
        <v>345</v>
      </c>
      <c r="K90" s="4" t="s">
        <v>346</v>
      </c>
      <c r="L90" s="4" t="s">
        <v>98</v>
      </c>
      <c r="M90" s="4" t="s">
        <v>226</v>
      </c>
      <c r="N90" s="4" t="s">
        <v>61</v>
      </c>
      <c r="O90" s="4" t="s">
        <v>35</v>
      </c>
      <c r="P90" s="4" t="s">
        <v>347</v>
      </c>
      <c r="Q90" s="4" t="s">
        <v>79</v>
      </c>
      <c r="R90" s="4"/>
    </row>
    <row r="91" spans="1:18">
      <c r="A91">
        <v>90</v>
      </c>
      <c r="B91" s="3">
        <v>46176.438148148103</v>
      </c>
      <c r="C91" s="3">
        <v>46176.439641203702</v>
      </c>
      <c r="D91" s="4" t="s">
        <v>18</v>
      </c>
      <c r="E91" s="4"/>
      <c r="F91" s="1">
        <v>46176</v>
      </c>
      <c r="G91" s="4" t="s">
        <v>62</v>
      </c>
      <c r="H91" s="4"/>
      <c r="I91" s="5" t="s">
        <v>348</v>
      </c>
      <c r="J91" s="4" t="s">
        <v>349</v>
      </c>
      <c r="K91" s="4" t="s">
        <v>350</v>
      </c>
      <c r="L91" s="4" t="s">
        <v>91</v>
      </c>
      <c r="M91" s="4" t="s">
        <v>60</v>
      </c>
      <c r="N91" s="4" t="s">
        <v>112</v>
      </c>
      <c r="O91" s="4" t="s">
        <v>25</v>
      </c>
      <c r="P91" s="4" t="s">
        <v>36</v>
      </c>
      <c r="Q91" s="4" t="s">
        <v>27</v>
      </c>
      <c r="R91" s="4"/>
    </row>
    <row r="92" spans="1:18">
      <c r="A92">
        <v>91</v>
      </c>
      <c r="B92" s="3">
        <v>46176.4388078704</v>
      </c>
      <c r="C92" s="3">
        <v>46176.440833333298</v>
      </c>
      <c r="D92" s="4" t="s">
        <v>18</v>
      </c>
      <c r="E92" s="4"/>
      <c r="F92" s="1">
        <v>46176</v>
      </c>
      <c r="G92" s="4" t="s">
        <v>343</v>
      </c>
      <c r="H92" s="4"/>
      <c r="I92" s="5" t="s">
        <v>351</v>
      </c>
      <c r="J92" s="4" t="s">
        <v>352</v>
      </c>
      <c r="K92" s="4" t="s">
        <v>346</v>
      </c>
      <c r="L92" s="4" t="s">
        <v>98</v>
      </c>
      <c r="M92" s="4" t="s">
        <v>226</v>
      </c>
      <c r="N92" s="4" t="s">
        <v>61</v>
      </c>
      <c r="O92" s="4" t="s">
        <v>35</v>
      </c>
      <c r="P92" s="4" t="s">
        <v>213</v>
      </c>
      <c r="Q92" s="4" t="s">
        <v>79</v>
      </c>
      <c r="R92" s="4"/>
    </row>
    <row r="93" spans="1:18">
      <c r="A93">
        <v>92</v>
      </c>
      <c r="B93" s="3">
        <v>46176.442557870403</v>
      </c>
      <c r="C93" s="3">
        <v>46176.444652777798</v>
      </c>
      <c r="D93" s="4" t="s">
        <v>18</v>
      </c>
      <c r="E93" s="4"/>
      <c r="F93" s="1">
        <v>46176</v>
      </c>
      <c r="G93" s="4" t="s">
        <v>353</v>
      </c>
      <c r="H93" s="4"/>
      <c r="I93" s="5" t="s">
        <v>354</v>
      </c>
      <c r="J93" s="4" t="s">
        <v>355</v>
      </c>
      <c r="K93" s="4" t="s">
        <v>356</v>
      </c>
      <c r="L93" s="4" t="s">
        <v>98</v>
      </c>
      <c r="M93" s="4" t="s">
        <v>226</v>
      </c>
      <c r="N93" s="4" t="s">
        <v>61</v>
      </c>
      <c r="O93" s="4" t="s">
        <v>25</v>
      </c>
      <c r="P93" s="4" t="s">
        <v>36</v>
      </c>
      <c r="Q93" s="4" t="s">
        <v>27</v>
      </c>
      <c r="R93" s="4"/>
    </row>
    <row r="94" spans="1:18">
      <c r="A94">
        <v>93</v>
      </c>
      <c r="B94" s="3">
        <v>46176.445092592599</v>
      </c>
      <c r="C94" s="3">
        <v>46176.4465740741</v>
      </c>
      <c r="D94" s="4" t="s">
        <v>18</v>
      </c>
      <c r="E94" s="4"/>
      <c r="F94" s="1">
        <v>46176</v>
      </c>
      <c r="G94" s="4" t="s">
        <v>353</v>
      </c>
      <c r="H94" s="4"/>
      <c r="I94" s="5" t="s">
        <v>357</v>
      </c>
      <c r="J94" s="4" t="s">
        <v>358</v>
      </c>
      <c r="K94" s="4" t="s">
        <v>359</v>
      </c>
      <c r="L94" s="4" t="s">
        <v>98</v>
      </c>
      <c r="M94" s="4" t="s">
        <v>226</v>
      </c>
      <c r="N94" s="4" t="s">
        <v>61</v>
      </c>
      <c r="O94" s="4" t="s">
        <v>25</v>
      </c>
      <c r="P94" s="4" t="s">
        <v>69</v>
      </c>
      <c r="Q94" s="4" t="s">
        <v>27</v>
      </c>
      <c r="R94" s="4"/>
    </row>
    <row r="95" spans="1:18">
      <c r="A95">
        <v>94</v>
      </c>
      <c r="B95" s="3">
        <v>46176.452696759297</v>
      </c>
      <c r="C95" s="3">
        <v>46176.456504629597</v>
      </c>
      <c r="D95" s="4" t="s">
        <v>18</v>
      </c>
      <c r="E95" s="4"/>
      <c r="F95" s="1">
        <v>46176</v>
      </c>
      <c r="G95" s="4" t="s">
        <v>360</v>
      </c>
      <c r="H95" s="4"/>
      <c r="I95" s="5" t="s">
        <v>361</v>
      </c>
      <c r="J95" s="4" t="s">
        <v>362</v>
      </c>
      <c r="K95" s="4" t="s">
        <v>363</v>
      </c>
      <c r="L95" s="4" t="s">
        <v>23</v>
      </c>
      <c r="M95" s="4" t="s">
        <v>34</v>
      </c>
      <c r="N95" s="4" t="s">
        <v>112</v>
      </c>
      <c r="O95" s="4" t="s">
        <v>25</v>
      </c>
      <c r="P95" s="4" t="s">
        <v>69</v>
      </c>
      <c r="Q95" s="4" t="s">
        <v>27</v>
      </c>
      <c r="R95" s="4" t="s">
        <v>364</v>
      </c>
    </row>
    <row r="96" spans="1:18">
      <c r="A96">
        <v>95</v>
      </c>
      <c r="B96" s="3">
        <v>46176.457384259302</v>
      </c>
      <c r="C96" s="3">
        <v>46176.459837962997</v>
      </c>
      <c r="D96" s="4" t="s">
        <v>18</v>
      </c>
      <c r="E96" s="4"/>
      <c r="F96" s="1">
        <v>46176</v>
      </c>
      <c r="G96" s="4" t="s">
        <v>365</v>
      </c>
      <c r="H96" s="4"/>
      <c r="I96" s="5" t="s">
        <v>366</v>
      </c>
      <c r="J96" s="4" t="s">
        <v>367</v>
      </c>
      <c r="K96" s="4" t="s">
        <v>128</v>
      </c>
      <c r="L96" s="4" t="s">
        <v>23</v>
      </c>
      <c r="M96" s="4" t="s">
        <v>34</v>
      </c>
      <c r="N96" s="4" t="s">
        <v>112</v>
      </c>
      <c r="O96" s="4" t="s">
        <v>25</v>
      </c>
      <c r="P96" s="4" t="s">
        <v>69</v>
      </c>
      <c r="Q96" s="4" t="s">
        <v>27</v>
      </c>
      <c r="R96" s="4" t="s">
        <v>368</v>
      </c>
    </row>
    <row r="97" spans="1:18">
      <c r="A97">
        <v>96</v>
      </c>
      <c r="B97" s="3">
        <v>46176.525914351798</v>
      </c>
      <c r="C97" s="3">
        <v>46176.531493055598</v>
      </c>
      <c r="D97" s="4" t="s">
        <v>18</v>
      </c>
      <c r="E97" s="4"/>
      <c r="F97" s="1">
        <v>46176</v>
      </c>
      <c r="G97" s="4" t="s">
        <v>369</v>
      </c>
      <c r="H97" s="4"/>
      <c r="I97" s="5" t="s">
        <v>370</v>
      </c>
      <c r="J97" s="4" t="s">
        <v>371</v>
      </c>
      <c r="K97" s="4" t="s">
        <v>372</v>
      </c>
      <c r="L97" s="4" t="s">
        <v>148</v>
      </c>
      <c r="M97" s="4" t="s">
        <v>112</v>
      </c>
      <c r="N97" s="4" t="s">
        <v>24</v>
      </c>
      <c r="O97" s="4" t="s">
        <v>25</v>
      </c>
      <c r="P97" s="4" t="s">
        <v>69</v>
      </c>
      <c r="Q97" s="4" t="s">
        <v>79</v>
      </c>
      <c r="R97" s="4"/>
    </row>
    <row r="98" spans="1:18">
      <c r="A98">
        <v>97</v>
      </c>
      <c r="B98" s="3">
        <v>46176.531527777799</v>
      </c>
      <c r="C98" s="3">
        <v>46176.532604166699</v>
      </c>
      <c r="D98" s="4" t="s">
        <v>18</v>
      </c>
      <c r="E98" s="4"/>
      <c r="F98" s="1">
        <v>46176</v>
      </c>
      <c r="G98" s="4" t="s">
        <v>369</v>
      </c>
      <c r="H98" s="4"/>
      <c r="I98" s="5" t="s">
        <v>373</v>
      </c>
      <c r="J98" s="4" t="s">
        <v>374</v>
      </c>
      <c r="K98" s="4" t="s">
        <v>375</v>
      </c>
      <c r="L98" s="4" t="s">
        <v>148</v>
      </c>
      <c r="M98" s="4" t="s">
        <v>112</v>
      </c>
      <c r="N98" s="4" t="s">
        <v>24</v>
      </c>
      <c r="O98" s="4" t="s">
        <v>25</v>
      </c>
      <c r="P98" s="4" t="s">
        <v>69</v>
      </c>
      <c r="Q98" s="4" t="s">
        <v>27</v>
      </c>
      <c r="R98" s="4"/>
    </row>
    <row r="99" spans="1:18">
      <c r="A99">
        <v>98</v>
      </c>
      <c r="B99" s="3">
        <v>46176.532638888901</v>
      </c>
      <c r="C99" s="3">
        <v>46176.534143518496</v>
      </c>
      <c r="D99" s="4" t="s">
        <v>18</v>
      </c>
      <c r="E99" s="4"/>
      <c r="F99" s="1">
        <v>46176</v>
      </c>
      <c r="G99" s="4" t="s">
        <v>376</v>
      </c>
      <c r="H99" s="4"/>
      <c r="I99" s="5" t="s">
        <v>329</v>
      </c>
      <c r="J99" s="4" t="s">
        <v>377</v>
      </c>
      <c r="K99" s="4" t="s">
        <v>378</v>
      </c>
      <c r="L99" s="4" t="s">
        <v>148</v>
      </c>
      <c r="M99" s="4" t="s">
        <v>60</v>
      </c>
      <c r="N99" s="4" t="s">
        <v>24</v>
      </c>
      <c r="O99" s="4" t="s">
        <v>25</v>
      </c>
      <c r="P99" s="4" t="s">
        <v>50</v>
      </c>
      <c r="Q99" s="4" t="s">
        <v>79</v>
      </c>
      <c r="R99" s="4"/>
    </row>
    <row r="100" spans="1:18">
      <c r="A100">
        <v>99</v>
      </c>
      <c r="B100" s="3">
        <v>46176.534212963001</v>
      </c>
      <c r="C100" s="3">
        <v>46176.535567129598</v>
      </c>
      <c r="D100" s="4" t="s">
        <v>18</v>
      </c>
      <c r="E100" s="4"/>
      <c r="F100" s="1">
        <v>46176</v>
      </c>
      <c r="G100" s="4" t="s">
        <v>379</v>
      </c>
      <c r="H100" s="4"/>
      <c r="I100" s="5" t="s">
        <v>332</v>
      </c>
      <c r="J100" s="4" t="s">
        <v>380</v>
      </c>
      <c r="K100" s="4" t="s">
        <v>381</v>
      </c>
      <c r="L100" s="4" t="s">
        <v>148</v>
      </c>
      <c r="M100" s="4" t="s">
        <v>60</v>
      </c>
      <c r="N100" s="4" t="s">
        <v>24</v>
      </c>
      <c r="O100" s="4" t="s">
        <v>25</v>
      </c>
      <c r="P100" s="4" t="s">
        <v>50</v>
      </c>
      <c r="Q100" s="4" t="s">
        <v>79</v>
      </c>
      <c r="R100" s="4"/>
    </row>
    <row r="101" spans="1:18">
      <c r="A101">
        <v>100</v>
      </c>
      <c r="B101" s="3">
        <v>46176.535636574103</v>
      </c>
      <c r="C101" s="3">
        <v>46176.536747685197</v>
      </c>
      <c r="D101" s="4" t="s">
        <v>18</v>
      </c>
      <c r="E101" s="4"/>
      <c r="F101" s="1">
        <v>46176</v>
      </c>
      <c r="G101" s="4" t="s">
        <v>382</v>
      </c>
      <c r="H101" s="4"/>
      <c r="I101" s="5" t="s">
        <v>383</v>
      </c>
      <c r="J101" s="4" t="s">
        <v>384</v>
      </c>
      <c r="K101" s="4" t="s">
        <v>385</v>
      </c>
      <c r="L101" s="4" t="s">
        <v>148</v>
      </c>
      <c r="M101" s="4" t="s">
        <v>112</v>
      </c>
      <c r="N101" s="4" t="s">
        <v>24</v>
      </c>
      <c r="O101" s="4" t="s">
        <v>25</v>
      </c>
      <c r="P101" s="4" t="s">
        <v>50</v>
      </c>
      <c r="Q101" s="4" t="s">
        <v>79</v>
      </c>
      <c r="R101" s="4"/>
    </row>
    <row r="102" spans="1:18">
      <c r="A102">
        <v>101</v>
      </c>
      <c r="B102" s="3">
        <v>46176.667905092603</v>
      </c>
      <c r="C102" s="3">
        <v>46176.668622685203</v>
      </c>
      <c r="D102" s="4" t="s">
        <v>18</v>
      </c>
      <c r="E102" s="4"/>
      <c r="F102" s="1">
        <v>46176</v>
      </c>
      <c r="G102" s="4" t="s">
        <v>386</v>
      </c>
      <c r="H102" s="4"/>
      <c r="I102" s="5" t="s">
        <v>387</v>
      </c>
      <c r="J102" s="4" t="s">
        <v>388</v>
      </c>
      <c r="K102" s="4" t="s">
        <v>31</v>
      </c>
      <c r="L102" s="4" t="s">
        <v>44</v>
      </c>
      <c r="M102" s="4" t="s">
        <v>226</v>
      </c>
      <c r="N102" s="4" t="s">
        <v>61</v>
      </c>
      <c r="O102" s="4" t="s">
        <v>25</v>
      </c>
      <c r="P102" s="4" t="s">
        <v>36</v>
      </c>
      <c r="Q102" s="4" t="s">
        <v>27</v>
      </c>
      <c r="R102" s="4"/>
    </row>
    <row r="103" spans="1:18">
      <c r="A103">
        <v>102</v>
      </c>
      <c r="B103" s="3">
        <v>46176.8898148148</v>
      </c>
      <c r="C103" s="3">
        <v>46176.8913888889</v>
      </c>
      <c r="D103" s="4" t="s">
        <v>18</v>
      </c>
      <c r="E103" s="4"/>
      <c r="F103" s="1">
        <v>46176</v>
      </c>
      <c r="G103" s="4" t="s">
        <v>389</v>
      </c>
      <c r="H103" s="4"/>
      <c r="I103" s="5" t="s">
        <v>390</v>
      </c>
      <c r="J103" s="4" t="s">
        <v>391</v>
      </c>
      <c r="K103" s="4" t="s">
        <v>31</v>
      </c>
      <c r="L103" s="4" t="s">
        <v>32</v>
      </c>
      <c r="M103" s="4" t="s">
        <v>33</v>
      </c>
      <c r="N103" s="4" t="s">
        <v>117</v>
      </c>
      <c r="O103" s="4" t="s">
        <v>25</v>
      </c>
      <c r="P103" s="4" t="s">
        <v>92</v>
      </c>
      <c r="Q103" s="4" t="s">
        <v>27</v>
      </c>
      <c r="R103" s="4"/>
    </row>
    <row r="104" spans="1:18">
      <c r="A104">
        <v>103</v>
      </c>
      <c r="B104" s="3">
        <v>46177.357569444401</v>
      </c>
      <c r="C104" s="3">
        <v>46177.360462962999</v>
      </c>
      <c r="D104" s="4" t="s">
        <v>18</v>
      </c>
      <c r="E104" s="4"/>
      <c r="F104" s="1">
        <v>46177</v>
      </c>
      <c r="G104" s="4" t="s">
        <v>392</v>
      </c>
      <c r="H104" s="4"/>
      <c r="I104" s="5" t="s">
        <v>393</v>
      </c>
      <c r="J104" s="4" t="s">
        <v>394</v>
      </c>
      <c r="K104" s="4" t="s">
        <v>395</v>
      </c>
      <c r="L104" s="4" t="s">
        <v>23</v>
      </c>
      <c r="M104" s="4" t="s">
        <v>112</v>
      </c>
      <c r="N104" s="4" t="s">
        <v>24</v>
      </c>
      <c r="O104" s="4" t="s">
        <v>25</v>
      </c>
      <c r="P104" s="4" t="s">
        <v>92</v>
      </c>
      <c r="Q104" s="4" t="s">
        <v>79</v>
      </c>
      <c r="R104" s="4" t="s">
        <v>396</v>
      </c>
    </row>
    <row r="105" spans="1:18">
      <c r="A105">
        <v>104</v>
      </c>
      <c r="B105" s="3">
        <v>46177.407476851797</v>
      </c>
      <c r="C105" s="3">
        <v>46177.408564814803</v>
      </c>
      <c r="D105" s="4" t="s">
        <v>18</v>
      </c>
      <c r="E105" s="4"/>
      <c r="F105" s="1">
        <v>46177</v>
      </c>
      <c r="G105" s="4" t="s">
        <v>397</v>
      </c>
      <c r="H105" s="4"/>
      <c r="I105" s="5" t="s">
        <v>398</v>
      </c>
      <c r="J105" s="4" t="s">
        <v>399</v>
      </c>
      <c r="K105" s="4" t="s">
        <v>346</v>
      </c>
      <c r="L105" s="4" t="s">
        <v>98</v>
      </c>
      <c r="M105" s="4" t="s">
        <v>226</v>
      </c>
      <c r="N105" s="4" t="s">
        <v>61</v>
      </c>
      <c r="O105" s="4" t="s">
        <v>35</v>
      </c>
      <c r="P105" s="4" t="s">
        <v>347</v>
      </c>
      <c r="Q105" s="4" t="s">
        <v>79</v>
      </c>
      <c r="R105" s="4"/>
    </row>
    <row r="106" spans="1:18">
      <c r="A106">
        <v>105</v>
      </c>
      <c r="B106" s="3">
        <v>46177.4070601852</v>
      </c>
      <c r="C106" s="3">
        <v>46177.412199074097</v>
      </c>
      <c r="D106" s="4" t="s">
        <v>18</v>
      </c>
      <c r="E106" s="4"/>
      <c r="F106" s="1">
        <v>46177</v>
      </c>
      <c r="G106" s="4" t="s">
        <v>400</v>
      </c>
      <c r="H106" s="4"/>
      <c r="I106" s="5" t="s">
        <v>401</v>
      </c>
      <c r="J106" s="4" t="s">
        <v>402</v>
      </c>
      <c r="K106" s="4" t="s">
        <v>403</v>
      </c>
      <c r="L106" s="4" t="s">
        <v>23</v>
      </c>
      <c r="M106" s="4" t="s">
        <v>34</v>
      </c>
      <c r="N106" s="4" t="s">
        <v>24</v>
      </c>
      <c r="O106" s="4" t="s">
        <v>25</v>
      </c>
      <c r="P106" s="4" t="s">
        <v>69</v>
      </c>
      <c r="Q106" s="4" t="s">
        <v>27</v>
      </c>
      <c r="R106" s="4" t="s">
        <v>404</v>
      </c>
    </row>
    <row r="107" spans="1:18">
      <c r="A107">
        <v>106</v>
      </c>
      <c r="B107" s="3">
        <v>46177.407962963</v>
      </c>
      <c r="C107" s="3">
        <v>46177.4125347222</v>
      </c>
      <c r="D107" s="4" t="s">
        <v>18</v>
      </c>
      <c r="E107" s="4"/>
      <c r="F107" s="1">
        <v>46177</v>
      </c>
      <c r="G107" s="4" t="s">
        <v>405</v>
      </c>
      <c r="H107" s="4"/>
      <c r="I107" s="5" t="s">
        <v>406</v>
      </c>
      <c r="J107" s="4" t="s">
        <v>407</v>
      </c>
      <c r="K107" s="4" t="s">
        <v>212</v>
      </c>
      <c r="L107" s="4" t="s">
        <v>98</v>
      </c>
      <c r="M107" s="4" t="s">
        <v>226</v>
      </c>
      <c r="N107" s="4" t="s">
        <v>61</v>
      </c>
      <c r="O107" s="4" t="s">
        <v>35</v>
      </c>
      <c r="P107" s="4" t="s">
        <v>213</v>
      </c>
      <c r="Q107" s="4" t="s">
        <v>79</v>
      </c>
      <c r="R107" s="4"/>
    </row>
    <row r="108" spans="1:18">
      <c r="A108">
        <v>107</v>
      </c>
      <c r="B108" s="3">
        <v>46177.4125810185</v>
      </c>
      <c r="C108" s="3">
        <v>46177.415659722203</v>
      </c>
      <c r="D108" s="4" t="s">
        <v>18</v>
      </c>
      <c r="E108" s="4"/>
      <c r="F108" s="1">
        <v>46177</v>
      </c>
      <c r="G108" s="4" t="s">
        <v>405</v>
      </c>
      <c r="H108" s="4"/>
      <c r="I108" s="5" t="s">
        <v>408</v>
      </c>
      <c r="J108" s="4" t="s">
        <v>409</v>
      </c>
      <c r="K108" s="4" t="s">
        <v>356</v>
      </c>
      <c r="L108" s="4" t="s">
        <v>98</v>
      </c>
      <c r="M108" s="4" t="s">
        <v>226</v>
      </c>
      <c r="N108" s="4" t="s">
        <v>61</v>
      </c>
      <c r="O108" s="4" t="s">
        <v>25</v>
      </c>
      <c r="P108" s="4" t="s">
        <v>36</v>
      </c>
      <c r="Q108" s="4" t="s">
        <v>27</v>
      </c>
      <c r="R108" s="4"/>
    </row>
    <row r="109" spans="1:18">
      <c r="A109">
        <v>108</v>
      </c>
      <c r="B109" s="3">
        <v>46177.412511574097</v>
      </c>
      <c r="C109" s="3">
        <v>46177.420023148203</v>
      </c>
      <c r="D109" s="4" t="s">
        <v>18</v>
      </c>
      <c r="E109" s="4"/>
      <c r="F109" s="1">
        <v>46177</v>
      </c>
      <c r="G109" s="4" t="s">
        <v>410</v>
      </c>
      <c r="H109" s="4"/>
      <c r="I109" s="5" t="s">
        <v>411</v>
      </c>
      <c r="J109" s="4" t="s">
        <v>412</v>
      </c>
      <c r="K109" s="4" t="s">
        <v>413</v>
      </c>
      <c r="L109" s="4" t="s">
        <v>23</v>
      </c>
      <c r="M109" s="4" t="s">
        <v>24</v>
      </c>
      <c r="N109" s="4" t="s">
        <v>34</v>
      </c>
      <c r="O109" s="4" t="s">
        <v>25</v>
      </c>
      <c r="P109" s="4" t="s">
        <v>69</v>
      </c>
      <c r="Q109" s="4" t="s">
        <v>27</v>
      </c>
      <c r="R109" s="4" t="s">
        <v>404</v>
      </c>
    </row>
    <row r="110" spans="1:18">
      <c r="A110">
        <v>109</v>
      </c>
      <c r="B110" s="3">
        <v>46177.466747685197</v>
      </c>
      <c r="C110" s="3">
        <v>46177.4680787037</v>
      </c>
      <c r="D110" s="4" t="s">
        <v>18</v>
      </c>
      <c r="E110" s="4"/>
      <c r="F110" s="1">
        <v>46177</v>
      </c>
      <c r="G110" s="4" t="s">
        <v>414</v>
      </c>
      <c r="H110" s="4"/>
      <c r="I110" s="5" t="s">
        <v>415</v>
      </c>
      <c r="J110" s="4" t="s">
        <v>416</v>
      </c>
      <c r="K110" s="4" t="s">
        <v>31</v>
      </c>
      <c r="L110" s="4" t="s">
        <v>32</v>
      </c>
      <c r="M110" s="4" t="s">
        <v>60</v>
      </c>
      <c r="N110" s="4" t="s">
        <v>61</v>
      </c>
      <c r="O110" s="4" t="s">
        <v>25</v>
      </c>
      <c r="P110" s="4" t="s">
        <v>69</v>
      </c>
      <c r="Q110" s="4" t="s">
        <v>93</v>
      </c>
      <c r="R110" s="4"/>
    </row>
    <row r="111" spans="1:18">
      <c r="A111">
        <v>110</v>
      </c>
      <c r="B111" s="3">
        <v>46177.595381944397</v>
      </c>
      <c r="C111" s="3">
        <v>46177.596863425897</v>
      </c>
      <c r="D111" s="4" t="s">
        <v>18</v>
      </c>
      <c r="E111" s="4"/>
      <c r="F111" s="1">
        <v>46177</v>
      </c>
      <c r="G111" s="4" t="s">
        <v>417</v>
      </c>
      <c r="H111" s="4"/>
      <c r="I111" s="5" t="s">
        <v>418</v>
      </c>
      <c r="J111" s="4" t="s">
        <v>419</v>
      </c>
      <c r="K111" s="4" t="s">
        <v>420</v>
      </c>
      <c r="L111" s="4" t="s">
        <v>148</v>
      </c>
      <c r="M111" s="4" t="s">
        <v>112</v>
      </c>
      <c r="N111" s="4" t="s">
        <v>24</v>
      </c>
      <c r="O111" s="4" t="s">
        <v>25</v>
      </c>
      <c r="P111" s="4" t="s">
        <v>36</v>
      </c>
      <c r="Q111" s="4" t="s">
        <v>79</v>
      </c>
      <c r="R111" s="4"/>
    </row>
    <row r="112" spans="1:18">
      <c r="A112">
        <v>111</v>
      </c>
      <c r="B112" s="3">
        <v>46177.596886574102</v>
      </c>
      <c r="C112" s="3">
        <v>46177.599143518499</v>
      </c>
      <c r="D112" s="4" t="s">
        <v>18</v>
      </c>
      <c r="E112" s="4"/>
      <c r="F112" s="1">
        <v>46177</v>
      </c>
      <c r="G112" s="4" t="s">
        <v>421</v>
      </c>
      <c r="H112" s="4"/>
      <c r="I112" s="5" t="s">
        <v>422</v>
      </c>
      <c r="J112" s="4" t="s">
        <v>423</v>
      </c>
      <c r="K112" s="4" t="s">
        <v>424</v>
      </c>
      <c r="L112" s="4" t="s">
        <v>148</v>
      </c>
      <c r="M112" s="4" t="s">
        <v>112</v>
      </c>
      <c r="N112" s="4" t="s">
        <v>24</v>
      </c>
      <c r="O112" s="4" t="s">
        <v>25</v>
      </c>
      <c r="P112" s="4" t="s">
        <v>36</v>
      </c>
      <c r="Q112" s="4" t="s">
        <v>79</v>
      </c>
      <c r="R112" s="4"/>
    </row>
    <row r="113" spans="1:18">
      <c r="A113">
        <v>112</v>
      </c>
      <c r="B113" s="3">
        <v>46177.599432870396</v>
      </c>
      <c r="C113" s="3">
        <v>46177.600775462997</v>
      </c>
      <c r="D113" s="4" t="s">
        <v>18</v>
      </c>
      <c r="E113" s="4"/>
      <c r="F113" s="1">
        <v>46177</v>
      </c>
      <c r="G113" s="4" t="s">
        <v>425</v>
      </c>
      <c r="H113" s="4"/>
      <c r="I113" s="5" t="s">
        <v>426</v>
      </c>
      <c r="J113" s="4" t="s">
        <v>427</v>
      </c>
      <c r="K113" s="4" t="s">
        <v>31</v>
      </c>
      <c r="L113" s="4" t="s">
        <v>44</v>
      </c>
      <c r="M113" s="4" t="s">
        <v>226</v>
      </c>
      <c r="N113" s="4" t="s">
        <v>61</v>
      </c>
      <c r="O113" s="4" t="s">
        <v>25</v>
      </c>
      <c r="P113" s="4" t="s">
        <v>36</v>
      </c>
      <c r="Q113" s="4" t="s">
        <v>27</v>
      </c>
      <c r="R113" s="4"/>
    </row>
    <row r="114" spans="1:18">
      <c r="A114">
        <v>113</v>
      </c>
      <c r="B114" s="3">
        <v>46177.6007986111</v>
      </c>
      <c r="C114" s="3">
        <v>46177.6016087963</v>
      </c>
      <c r="D114" s="4" t="s">
        <v>18</v>
      </c>
      <c r="E114" s="4"/>
      <c r="F114" s="1">
        <v>46177</v>
      </c>
      <c r="G114" s="4" t="s">
        <v>425</v>
      </c>
      <c r="H114" s="4"/>
      <c r="I114" s="5" t="s">
        <v>428</v>
      </c>
      <c r="J114" s="4" t="s">
        <v>429</v>
      </c>
      <c r="K114" s="4" t="s">
        <v>430</v>
      </c>
      <c r="L114" s="4" t="s">
        <v>44</v>
      </c>
      <c r="M114" s="4" t="s">
        <v>226</v>
      </c>
      <c r="N114" s="4" t="s">
        <v>61</v>
      </c>
      <c r="O114" s="4" t="s">
        <v>25</v>
      </c>
      <c r="P114" s="4" t="s">
        <v>69</v>
      </c>
      <c r="Q114" s="4" t="s">
        <v>27</v>
      </c>
      <c r="R114" s="4"/>
    </row>
    <row r="115" spans="1:18">
      <c r="A115">
        <v>114</v>
      </c>
      <c r="B115" s="3">
        <v>46177.601631944402</v>
      </c>
      <c r="C115" s="3">
        <v>46177.602488425902</v>
      </c>
      <c r="D115" s="4" t="s">
        <v>18</v>
      </c>
      <c r="E115" s="4"/>
      <c r="F115" s="1">
        <v>46177</v>
      </c>
      <c r="G115" s="4" t="s">
        <v>431</v>
      </c>
      <c r="H115" s="4"/>
      <c r="I115" s="5" t="s">
        <v>432</v>
      </c>
      <c r="J115" s="4" t="s">
        <v>290</v>
      </c>
      <c r="K115" s="4" t="s">
        <v>433</v>
      </c>
      <c r="L115" s="4" t="s">
        <v>44</v>
      </c>
      <c r="M115" s="4" t="s">
        <v>60</v>
      </c>
      <c r="N115" s="4" t="s">
        <v>61</v>
      </c>
      <c r="O115" s="4" t="s">
        <v>25</v>
      </c>
      <c r="P115" s="4" t="s">
        <v>69</v>
      </c>
      <c r="Q115" s="4" t="s">
        <v>27</v>
      </c>
      <c r="R115" s="4"/>
    </row>
    <row r="116" spans="1:18">
      <c r="A116">
        <v>115</v>
      </c>
      <c r="B116" s="3">
        <v>46177.631342592598</v>
      </c>
      <c r="C116" s="3">
        <v>46177.633113425902</v>
      </c>
      <c r="D116" s="4" t="s">
        <v>18</v>
      </c>
      <c r="E116" s="4"/>
      <c r="F116" s="1">
        <v>46177</v>
      </c>
      <c r="G116" s="4" t="s">
        <v>434</v>
      </c>
      <c r="H116" s="4"/>
      <c r="I116" s="5" t="s">
        <v>435</v>
      </c>
      <c r="J116" s="4" t="s">
        <v>436</v>
      </c>
      <c r="K116" s="4" t="s">
        <v>437</v>
      </c>
      <c r="L116" s="4" t="s">
        <v>148</v>
      </c>
      <c r="M116" s="4" t="s">
        <v>60</v>
      </c>
      <c r="N116" s="4" t="s">
        <v>24</v>
      </c>
      <c r="O116" s="4" t="s">
        <v>25</v>
      </c>
      <c r="P116" s="4" t="s">
        <v>36</v>
      </c>
      <c r="Q116" s="4" t="s">
        <v>79</v>
      </c>
      <c r="R116" s="4"/>
    </row>
    <row r="117" spans="1:18">
      <c r="A117">
        <v>116</v>
      </c>
      <c r="B117" s="3">
        <v>46177.633159722202</v>
      </c>
      <c r="C117" s="3">
        <v>46177.634664351797</v>
      </c>
      <c r="D117" s="4" t="s">
        <v>18</v>
      </c>
      <c r="E117" s="4"/>
      <c r="F117" s="1">
        <v>46177</v>
      </c>
      <c r="G117" s="4" t="s">
        <v>438</v>
      </c>
      <c r="H117" s="4"/>
      <c r="I117" s="5" t="s">
        <v>439</v>
      </c>
      <c r="J117" s="4" t="s">
        <v>440</v>
      </c>
      <c r="K117" s="4" t="s">
        <v>441</v>
      </c>
      <c r="L117" s="4" t="s">
        <v>148</v>
      </c>
      <c r="M117" s="4" t="s">
        <v>60</v>
      </c>
      <c r="N117" s="4" t="s">
        <v>24</v>
      </c>
      <c r="O117" s="4" t="s">
        <v>25</v>
      </c>
      <c r="P117" s="4" t="s">
        <v>69</v>
      </c>
      <c r="Q117" s="4" t="s">
        <v>27</v>
      </c>
      <c r="R117" s="4"/>
    </row>
    <row r="118" spans="1:18">
      <c r="A118">
        <v>117</v>
      </c>
      <c r="B118" s="3">
        <v>46177.634710648097</v>
      </c>
      <c r="C118" s="3">
        <v>46177.637222222198</v>
      </c>
      <c r="D118" s="4" t="s">
        <v>18</v>
      </c>
      <c r="E118" s="4"/>
      <c r="F118" s="1">
        <v>46177</v>
      </c>
      <c r="G118" s="4" t="s">
        <v>442</v>
      </c>
      <c r="H118" s="4"/>
      <c r="I118" s="5" t="s">
        <v>443</v>
      </c>
      <c r="J118" s="4" t="s">
        <v>444</v>
      </c>
      <c r="K118" s="4" t="s">
        <v>334</v>
      </c>
      <c r="L118" s="4" t="s">
        <v>148</v>
      </c>
      <c r="M118" s="4" t="s">
        <v>60</v>
      </c>
      <c r="N118" s="4" t="s">
        <v>24</v>
      </c>
      <c r="O118" s="4" t="s">
        <v>25</v>
      </c>
      <c r="P118" s="4" t="s">
        <v>36</v>
      </c>
      <c r="Q118" s="4" t="s">
        <v>79</v>
      </c>
      <c r="R118" s="4"/>
    </row>
    <row r="119" spans="1:18">
      <c r="A119">
        <v>118</v>
      </c>
      <c r="B119" s="3">
        <v>46177.637650463003</v>
      </c>
      <c r="C119" s="3">
        <v>46177.638715277797</v>
      </c>
      <c r="D119" s="4" t="s">
        <v>18</v>
      </c>
      <c r="E119" s="4"/>
      <c r="F119" s="1">
        <v>46177</v>
      </c>
      <c r="G119" s="4" t="s">
        <v>445</v>
      </c>
      <c r="H119" s="4"/>
      <c r="I119" s="5" t="s">
        <v>446</v>
      </c>
      <c r="J119" s="4" t="s">
        <v>447</v>
      </c>
      <c r="K119" s="4" t="s">
        <v>385</v>
      </c>
      <c r="L119" s="4" t="s">
        <v>148</v>
      </c>
      <c r="M119" s="4" t="s">
        <v>33</v>
      </c>
      <c r="N119" s="4" t="s">
        <v>24</v>
      </c>
      <c r="O119" s="4" t="s">
        <v>25</v>
      </c>
      <c r="P119" s="4" t="s">
        <v>50</v>
      </c>
      <c r="Q119" s="4" t="s">
        <v>79</v>
      </c>
      <c r="R119" s="4"/>
    </row>
    <row r="120" spans="1:18">
      <c r="A120">
        <v>119</v>
      </c>
      <c r="B120" s="3">
        <v>46177.637858796297</v>
      </c>
      <c r="C120" s="3">
        <v>46177.638969907399</v>
      </c>
      <c r="D120" s="4" t="s">
        <v>18</v>
      </c>
      <c r="E120" s="4"/>
      <c r="F120" s="1">
        <v>46177</v>
      </c>
      <c r="G120" s="4" t="s">
        <v>386</v>
      </c>
      <c r="H120" s="4"/>
      <c r="I120" s="5" t="s">
        <v>448</v>
      </c>
      <c r="J120" s="4" t="s">
        <v>449</v>
      </c>
      <c r="K120" s="4" t="s">
        <v>342</v>
      </c>
      <c r="L120" s="4" t="s">
        <v>91</v>
      </c>
      <c r="M120" s="4" t="s">
        <v>34</v>
      </c>
      <c r="N120" s="4" t="s">
        <v>112</v>
      </c>
      <c r="O120" s="4" t="s">
        <v>25</v>
      </c>
      <c r="P120" s="4" t="s">
        <v>69</v>
      </c>
      <c r="Q120" s="4" t="s">
        <v>93</v>
      </c>
      <c r="R120" s="4"/>
    </row>
    <row r="121" spans="1:18">
      <c r="A121">
        <v>120</v>
      </c>
      <c r="B121" s="3">
        <v>46177.639305555596</v>
      </c>
      <c r="C121" s="3">
        <v>46177.640104166698</v>
      </c>
      <c r="D121" s="4" t="s">
        <v>18</v>
      </c>
      <c r="E121" s="4"/>
      <c r="F121" s="1">
        <v>46177</v>
      </c>
      <c r="G121" s="4" t="s">
        <v>386</v>
      </c>
      <c r="H121" s="4"/>
      <c r="I121" s="5" t="s">
        <v>450</v>
      </c>
      <c r="J121" s="4" t="s">
        <v>217</v>
      </c>
      <c r="K121" s="4" t="s">
        <v>451</v>
      </c>
      <c r="L121" s="4" t="s">
        <v>91</v>
      </c>
      <c r="M121" s="4" t="s">
        <v>34</v>
      </c>
      <c r="N121" s="4" t="s">
        <v>112</v>
      </c>
      <c r="O121" s="4" t="s">
        <v>25</v>
      </c>
      <c r="P121" s="4" t="s">
        <v>69</v>
      </c>
      <c r="Q121" s="4" t="s">
        <v>93</v>
      </c>
      <c r="R121" s="4"/>
    </row>
    <row r="122" spans="1:18">
      <c r="A122">
        <v>121</v>
      </c>
      <c r="B122" s="3">
        <v>46178.409745370402</v>
      </c>
      <c r="C122" s="3">
        <v>46178.410972222198</v>
      </c>
      <c r="D122" s="4" t="s">
        <v>18</v>
      </c>
      <c r="E122" s="4"/>
      <c r="F122" s="1">
        <v>46178</v>
      </c>
      <c r="G122" s="4" t="s">
        <v>62</v>
      </c>
      <c r="H122" s="4"/>
      <c r="I122" s="5" t="s">
        <v>452</v>
      </c>
      <c r="J122" s="4" t="s">
        <v>453</v>
      </c>
      <c r="K122" s="4" t="s">
        <v>324</v>
      </c>
      <c r="L122" s="4" t="s">
        <v>266</v>
      </c>
      <c r="M122" s="4" t="s">
        <v>60</v>
      </c>
      <c r="N122" s="4" t="s">
        <v>24</v>
      </c>
      <c r="O122" s="4" t="s">
        <v>25</v>
      </c>
      <c r="P122" s="4" t="s">
        <v>36</v>
      </c>
      <c r="Q122" s="4" t="s">
        <v>27</v>
      </c>
      <c r="R122" s="4"/>
    </row>
    <row r="123" spans="1:18">
      <c r="A123">
        <v>122</v>
      </c>
      <c r="B123" s="3">
        <v>46178.411018518498</v>
      </c>
      <c r="C123" s="3">
        <v>46178.413240740701</v>
      </c>
      <c r="D123" s="4" t="s">
        <v>18</v>
      </c>
      <c r="E123" s="4"/>
      <c r="F123" s="1">
        <v>46178</v>
      </c>
      <c r="G123" s="4" t="s">
        <v>454</v>
      </c>
      <c r="H123" s="4"/>
      <c r="I123" s="5" t="s">
        <v>455</v>
      </c>
      <c r="J123" s="4" t="s">
        <v>456</v>
      </c>
      <c r="K123" s="4" t="s">
        <v>457</v>
      </c>
      <c r="L123" s="4" t="s">
        <v>266</v>
      </c>
      <c r="M123" s="4" t="s">
        <v>226</v>
      </c>
      <c r="N123" s="4" t="s">
        <v>60</v>
      </c>
      <c r="O123" s="4" t="s">
        <v>25</v>
      </c>
      <c r="P123" s="4" t="s">
        <v>69</v>
      </c>
      <c r="Q123" s="4" t="s">
        <v>27</v>
      </c>
      <c r="R123" s="4"/>
    </row>
    <row r="124" spans="1:18">
      <c r="A124">
        <v>123</v>
      </c>
      <c r="B124" s="3">
        <v>46178.4444560185</v>
      </c>
      <c r="C124" s="3">
        <v>46178.445208333302</v>
      </c>
      <c r="D124" s="4" t="s">
        <v>18</v>
      </c>
      <c r="E124" s="4"/>
      <c r="F124" s="1">
        <v>46178</v>
      </c>
      <c r="G124" s="4" t="s">
        <v>458</v>
      </c>
      <c r="H124" s="4"/>
      <c r="I124" s="5" t="s">
        <v>459</v>
      </c>
      <c r="J124" s="4" t="s">
        <v>217</v>
      </c>
      <c r="K124" s="4" t="s">
        <v>337</v>
      </c>
      <c r="L124" s="4" t="s">
        <v>91</v>
      </c>
      <c r="M124" s="4" t="s">
        <v>60</v>
      </c>
      <c r="N124" s="4" t="s">
        <v>24</v>
      </c>
      <c r="O124" s="4" t="s">
        <v>25</v>
      </c>
      <c r="P124" s="4" t="s">
        <v>69</v>
      </c>
      <c r="Q124" s="4" t="s">
        <v>93</v>
      </c>
      <c r="R124" s="4"/>
    </row>
    <row r="125" spans="1:18">
      <c r="A125">
        <v>124</v>
      </c>
      <c r="B125" s="3">
        <v>46178.452905092599</v>
      </c>
      <c r="C125" s="3">
        <v>46178.454594907402</v>
      </c>
      <c r="D125" s="4" t="s">
        <v>18</v>
      </c>
      <c r="E125" s="4"/>
      <c r="F125" s="1">
        <v>46178</v>
      </c>
      <c r="G125" s="4" t="s">
        <v>134</v>
      </c>
      <c r="H125" s="4"/>
      <c r="I125" s="5" t="s">
        <v>460</v>
      </c>
      <c r="J125" s="4" t="s">
        <v>461</v>
      </c>
      <c r="K125" s="4" t="s">
        <v>111</v>
      </c>
      <c r="L125" s="4" t="s">
        <v>91</v>
      </c>
      <c r="M125" s="4" t="s">
        <v>24</v>
      </c>
      <c r="N125" s="4" t="s">
        <v>60</v>
      </c>
      <c r="O125" s="4" t="s">
        <v>25</v>
      </c>
      <c r="P125" s="4" t="s">
        <v>69</v>
      </c>
      <c r="Q125" s="4" t="s">
        <v>93</v>
      </c>
      <c r="R125" s="4"/>
    </row>
    <row r="126" spans="1:18">
      <c r="A126">
        <v>125</v>
      </c>
      <c r="B126" s="3">
        <v>46178.454930555599</v>
      </c>
      <c r="C126" s="3">
        <v>46178.456030092602</v>
      </c>
      <c r="D126" s="4" t="s">
        <v>18</v>
      </c>
      <c r="E126" s="4"/>
      <c r="F126" s="1">
        <v>46178</v>
      </c>
      <c r="G126" s="4" t="s">
        <v>442</v>
      </c>
      <c r="H126" s="4"/>
      <c r="I126" s="5" t="s">
        <v>462</v>
      </c>
      <c r="J126" s="4" t="s">
        <v>463</v>
      </c>
      <c r="K126" s="4" t="s">
        <v>464</v>
      </c>
      <c r="L126" s="4" t="s">
        <v>91</v>
      </c>
      <c r="M126" s="4" t="s">
        <v>24</v>
      </c>
      <c r="N126" s="4" t="s">
        <v>112</v>
      </c>
      <c r="O126" s="4" t="s">
        <v>25</v>
      </c>
      <c r="P126" s="4" t="s">
        <v>69</v>
      </c>
      <c r="Q126" s="4" t="s">
        <v>93</v>
      </c>
      <c r="R126" s="4"/>
    </row>
    <row r="127" spans="1:18">
      <c r="A127">
        <v>126</v>
      </c>
      <c r="B127" s="3">
        <v>46178.515254629601</v>
      </c>
      <c r="C127" s="3">
        <v>46178.518912036998</v>
      </c>
      <c r="D127" s="4" t="s">
        <v>18</v>
      </c>
      <c r="E127" s="4"/>
      <c r="F127" s="1">
        <v>46178</v>
      </c>
      <c r="G127" s="4" t="s">
        <v>353</v>
      </c>
      <c r="H127" s="4"/>
      <c r="I127" s="5" t="s">
        <v>465</v>
      </c>
      <c r="J127" s="4" t="s">
        <v>466</v>
      </c>
      <c r="K127" s="4" t="s">
        <v>356</v>
      </c>
      <c r="L127" s="4" t="s">
        <v>98</v>
      </c>
      <c r="M127" s="4" t="s">
        <v>226</v>
      </c>
      <c r="N127" s="4" t="s">
        <v>61</v>
      </c>
      <c r="O127" s="4" t="s">
        <v>25</v>
      </c>
      <c r="P127" s="4" t="s">
        <v>36</v>
      </c>
      <c r="Q127" s="4" t="s">
        <v>27</v>
      </c>
      <c r="R127" s="4"/>
    </row>
    <row r="128" spans="1:18">
      <c r="A128">
        <v>127</v>
      </c>
      <c r="B128" s="3">
        <v>46178.519583333298</v>
      </c>
      <c r="C128" s="3">
        <v>46178.524270833303</v>
      </c>
      <c r="D128" s="4" t="s">
        <v>18</v>
      </c>
      <c r="E128" s="4"/>
      <c r="F128" s="1">
        <v>46178</v>
      </c>
      <c r="G128" s="4" t="s">
        <v>467</v>
      </c>
      <c r="H128" s="4"/>
      <c r="I128" s="5" t="s">
        <v>468</v>
      </c>
      <c r="J128" s="4" t="s">
        <v>469</v>
      </c>
      <c r="K128" s="4" t="s">
        <v>212</v>
      </c>
      <c r="L128" s="4" t="s">
        <v>98</v>
      </c>
      <c r="M128" s="4" t="s">
        <v>226</v>
      </c>
      <c r="N128" s="4" t="s">
        <v>61</v>
      </c>
      <c r="O128" s="4" t="s">
        <v>35</v>
      </c>
      <c r="P128" s="4" t="s">
        <v>213</v>
      </c>
      <c r="Q128" s="4" t="s">
        <v>79</v>
      </c>
      <c r="R128" s="4"/>
    </row>
    <row r="129" spans="1:18">
      <c r="A129">
        <v>128</v>
      </c>
      <c r="B129" s="3">
        <v>46178.6179976852</v>
      </c>
      <c r="C129" s="3">
        <v>46178.618912037004</v>
      </c>
      <c r="D129" s="4" t="s">
        <v>18</v>
      </c>
      <c r="E129" s="4"/>
      <c r="F129" s="1">
        <v>46179</v>
      </c>
      <c r="G129" s="4" t="s">
        <v>470</v>
      </c>
      <c r="H129" s="4"/>
      <c r="I129" s="5" t="s">
        <v>471</v>
      </c>
      <c r="J129" s="4" t="s">
        <v>472</v>
      </c>
      <c r="K129" s="4" t="s">
        <v>473</v>
      </c>
      <c r="L129" s="4" t="s">
        <v>91</v>
      </c>
      <c r="M129" s="4" t="s">
        <v>33</v>
      </c>
      <c r="N129" s="4" t="s">
        <v>61</v>
      </c>
      <c r="O129" s="4" t="s">
        <v>25</v>
      </c>
      <c r="P129" s="4" t="s">
        <v>69</v>
      </c>
      <c r="Q129" s="4" t="s">
        <v>93</v>
      </c>
      <c r="R129" s="4"/>
    </row>
    <row r="130" spans="1:18">
      <c r="A130">
        <v>129</v>
      </c>
      <c r="B130" s="3">
        <v>46178.624479166698</v>
      </c>
      <c r="C130" s="3">
        <v>46178.625416666699</v>
      </c>
      <c r="D130" s="4" t="s">
        <v>18</v>
      </c>
      <c r="E130" s="4"/>
      <c r="F130" s="1">
        <v>46178</v>
      </c>
      <c r="G130" s="4" t="s">
        <v>474</v>
      </c>
      <c r="H130" s="4"/>
      <c r="I130" s="5" t="s">
        <v>475</v>
      </c>
      <c r="J130" s="4" t="s">
        <v>476</v>
      </c>
      <c r="K130" s="4" t="s">
        <v>477</v>
      </c>
      <c r="L130" s="4" t="s">
        <v>91</v>
      </c>
      <c r="M130" s="4" t="s">
        <v>112</v>
      </c>
      <c r="N130" s="4" t="s">
        <v>24</v>
      </c>
      <c r="O130" s="4" t="s">
        <v>25</v>
      </c>
      <c r="P130" s="4" t="s">
        <v>69</v>
      </c>
      <c r="Q130" s="4" t="s">
        <v>93</v>
      </c>
      <c r="R130" s="4"/>
    </row>
    <row r="131" spans="1:18">
      <c r="A131">
        <v>130</v>
      </c>
      <c r="B131" s="3">
        <v>46178.627453703702</v>
      </c>
      <c r="C131" s="3">
        <v>46178.628518518497</v>
      </c>
      <c r="D131" s="4" t="s">
        <v>18</v>
      </c>
      <c r="E131" s="4"/>
      <c r="F131" s="1">
        <v>46178</v>
      </c>
      <c r="G131" s="4" t="s">
        <v>83</v>
      </c>
      <c r="H131" s="4"/>
      <c r="I131" s="5" t="s">
        <v>478</v>
      </c>
      <c r="J131" s="4" t="s">
        <v>479</v>
      </c>
      <c r="K131" s="4" t="s">
        <v>31</v>
      </c>
      <c r="L131" s="4" t="s">
        <v>44</v>
      </c>
      <c r="M131" s="4" t="s">
        <v>226</v>
      </c>
      <c r="N131" s="4" t="s">
        <v>61</v>
      </c>
      <c r="O131" s="4" t="s">
        <v>25</v>
      </c>
      <c r="P131" s="4" t="s">
        <v>36</v>
      </c>
      <c r="Q131" s="4" t="s">
        <v>27</v>
      </c>
      <c r="R131" s="4"/>
    </row>
    <row r="132" spans="1:18">
      <c r="A132">
        <v>131</v>
      </c>
      <c r="B132" s="3">
        <v>46178.786655092597</v>
      </c>
      <c r="C132" s="3">
        <v>46178.7886111111</v>
      </c>
      <c r="D132" s="4" t="s">
        <v>18</v>
      </c>
      <c r="E132" s="4"/>
      <c r="F132" s="1">
        <v>46178</v>
      </c>
      <c r="G132" s="4" t="s">
        <v>480</v>
      </c>
      <c r="H132" s="4"/>
      <c r="I132" s="5" t="s">
        <v>481</v>
      </c>
      <c r="J132" s="4" t="s">
        <v>482</v>
      </c>
      <c r="K132" s="4" t="s">
        <v>372</v>
      </c>
      <c r="L132" s="4" t="s">
        <v>148</v>
      </c>
      <c r="M132" s="4" t="s">
        <v>60</v>
      </c>
      <c r="N132" s="4" t="s">
        <v>24</v>
      </c>
      <c r="O132" s="4" t="s">
        <v>25</v>
      </c>
      <c r="P132" s="4" t="s">
        <v>92</v>
      </c>
      <c r="Q132" s="4" t="s">
        <v>79</v>
      </c>
      <c r="R132" s="4"/>
    </row>
    <row r="133" spans="1:18">
      <c r="A133">
        <v>132</v>
      </c>
      <c r="B133" s="3">
        <v>46178.787905092599</v>
      </c>
      <c r="C133" s="3">
        <v>46178.789166666698</v>
      </c>
      <c r="D133" s="4" t="s">
        <v>18</v>
      </c>
      <c r="E133" s="4"/>
      <c r="F133" s="1">
        <v>46178</v>
      </c>
      <c r="G133" s="4" t="s">
        <v>483</v>
      </c>
      <c r="H133" s="4"/>
      <c r="I133" s="5" t="s">
        <v>484</v>
      </c>
      <c r="J133" s="4" t="s">
        <v>485</v>
      </c>
      <c r="K133" s="4" t="s">
        <v>90</v>
      </c>
      <c r="L133" s="4" t="s">
        <v>91</v>
      </c>
      <c r="M133" s="4" t="s">
        <v>33</v>
      </c>
      <c r="N133" s="4" t="s">
        <v>61</v>
      </c>
      <c r="O133" s="4" t="s">
        <v>25</v>
      </c>
      <c r="P133" s="4" t="s">
        <v>36</v>
      </c>
      <c r="Q133" s="4" t="s">
        <v>27</v>
      </c>
      <c r="R133" s="4"/>
    </row>
    <row r="134" spans="1:18">
      <c r="A134">
        <v>133</v>
      </c>
      <c r="B134" s="3">
        <v>46178.788645833301</v>
      </c>
      <c r="C134" s="3">
        <v>46178.789664351803</v>
      </c>
      <c r="D134" s="4" t="s">
        <v>18</v>
      </c>
      <c r="E134" s="4"/>
      <c r="F134" s="1">
        <v>46178</v>
      </c>
      <c r="G134" s="4" t="s">
        <v>486</v>
      </c>
      <c r="H134" s="4"/>
      <c r="I134" s="5" t="s">
        <v>487</v>
      </c>
      <c r="J134" s="4" t="s">
        <v>488</v>
      </c>
      <c r="K134" s="4" t="s">
        <v>385</v>
      </c>
      <c r="L134" s="4" t="s">
        <v>148</v>
      </c>
      <c r="M134" s="4" t="s">
        <v>112</v>
      </c>
      <c r="N134" s="4" t="s">
        <v>24</v>
      </c>
      <c r="O134" s="4" t="s">
        <v>25</v>
      </c>
      <c r="P134" s="4" t="s">
        <v>36</v>
      </c>
      <c r="Q134" s="4" t="s">
        <v>79</v>
      </c>
      <c r="R134" s="4"/>
    </row>
    <row r="135" spans="1:18">
      <c r="A135">
        <v>134</v>
      </c>
      <c r="B135" s="3">
        <v>46178.789687500001</v>
      </c>
      <c r="C135" s="3">
        <v>46178.791076388901</v>
      </c>
      <c r="D135" s="4" t="s">
        <v>18</v>
      </c>
      <c r="E135" s="4"/>
      <c r="F135" s="1">
        <v>46178</v>
      </c>
      <c r="G135" s="4" t="s">
        <v>489</v>
      </c>
      <c r="H135" s="4"/>
      <c r="I135" s="5" t="s">
        <v>490</v>
      </c>
      <c r="J135" s="4" t="s">
        <v>491</v>
      </c>
      <c r="K135" s="4" t="s">
        <v>492</v>
      </c>
      <c r="L135" s="4" t="s">
        <v>148</v>
      </c>
      <c r="M135" s="4" t="s">
        <v>24</v>
      </c>
      <c r="N135" s="4" t="s">
        <v>112</v>
      </c>
      <c r="O135" s="4" t="s">
        <v>25</v>
      </c>
      <c r="P135" s="4" t="s">
        <v>36</v>
      </c>
      <c r="Q135" s="4" t="s">
        <v>79</v>
      </c>
      <c r="R135" s="4"/>
    </row>
    <row r="136" spans="1:18">
      <c r="A136">
        <v>135</v>
      </c>
      <c r="B136" s="3">
        <v>46178.791099536997</v>
      </c>
      <c r="C136" s="3">
        <v>46178.792326388902</v>
      </c>
      <c r="D136" s="4" t="s">
        <v>18</v>
      </c>
      <c r="E136" s="4"/>
      <c r="F136" s="1">
        <v>46178</v>
      </c>
      <c r="G136" s="4" t="s">
        <v>134</v>
      </c>
      <c r="H136" s="4"/>
      <c r="I136" s="5" t="s">
        <v>493</v>
      </c>
      <c r="J136" s="4" t="s">
        <v>494</v>
      </c>
      <c r="K136" s="4" t="s">
        <v>492</v>
      </c>
      <c r="L136" s="4" t="s">
        <v>148</v>
      </c>
      <c r="M136" s="4" t="s">
        <v>24</v>
      </c>
      <c r="N136" s="4" t="s">
        <v>112</v>
      </c>
      <c r="O136" s="4" t="s">
        <v>25</v>
      </c>
      <c r="P136" s="4" t="s">
        <v>50</v>
      </c>
      <c r="Q136" s="4" t="s">
        <v>79</v>
      </c>
      <c r="R136" s="4"/>
    </row>
    <row r="137" spans="1:18">
      <c r="A137">
        <v>136</v>
      </c>
      <c r="B137" s="3">
        <v>46178.792361111096</v>
      </c>
      <c r="C137" s="3">
        <v>46178.793854166703</v>
      </c>
      <c r="D137" s="4" t="s">
        <v>18</v>
      </c>
      <c r="E137" s="4"/>
      <c r="F137" s="1">
        <v>46178</v>
      </c>
      <c r="G137" s="4" t="s">
        <v>495</v>
      </c>
      <c r="H137" s="4"/>
      <c r="I137" s="5" t="s">
        <v>496</v>
      </c>
      <c r="J137" s="4" t="s">
        <v>497</v>
      </c>
      <c r="K137" s="4" t="s">
        <v>498</v>
      </c>
      <c r="L137" s="4" t="s">
        <v>148</v>
      </c>
      <c r="M137" s="4" t="s">
        <v>33</v>
      </c>
      <c r="N137" s="4" t="s">
        <v>24</v>
      </c>
      <c r="O137" s="4" t="s">
        <v>25</v>
      </c>
      <c r="P137" s="4" t="s">
        <v>36</v>
      </c>
      <c r="Q137" s="4" t="s">
        <v>79</v>
      </c>
      <c r="R137" s="4"/>
    </row>
    <row r="138" spans="1:18">
      <c r="A138">
        <v>137</v>
      </c>
      <c r="B138" s="3">
        <v>46178.7953472222</v>
      </c>
      <c r="C138" s="3">
        <v>46178.7961574074</v>
      </c>
      <c r="D138" s="4" t="s">
        <v>18</v>
      </c>
      <c r="E138" s="4"/>
      <c r="F138" s="1">
        <v>46178</v>
      </c>
      <c r="G138" s="4" t="s">
        <v>499</v>
      </c>
      <c r="H138" s="4"/>
      <c r="I138" s="5" t="s">
        <v>500</v>
      </c>
      <c r="J138" s="4" t="s">
        <v>501</v>
      </c>
      <c r="K138" s="4" t="s">
        <v>441</v>
      </c>
      <c r="L138" s="4" t="s">
        <v>148</v>
      </c>
      <c r="M138" s="4" t="s">
        <v>112</v>
      </c>
      <c r="N138" s="4" t="s">
        <v>24</v>
      </c>
      <c r="O138" s="4" t="s">
        <v>25</v>
      </c>
      <c r="P138" s="4" t="s">
        <v>69</v>
      </c>
      <c r="Q138" s="4" t="s">
        <v>27</v>
      </c>
      <c r="R138" s="4"/>
    </row>
    <row r="139" spans="1:18">
      <c r="A139">
        <v>138</v>
      </c>
      <c r="B139" s="3">
        <v>46178.795451388898</v>
      </c>
      <c r="C139" s="3">
        <v>46178.798634259299</v>
      </c>
      <c r="D139" s="4" t="s">
        <v>18</v>
      </c>
      <c r="E139" s="4"/>
      <c r="F139" s="1">
        <v>46178</v>
      </c>
      <c r="G139" s="4" t="s">
        <v>51</v>
      </c>
      <c r="H139" s="4"/>
      <c r="I139" s="5" t="s">
        <v>502</v>
      </c>
      <c r="J139" s="4" t="s">
        <v>503</v>
      </c>
      <c r="K139" s="4" t="s">
        <v>504</v>
      </c>
      <c r="L139" s="4" t="s">
        <v>23</v>
      </c>
      <c r="M139" s="4" t="s">
        <v>24</v>
      </c>
      <c r="N139" s="4" t="s">
        <v>112</v>
      </c>
      <c r="O139" s="4" t="s">
        <v>25</v>
      </c>
      <c r="P139" s="4" t="s">
        <v>69</v>
      </c>
      <c r="Q139" s="4" t="s">
        <v>27</v>
      </c>
      <c r="R139" s="4" t="s">
        <v>505</v>
      </c>
    </row>
    <row r="140" spans="1:18">
      <c r="A140">
        <v>139</v>
      </c>
      <c r="B140" s="3">
        <v>46178.798773148097</v>
      </c>
      <c r="C140" s="3">
        <v>46178.801226851901</v>
      </c>
      <c r="D140" s="4" t="s">
        <v>18</v>
      </c>
      <c r="E140" s="4"/>
      <c r="F140" s="1">
        <v>46178</v>
      </c>
      <c r="G140" s="4" t="s">
        <v>506</v>
      </c>
      <c r="H140" s="4"/>
      <c r="I140" s="5" t="s">
        <v>507</v>
      </c>
      <c r="J140" s="4" t="s">
        <v>508</v>
      </c>
      <c r="K140" s="4" t="s">
        <v>509</v>
      </c>
      <c r="L140" s="4" t="s">
        <v>23</v>
      </c>
      <c r="M140" s="4" t="s">
        <v>24</v>
      </c>
      <c r="N140" s="4" t="s">
        <v>60</v>
      </c>
      <c r="O140" s="4" t="s">
        <v>25</v>
      </c>
      <c r="P140" s="4" t="s">
        <v>69</v>
      </c>
      <c r="Q140" s="4" t="s">
        <v>27</v>
      </c>
      <c r="R140" s="4" t="s">
        <v>505</v>
      </c>
    </row>
    <row r="141" spans="1:18">
      <c r="A141">
        <v>140</v>
      </c>
      <c r="B141" s="3">
        <v>46179.365312499998</v>
      </c>
      <c r="C141" s="3">
        <v>46179.367511574099</v>
      </c>
      <c r="D141" s="4" t="s">
        <v>18</v>
      </c>
      <c r="E141" s="4"/>
      <c r="F141" s="1">
        <v>46179</v>
      </c>
      <c r="G141" s="4" t="s">
        <v>199</v>
      </c>
      <c r="H141" s="4"/>
      <c r="I141" s="5" t="s">
        <v>510</v>
      </c>
      <c r="J141" s="4" t="s">
        <v>511</v>
      </c>
      <c r="K141" s="4" t="s">
        <v>512</v>
      </c>
      <c r="L141" s="4" t="s">
        <v>23</v>
      </c>
      <c r="M141" s="4" t="s">
        <v>34</v>
      </c>
      <c r="N141" s="4" t="s">
        <v>24</v>
      </c>
      <c r="O141" s="4" t="s">
        <v>25</v>
      </c>
      <c r="P141" s="4" t="s">
        <v>92</v>
      </c>
      <c r="Q141" s="4" t="s">
        <v>79</v>
      </c>
      <c r="R141" s="4" t="s">
        <v>513</v>
      </c>
    </row>
    <row r="142" spans="1:18">
      <c r="A142">
        <v>141</v>
      </c>
      <c r="B142" s="3">
        <v>46179.400856481501</v>
      </c>
      <c r="C142" s="3">
        <v>46179.404062499998</v>
      </c>
      <c r="D142" s="4" t="s">
        <v>18</v>
      </c>
      <c r="E142" s="4"/>
      <c r="F142" s="1">
        <v>46179</v>
      </c>
      <c r="G142" s="4" t="s">
        <v>514</v>
      </c>
      <c r="H142" s="4"/>
      <c r="I142" s="5" t="s">
        <v>515</v>
      </c>
      <c r="J142" s="4" t="s">
        <v>516</v>
      </c>
      <c r="K142" s="4" t="s">
        <v>517</v>
      </c>
      <c r="L142" s="4" t="s">
        <v>23</v>
      </c>
      <c r="M142" s="4" t="s">
        <v>24</v>
      </c>
      <c r="N142" s="4" t="s">
        <v>34</v>
      </c>
      <c r="O142" s="4" t="s">
        <v>25</v>
      </c>
      <c r="P142" s="4" t="s">
        <v>69</v>
      </c>
      <c r="Q142" s="4" t="s">
        <v>27</v>
      </c>
      <c r="R142" s="4" t="s">
        <v>518</v>
      </c>
    </row>
    <row r="143" spans="1:18">
      <c r="A143">
        <v>142</v>
      </c>
      <c r="B143" s="3">
        <v>46179.410462963002</v>
      </c>
      <c r="C143" s="3">
        <v>46179.411666666703</v>
      </c>
      <c r="D143" s="4" t="s">
        <v>18</v>
      </c>
      <c r="E143" s="4"/>
      <c r="F143" s="1">
        <v>46179</v>
      </c>
      <c r="G143" s="4" t="s">
        <v>519</v>
      </c>
      <c r="H143" s="4"/>
      <c r="I143" s="5" t="s">
        <v>520</v>
      </c>
      <c r="J143" s="4" t="s">
        <v>521</v>
      </c>
      <c r="K143" s="4" t="s">
        <v>522</v>
      </c>
      <c r="L143" s="4" t="s">
        <v>266</v>
      </c>
      <c r="M143" s="4" t="s">
        <v>112</v>
      </c>
      <c r="N143" s="4" t="s">
        <v>60</v>
      </c>
      <c r="O143" s="4" t="s">
        <v>25</v>
      </c>
      <c r="P143" s="4" t="s">
        <v>69</v>
      </c>
      <c r="Q143" s="4" t="s">
        <v>27</v>
      </c>
      <c r="R143" s="4"/>
    </row>
    <row r="144" spans="1:18">
      <c r="A144">
        <v>143</v>
      </c>
      <c r="B144" s="3">
        <v>46179.411701388897</v>
      </c>
      <c r="C144" s="3">
        <v>46179.414282407401</v>
      </c>
      <c r="D144" s="4" t="s">
        <v>18</v>
      </c>
      <c r="E144" s="4"/>
      <c r="F144" s="1">
        <v>46179</v>
      </c>
      <c r="G144" s="4" t="s">
        <v>83</v>
      </c>
      <c r="H144" s="4"/>
      <c r="I144" s="5" t="s">
        <v>523</v>
      </c>
      <c r="J144" s="4" t="s">
        <v>524</v>
      </c>
      <c r="K144" s="4" t="s">
        <v>525</v>
      </c>
      <c r="L144" s="4" t="s">
        <v>266</v>
      </c>
      <c r="M144" s="4" t="s">
        <v>112</v>
      </c>
      <c r="N144" s="4" t="s">
        <v>24</v>
      </c>
      <c r="O144" s="4" t="s">
        <v>25</v>
      </c>
      <c r="P144" s="4" t="s">
        <v>36</v>
      </c>
      <c r="Q144" s="4" t="s">
        <v>27</v>
      </c>
      <c r="R144" s="4"/>
    </row>
    <row r="145" spans="1:18">
      <c r="A145">
        <v>144</v>
      </c>
      <c r="B145" s="3">
        <v>46179.419398148202</v>
      </c>
      <c r="C145" s="3">
        <v>46179.421296296299</v>
      </c>
      <c r="D145" s="4" t="s">
        <v>18</v>
      </c>
      <c r="E145" s="4"/>
      <c r="F145" s="1">
        <v>46179</v>
      </c>
      <c r="G145" s="4" t="s">
        <v>343</v>
      </c>
      <c r="H145" s="4"/>
      <c r="I145" s="5" t="s">
        <v>526</v>
      </c>
      <c r="J145" s="4" t="s">
        <v>527</v>
      </c>
      <c r="K145" s="4" t="s">
        <v>346</v>
      </c>
      <c r="L145" s="4" t="s">
        <v>98</v>
      </c>
      <c r="M145" s="4" t="s">
        <v>226</v>
      </c>
      <c r="N145" s="4" t="s">
        <v>61</v>
      </c>
      <c r="O145" s="4" t="s">
        <v>25</v>
      </c>
      <c r="P145" s="4" t="s">
        <v>36</v>
      </c>
      <c r="Q145" s="4" t="s">
        <v>27</v>
      </c>
      <c r="R145" s="4"/>
    </row>
    <row r="146" spans="1:18">
      <c r="A146">
        <v>145</v>
      </c>
      <c r="B146" s="3">
        <v>46179.421863425901</v>
      </c>
      <c r="C146" s="3">
        <v>46179.423587963</v>
      </c>
      <c r="D146" s="4" t="s">
        <v>18</v>
      </c>
      <c r="E146" s="4"/>
      <c r="F146" s="1">
        <v>46179</v>
      </c>
      <c r="G146" s="4" t="s">
        <v>528</v>
      </c>
      <c r="H146" s="4"/>
      <c r="I146" s="5" t="s">
        <v>529</v>
      </c>
      <c r="J146" s="4" t="s">
        <v>530</v>
      </c>
      <c r="K146" s="4" t="s">
        <v>356</v>
      </c>
      <c r="L146" s="4" t="s">
        <v>98</v>
      </c>
      <c r="M146" s="4" t="s">
        <v>226</v>
      </c>
      <c r="N146" s="4" t="s">
        <v>61</v>
      </c>
      <c r="O146" s="4" t="s">
        <v>25</v>
      </c>
      <c r="P146" s="4" t="s">
        <v>36</v>
      </c>
      <c r="Q146" s="4" t="s">
        <v>27</v>
      </c>
      <c r="R146" s="4"/>
    </row>
    <row r="147" spans="1:18">
      <c r="A147">
        <v>146</v>
      </c>
      <c r="B147" s="3">
        <v>46179.470613425903</v>
      </c>
      <c r="C147" s="3">
        <v>46179.474039351902</v>
      </c>
      <c r="D147" s="4" t="s">
        <v>18</v>
      </c>
      <c r="E147" s="4"/>
      <c r="F147" s="1">
        <v>46179</v>
      </c>
      <c r="G147" s="4" t="s">
        <v>531</v>
      </c>
      <c r="H147" s="4"/>
      <c r="I147" s="5" t="s">
        <v>532</v>
      </c>
      <c r="J147" s="4" t="s">
        <v>533</v>
      </c>
      <c r="K147" s="4" t="s">
        <v>534</v>
      </c>
      <c r="L147" s="4" t="s">
        <v>148</v>
      </c>
      <c r="M147" s="4" t="s">
        <v>24</v>
      </c>
      <c r="N147" s="4" t="s">
        <v>34</v>
      </c>
      <c r="O147" s="4" t="s">
        <v>35</v>
      </c>
      <c r="P147" s="4" t="s">
        <v>69</v>
      </c>
      <c r="Q147" s="4" t="s">
        <v>93</v>
      </c>
      <c r="R147" s="4"/>
    </row>
    <row r="148" spans="1:18">
      <c r="A148">
        <v>147</v>
      </c>
      <c r="B148" s="3">
        <v>46179.474340277797</v>
      </c>
      <c r="C148" s="3">
        <v>46179.477361111101</v>
      </c>
      <c r="D148" s="4" t="s">
        <v>18</v>
      </c>
      <c r="E148" s="4"/>
      <c r="F148" s="1">
        <v>46179</v>
      </c>
      <c r="G148" s="4" t="s">
        <v>386</v>
      </c>
      <c r="H148" s="4"/>
      <c r="I148" s="5" t="s">
        <v>535</v>
      </c>
      <c r="J148" s="4" t="s">
        <v>536</v>
      </c>
      <c r="K148" s="4" t="s">
        <v>537</v>
      </c>
      <c r="L148" s="4" t="s">
        <v>148</v>
      </c>
      <c r="M148" s="4" t="s">
        <v>24</v>
      </c>
      <c r="N148" s="4" t="s">
        <v>34</v>
      </c>
      <c r="O148" s="4" t="s">
        <v>35</v>
      </c>
      <c r="P148" s="4" t="s">
        <v>92</v>
      </c>
      <c r="Q148" s="4" t="s">
        <v>93</v>
      </c>
      <c r="R148" s="4"/>
    </row>
    <row r="149" spans="1:18">
      <c r="A149">
        <v>148</v>
      </c>
      <c r="B149" s="3">
        <v>46179.477997685201</v>
      </c>
      <c r="C149" s="3">
        <v>46179.481377314798</v>
      </c>
      <c r="D149" s="4" t="s">
        <v>18</v>
      </c>
      <c r="E149" s="4"/>
      <c r="F149" s="1">
        <v>46179</v>
      </c>
      <c r="G149" s="4" t="s">
        <v>386</v>
      </c>
      <c r="H149" s="4"/>
      <c r="I149" s="5" t="s">
        <v>538</v>
      </c>
      <c r="J149" s="4" t="s">
        <v>539</v>
      </c>
      <c r="K149" s="4" t="s">
        <v>492</v>
      </c>
      <c r="L149" s="4" t="s">
        <v>148</v>
      </c>
      <c r="M149" s="4" t="s">
        <v>24</v>
      </c>
      <c r="N149" s="4" t="s">
        <v>34</v>
      </c>
      <c r="O149" s="4" t="s">
        <v>35</v>
      </c>
      <c r="P149" s="4" t="s">
        <v>36</v>
      </c>
      <c r="Q149" s="4" t="s">
        <v>93</v>
      </c>
      <c r="R149" s="4"/>
    </row>
    <row r="150" spans="1:18">
      <c r="A150">
        <v>149</v>
      </c>
      <c r="B150" s="3">
        <v>46179.4816782407</v>
      </c>
      <c r="C150" s="3">
        <v>46179.485914351899</v>
      </c>
      <c r="D150" s="4" t="s">
        <v>18</v>
      </c>
      <c r="E150" s="4"/>
      <c r="F150" s="1">
        <v>46179</v>
      </c>
      <c r="G150" s="4" t="s">
        <v>540</v>
      </c>
      <c r="H150" s="4"/>
      <c r="I150" s="5" t="s">
        <v>541</v>
      </c>
      <c r="J150" s="4" t="s">
        <v>542</v>
      </c>
      <c r="K150" s="4" t="s">
        <v>158</v>
      </c>
      <c r="L150" s="4" t="s">
        <v>148</v>
      </c>
      <c r="M150" s="4" t="s">
        <v>24</v>
      </c>
      <c r="N150" s="4" t="s">
        <v>112</v>
      </c>
      <c r="O150" s="4" t="s">
        <v>35</v>
      </c>
      <c r="P150" s="4" t="s">
        <v>50</v>
      </c>
      <c r="Q150" s="4" t="s">
        <v>93</v>
      </c>
      <c r="R150" s="4"/>
    </row>
    <row r="151" spans="1:18">
      <c r="A151">
        <v>150</v>
      </c>
      <c r="B151" s="3">
        <v>46179.637638888897</v>
      </c>
      <c r="C151" s="3">
        <v>46179.639537037001</v>
      </c>
      <c r="D151" s="4" t="s">
        <v>18</v>
      </c>
      <c r="E151" s="4"/>
      <c r="F151" s="1">
        <v>46179</v>
      </c>
      <c r="G151" s="4" t="s">
        <v>543</v>
      </c>
      <c r="H151" s="4"/>
      <c r="I151" s="5" t="s">
        <v>544</v>
      </c>
      <c r="J151" s="4" t="s">
        <v>545</v>
      </c>
      <c r="K151" s="4" t="s">
        <v>90</v>
      </c>
      <c r="L151" s="4" t="s">
        <v>91</v>
      </c>
      <c r="M151" s="4" t="s">
        <v>33</v>
      </c>
      <c r="N151" s="4" t="s">
        <v>34</v>
      </c>
      <c r="O151" s="4" t="s">
        <v>25</v>
      </c>
      <c r="P151" s="4" t="s">
        <v>92</v>
      </c>
      <c r="Q151" s="4" t="s">
        <v>93</v>
      </c>
      <c r="R151" s="4"/>
    </row>
    <row r="152" spans="1:18">
      <c r="A152">
        <v>151</v>
      </c>
      <c r="B152" s="3">
        <v>46179.8338657407</v>
      </c>
      <c r="C152" s="3">
        <v>46179.835659722201</v>
      </c>
      <c r="D152" s="4" t="s">
        <v>18</v>
      </c>
      <c r="E152" s="4"/>
      <c r="F152" s="1">
        <v>46179</v>
      </c>
      <c r="G152" s="4" t="s">
        <v>458</v>
      </c>
      <c r="H152" s="4"/>
      <c r="I152" s="5" t="s">
        <v>546</v>
      </c>
      <c r="J152" s="4" t="s">
        <v>547</v>
      </c>
      <c r="K152" s="4" t="s">
        <v>31</v>
      </c>
      <c r="L152" s="4" t="s">
        <v>44</v>
      </c>
      <c r="M152" s="4" t="s">
        <v>226</v>
      </c>
      <c r="N152" s="4" t="s">
        <v>61</v>
      </c>
      <c r="O152" s="4" t="s">
        <v>25</v>
      </c>
      <c r="P152" s="4" t="s">
        <v>36</v>
      </c>
      <c r="Q152" s="4" t="s">
        <v>27</v>
      </c>
      <c r="R152" s="4"/>
    </row>
    <row r="153" spans="1:18">
      <c r="A153">
        <v>152</v>
      </c>
      <c r="B153" s="3">
        <v>46180.337384259299</v>
      </c>
      <c r="C153" s="3">
        <v>46180.339560185203</v>
      </c>
      <c r="D153" s="4" t="s">
        <v>18</v>
      </c>
      <c r="E153" s="4"/>
      <c r="F153" s="1">
        <v>46180</v>
      </c>
      <c r="G153" s="4" t="s">
        <v>548</v>
      </c>
      <c r="H153" s="4"/>
      <c r="I153" s="5" t="s">
        <v>549</v>
      </c>
      <c r="J153" s="4" t="s">
        <v>511</v>
      </c>
      <c r="K153" s="4" t="s">
        <v>550</v>
      </c>
      <c r="L153" s="4" t="s">
        <v>23</v>
      </c>
      <c r="M153" s="4" t="s">
        <v>33</v>
      </c>
      <c r="N153" s="4" t="s">
        <v>24</v>
      </c>
      <c r="O153" s="4" t="s">
        <v>25</v>
      </c>
      <c r="P153" s="4" t="s">
        <v>92</v>
      </c>
      <c r="Q153" s="4" t="s">
        <v>79</v>
      </c>
      <c r="R153" s="4" t="s">
        <v>551</v>
      </c>
    </row>
    <row r="154" spans="1:18">
      <c r="A154">
        <v>153</v>
      </c>
      <c r="B154" s="3">
        <v>46180.428449074097</v>
      </c>
      <c r="C154" s="3">
        <v>46180.429432870398</v>
      </c>
      <c r="D154" s="4" t="s">
        <v>18</v>
      </c>
      <c r="E154" s="4"/>
      <c r="F154" s="1">
        <v>46180</v>
      </c>
      <c r="G154" s="4" t="s">
        <v>28</v>
      </c>
      <c r="H154" s="4"/>
      <c r="I154" s="5" t="s">
        <v>552</v>
      </c>
      <c r="J154" s="4" t="s">
        <v>553</v>
      </c>
      <c r="K154" s="4" t="s">
        <v>324</v>
      </c>
      <c r="L154" s="4" t="s">
        <v>266</v>
      </c>
      <c r="M154" s="4" t="s">
        <v>33</v>
      </c>
      <c r="N154" s="4" t="s">
        <v>24</v>
      </c>
      <c r="O154" s="4" t="s">
        <v>25</v>
      </c>
      <c r="P154" s="4" t="s">
        <v>36</v>
      </c>
      <c r="Q154" s="4" t="s">
        <v>27</v>
      </c>
      <c r="R154" s="4"/>
    </row>
    <row r="155" spans="1:18">
      <c r="A155">
        <v>154</v>
      </c>
      <c r="B155" s="3">
        <v>46180.429490740702</v>
      </c>
      <c r="C155" s="3">
        <v>46180.430960648097</v>
      </c>
      <c r="D155" s="4" t="s">
        <v>18</v>
      </c>
      <c r="E155" s="4"/>
      <c r="F155" s="1">
        <v>46180</v>
      </c>
      <c r="G155" s="4" t="s">
        <v>554</v>
      </c>
      <c r="H155" s="4"/>
      <c r="I155" s="5" t="s">
        <v>555</v>
      </c>
      <c r="J155" s="4" t="s">
        <v>556</v>
      </c>
      <c r="K155" s="4" t="s">
        <v>324</v>
      </c>
      <c r="L155" s="4" t="s">
        <v>266</v>
      </c>
      <c r="M155" s="4" t="s">
        <v>24</v>
      </c>
      <c r="N155" s="4" t="s">
        <v>33</v>
      </c>
      <c r="O155" s="4" t="s">
        <v>25</v>
      </c>
      <c r="P155" s="4" t="s">
        <v>69</v>
      </c>
      <c r="Q155" s="4" t="s">
        <v>27</v>
      </c>
      <c r="R155" s="4"/>
    </row>
    <row r="156" spans="1:18">
      <c r="A156">
        <v>155</v>
      </c>
      <c r="B156" s="3">
        <v>46180.476319444402</v>
      </c>
      <c r="C156" s="3">
        <v>46180.4777777778</v>
      </c>
      <c r="D156" s="4" t="s">
        <v>18</v>
      </c>
      <c r="E156" s="4"/>
      <c r="F156" s="1">
        <v>46180</v>
      </c>
      <c r="G156" s="4" t="s">
        <v>557</v>
      </c>
      <c r="H156" s="4"/>
      <c r="I156" s="5" t="s">
        <v>558</v>
      </c>
      <c r="J156" s="4" t="s">
        <v>559</v>
      </c>
      <c r="K156" s="4" t="s">
        <v>31</v>
      </c>
      <c r="L156" s="4" t="s">
        <v>32</v>
      </c>
      <c r="M156" s="4" t="s">
        <v>34</v>
      </c>
      <c r="N156" s="4" t="s">
        <v>24</v>
      </c>
      <c r="O156" s="4" t="s">
        <v>35</v>
      </c>
      <c r="P156" s="4" t="s">
        <v>92</v>
      </c>
      <c r="Q156" s="4" t="s">
        <v>79</v>
      </c>
      <c r="R156" s="4"/>
    </row>
    <row r="157" spans="1:18">
      <c r="A157">
        <v>156</v>
      </c>
      <c r="B157" s="3">
        <v>46180.495092592602</v>
      </c>
      <c r="C157" s="3">
        <v>46180.495937500003</v>
      </c>
      <c r="D157" s="4" t="s">
        <v>18</v>
      </c>
      <c r="E157" s="4"/>
      <c r="F157" s="1">
        <v>46180</v>
      </c>
      <c r="G157" s="4" t="s">
        <v>560</v>
      </c>
      <c r="H157" s="4"/>
      <c r="I157" s="5" t="s">
        <v>561</v>
      </c>
      <c r="J157" s="4" t="s">
        <v>562</v>
      </c>
      <c r="K157" s="4" t="s">
        <v>31</v>
      </c>
      <c r="L157" s="4" t="s">
        <v>32</v>
      </c>
      <c r="M157" s="4" t="s">
        <v>33</v>
      </c>
      <c r="N157" s="4" t="s">
        <v>34</v>
      </c>
      <c r="O157" s="4" t="s">
        <v>35</v>
      </c>
      <c r="P157" s="4" t="s">
        <v>563</v>
      </c>
      <c r="Q157" s="4" t="s">
        <v>79</v>
      </c>
      <c r="R157" s="4"/>
    </row>
    <row r="158" spans="1:18">
      <c r="A158">
        <v>157</v>
      </c>
      <c r="B158" s="3">
        <v>46180.5004050926</v>
      </c>
      <c r="C158" s="3">
        <v>46180.5030555556</v>
      </c>
      <c r="D158" s="4" t="s">
        <v>18</v>
      </c>
      <c r="E158" s="4"/>
      <c r="F158" s="1">
        <v>46180</v>
      </c>
      <c r="G158" s="4" t="s">
        <v>564</v>
      </c>
      <c r="H158" s="4"/>
      <c r="I158" s="5" t="s">
        <v>565</v>
      </c>
      <c r="J158" s="4" t="s">
        <v>566</v>
      </c>
      <c r="K158" s="4" t="s">
        <v>567</v>
      </c>
      <c r="L158" s="4" t="s">
        <v>23</v>
      </c>
      <c r="M158" s="4" t="s">
        <v>33</v>
      </c>
      <c r="N158" s="4" t="s">
        <v>24</v>
      </c>
      <c r="O158" s="4" t="s">
        <v>25</v>
      </c>
      <c r="P158" s="4" t="s">
        <v>92</v>
      </c>
      <c r="Q158" s="4" t="s">
        <v>27</v>
      </c>
      <c r="R158" s="4" t="s">
        <v>568</v>
      </c>
    </row>
    <row r="159" spans="1:18">
      <c r="A159">
        <v>158</v>
      </c>
      <c r="B159" s="3">
        <v>46180.616458333301</v>
      </c>
      <c r="C159" s="3">
        <v>46180.617881944403</v>
      </c>
      <c r="D159" s="4" t="s">
        <v>18</v>
      </c>
      <c r="E159" s="4"/>
      <c r="F159" s="1">
        <v>46180</v>
      </c>
      <c r="G159" s="4" t="s">
        <v>569</v>
      </c>
      <c r="H159" s="4"/>
      <c r="I159" s="5" t="s">
        <v>570</v>
      </c>
      <c r="J159" s="4" t="s">
        <v>571</v>
      </c>
      <c r="K159" s="4" t="s">
        <v>90</v>
      </c>
      <c r="L159" s="4" t="s">
        <v>91</v>
      </c>
      <c r="M159" s="4" t="s">
        <v>33</v>
      </c>
      <c r="N159" s="4" t="s">
        <v>34</v>
      </c>
      <c r="O159" s="4" t="s">
        <v>25</v>
      </c>
      <c r="P159" s="4" t="s">
        <v>92</v>
      </c>
      <c r="Q159" s="4" t="s">
        <v>93</v>
      </c>
      <c r="R159" s="4"/>
    </row>
    <row r="160" spans="1:18">
      <c r="A160">
        <v>159</v>
      </c>
      <c r="B160" s="3">
        <v>46180.6182638889</v>
      </c>
      <c r="C160" s="3">
        <v>46180.6191203704</v>
      </c>
      <c r="D160" s="4" t="s">
        <v>18</v>
      </c>
      <c r="E160" s="4"/>
      <c r="F160" s="1">
        <v>46180</v>
      </c>
      <c r="G160" s="4" t="s">
        <v>569</v>
      </c>
      <c r="H160" s="4"/>
      <c r="I160" s="5" t="s">
        <v>572</v>
      </c>
      <c r="J160" s="4" t="s">
        <v>573</v>
      </c>
      <c r="K160" s="4" t="s">
        <v>350</v>
      </c>
      <c r="L160" s="4" t="s">
        <v>91</v>
      </c>
      <c r="M160" s="4" t="s">
        <v>33</v>
      </c>
      <c r="N160" s="4" t="s">
        <v>34</v>
      </c>
      <c r="O160" s="4" t="s">
        <v>25</v>
      </c>
      <c r="P160" s="4" t="s">
        <v>69</v>
      </c>
      <c r="Q160" s="4" t="s">
        <v>93</v>
      </c>
      <c r="R160" s="4"/>
    </row>
    <row r="161" spans="1:18">
      <c r="A161">
        <v>160</v>
      </c>
      <c r="B161" s="3">
        <v>46180.619282407402</v>
      </c>
      <c r="C161" s="3">
        <v>46180.619895833297</v>
      </c>
      <c r="D161" s="4" t="s">
        <v>18</v>
      </c>
      <c r="E161" s="4"/>
      <c r="F161" s="1">
        <v>46180</v>
      </c>
      <c r="G161" s="4" t="s">
        <v>574</v>
      </c>
      <c r="H161" s="4"/>
      <c r="I161" s="5" t="s">
        <v>575</v>
      </c>
      <c r="J161" s="4" t="s">
        <v>217</v>
      </c>
      <c r="K161" s="4" t="s">
        <v>337</v>
      </c>
      <c r="L161" s="4" t="s">
        <v>91</v>
      </c>
      <c r="M161" s="4" t="s">
        <v>33</v>
      </c>
      <c r="N161" s="4" t="s">
        <v>34</v>
      </c>
      <c r="O161" s="4" t="s">
        <v>25</v>
      </c>
      <c r="P161" s="4" t="s">
        <v>69</v>
      </c>
      <c r="Q161" s="4" t="s">
        <v>93</v>
      </c>
      <c r="R161" s="4"/>
    </row>
    <row r="162" spans="1:18">
      <c r="A162">
        <v>161</v>
      </c>
      <c r="B162" s="3">
        <v>46180.667233796303</v>
      </c>
      <c r="C162" s="3">
        <v>46180.668460648099</v>
      </c>
      <c r="D162" s="4" t="s">
        <v>18</v>
      </c>
      <c r="E162" s="4"/>
      <c r="F162" s="1">
        <v>46187</v>
      </c>
      <c r="G162" s="4" t="s">
        <v>576</v>
      </c>
      <c r="H162" s="4"/>
      <c r="I162" s="5" t="s">
        <v>577</v>
      </c>
      <c r="J162" s="4" t="s">
        <v>578</v>
      </c>
      <c r="K162" s="4" t="s">
        <v>477</v>
      </c>
      <c r="L162" s="4" t="s">
        <v>91</v>
      </c>
      <c r="M162" s="4" t="s">
        <v>33</v>
      </c>
      <c r="N162" s="4" t="s">
        <v>34</v>
      </c>
      <c r="O162" s="4" t="s">
        <v>25</v>
      </c>
      <c r="P162" s="4" t="s">
        <v>26</v>
      </c>
      <c r="Q162" s="4" t="s">
        <v>27</v>
      </c>
      <c r="R162" s="4"/>
    </row>
    <row r="163" spans="1:18">
      <c r="A163">
        <v>162</v>
      </c>
      <c r="B163" s="3">
        <v>46180.758923611102</v>
      </c>
      <c r="C163" s="3">
        <v>46180.760335648098</v>
      </c>
      <c r="D163" s="4" t="s">
        <v>18</v>
      </c>
      <c r="E163" s="4"/>
      <c r="F163" s="1">
        <v>46180</v>
      </c>
      <c r="G163" s="4" t="s">
        <v>579</v>
      </c>
      <c r="H163" s="4"/>
      <c r="I163" s="5" t="s">
        <v>580</v>
      </c>
      <c r="J163" s="4" t="s">
        <v>581</v>
      </c>
      <c r="K163" s="4" t="s">
        <v>582</v>
      </c>
      <c r="L163" s="4" t="s">
        <v>91</v>
      </c>
      <c r="M163" s="4" t="s">
        <v>33</v>
      </c>
      <c r="N163" s="4" t="s">
        <v>34</v>
      </c>
      <c r="O163" s="4" t="s">
        <v>25</v>
      </c>
      <c r="P163" s="4" t="s">
        <v>92</v>
      </c>
      <c r="Q163" s="4" t="s">
        <v>93</v>
      </c>
      <c r="R163" s="4"/>
    </row>
    <row r="164" spans="1:18">
      <c r="A164">
        <v>163</v>
      </c>
      <c r="B164" s="3">
        <v>46180.881608796299</v>
      </c>
      <c r="C164" s="3">
        <v>46180.8828587963</v>
      </c>
      <c r="D164" s="4" t="s">
        <v>18</v>
      </c>
      <c r="E164" s="4"/>
      <c r="F164" s="1">
        <v>46180</v>
      </c>
      <c r="G164" s="4" t="s">
        <v>389</v>
      </c>
      <c r="H164" s="4"/>
      <c r="I164" s="5" t="s">
        <v>583</v>
      </c>
      <c r="J164" s="4" t="s">
        <v>584</v>
      </c>
      <c r="K164" s="4" t="s">
        <v>31</v>
      </c>
      <c r="L164" s="4" t="s">
        <v>32</v>
      </c>
      <c r="M164" s="4" t="s">
        <v>24</v>
      </c>
      <c r="N164" s="4" t="s">
        <v>117</v>
      </c>
      <c r="O164" s="4" t="s">
        <v>25</v>
      </c>
      <c r="P164" s="4" t="s">
        <v>36</v>
      </c>
      <c r="Q164" s="4" t="s">
        <v>27</v>
      </c>
      <c r="R164" s="4"/>
    </row>
    <row r="165" spans="1:18">
      <c r="A165">
        <v>164</v>
      </c>
      <c r="B165" s="3">
        <v>46181.411724537</v>
      </c>
      <c r="C165" s="3">
        <v>46181.413078703699</v>
      </c>
      <c r="D165" s="4" t="s">
        <v>18</v>
      </c>
      <c r="E165" s="4"/>
      <c r="F165" s="1">
        <v>46181</v>
      </c>
      <c r="G165" s="4" t="s">
        <v>458</v>
      </c>
      <c r="H165" s="4"/>
      <c r="I165" s="5" t="s">
        <v>585</v>
      </c>
      <c r="J165" s="4" t="s">
        <v>586</v>
      </c>
      <c r="K165" s="4" t="s">
        <v>90</v>
      </c>
      <c r="L165" s="4" t="s">
        <v>91</v>
      </c>
      <c r="M165" s="4" t="s">
        <v>226</v>
      </c>
      <c r="N165" s="4" t="s">
        <v>34</v>
      </c>
      <c r="O165" s="4" t="s">
        <v>25</v>
      </c>
      <c r="P165" s="4" t="s">
        <v>92</v>
      </c>
      <c r="Q165" s="4" t="s">
        <v>93</v>
      </c>
      <c r="R165" s="4"/>
    </row>
    <row r="166" spans="1:18">
      <c r="A166">
        <v>165</v>
      </c>
      <c r="B166" s="3">
        <v>46181.413217592599</v>
      </c>
      <c r="C166" s="3">
        <v>46181.414039351803</v>
      </c>
      <c r="D166" s="4" t="s">
        <v>18</v>
      </c>
      <c r="E166" s="4"/>
      <c r="F166" s="1">
        <v>46181</v>
      </c>
      <c r="G166" s="4" t="s">
        <v>458</v>
      </c>
      <c r="H166" s="4"/>
      <c r="I166" s="5" t="s">
        <v>587</v>
      </c>
      <c r="J166" s="4" t="s">
        <v>336</v>
      </c>
      <c r="K166" s="4" t="s">
        <v>337</v>
      </c>
      <c r="L166" s="4" t="s">
        <v>91</v>
      </c>
      <c r="M166" s="4" t="s">
        <v>226</v>
      </c>
      <c r="N166" s="4" t="s">
        <v>34</v>
      </c>
      <c r="O166" s="4" t="s">
        <v>25</v>
      </c>
      <c r="P166" s="4" t="s">
        <v>69</v>
      </c>
      <c r="Q166" s="4" t="s">
        <v>93</v>
      </c>
      <c r="R166" s="4"/>
    </row>
    <row r="167" spans="1:18">
      <c r="A167">
        <v>166</v>
      </c>
      <c r="B167" s="3">
        <v>46181.4221412037</v>
      </c>
      <c r="C167" s="3">
        <v>46181.423078703701</v>
      </c>
      <c r="D167" s="4" t="s">
        <v>18</v>
      </c>
      <c r="E167" s="4"/>
      <c r="F167" s="1">
        <v>46181</v>
      </c>
      <c r="G167" s="4" t="s">
        <v>588</v>
      </c>
      <c r="H167" s="4"/>
      <c r="I167" s="5" t="s">
        <v>589</v>
      </c>
      <c r="J167" s="4" t="s">
        <v>590</v>
      </c>
      <c r="K167" s="4" t="s">
        <v>31</v>
      </c>
      <c r="L167" s="4" t="s">
        <v>32</v>
      </c>
      <c r="M167" s="4" t="s">
        <v>226</v>
      </c>
      <c r="N167" s="4" t="s">
        <v>34</v>
      </c>
      <c r="O167" s="4" t="s">
        <v>35</v>
      </c>
      <c r="P167" s="4" t="s">
        <v>69</v>
      </c>
      <c r="Q167" s="4" t="s">
        <v>93</v>
      </c>
      <c r="R167" s="4"/>
    </row>
    <row r="168" spans="1:18">
      <c r="A168">
        <v>167</v>
      </c>
      <c r="B168" s="3">
        <v>46181.424375000002</v>
      </c>
      <c r="C168" s="3">
        <v>46181.432395833297</v>
      </c>
      <c r="D168" s="4" t="s">
        <v>18</v>
      </c>
      <c r="E168" s="4"/>
      <c r="F168" s="1">
        <v>46181</v>
      </c>
      <c r="G168" s="4" t="s">
        <v>591</v>
      </c>
      <c r="H168" s="4"/>
      <c r="I168" s="5" t="s">
        <v>592</v>
      </c>
      <c r="J168" s="4" t="s">
        <v>593</v>
      </c>
      <c r="K168" s="4" t="s">
        <v>356</v>
      </c>
      <c r="L168" s="4" t="s">
        <v>98</v>
      </c>
      <c r="M168" s="4" t="s">
        <v>226</v>
      </c>
      <c r="N168" s="4" t="s">
        <v>226</v>
      </c>
      <c r="O168" s="4" t="s">
        <v>25</v>
      </c>
      <c r="P168" s="4" t="s">
        <v>36</v>
      </c>
      <c r="Q168" s="4" t="s">
        <v>27</v>
      </c>
      <c r="R168" s="4"/>
    </row>
    <row r="169" spans="1:18">
      <c r="A169">
        <v>168</v>
      </c>
      <c r="B169" s="3">
        <v>46181.425810185203</v>
      </c>
      <c r="C169" s="3">
        <v>46181.432708333297</v>
      </c>
      <c r="D169" s="4" t="s">
        <v>18</v>
      </c>
      <c r="E169" s="4"/>
      <c r="F169" s="1">
        <v>46181</v>
      </c>
      <c r="G169" s="4" t="s">
        <v>594</v>
      </c>
      <c r="H169" s="4"/>
      <c r="I169" s="5" t="s">
        <v>595</v>
      </c>
      <c r="J169" s="4" t="s">
        <v>596</v>
      </c>
      <c r="K169" s="4" t="s">
        <v>597</v>
      </c>
      <c r="L169" s="4" t="s">
        <v>98</v>
      </c>
      <c r="M169" s="4" t="s">
        <v>226</v>
      </c>
      <c r="N169" s="4" t="s">
        <v>226</v>
      </c>
      <c r="O169" s="4" t="s">
        <v>25</v>
      </c>
      <c r="P169" s="4" t="s">
        <v>563</v>
      </c>
      <c r="Q169" s="4" t="s">
        <v>27</v>
      </c>
      <c r="R169" s="4"/>
    </row>
    <row r="170" spans="1:18">
      <c r="A170">
        <v>169</v>
      </c>
      <c r="B170" s="3">
        <v>46181.435543981497</v>
      </c>
      <c r="C170" s="3">
        <v>46181.436307870397</v>
      </c>
      <c r="D170" s="4" t="s">
        <v>18</v>
      </c>
      <c r="E170" s="4"/>
      <c r="F170" s="1">
        <v>46181</v>
      </c>
      <c r="G170" s="4" t="s">
        <v>442</v>
      </c>
      <c r="H170" s="4"/>
      <c r="I170" s="5" t="s">
        <v>598</v>
      </c>
      <c r="J170" s="4" t="s">
        <v>599</v>
      </c>
      <c r="K170" s="4" t="s">
        <v>350</v>
      </c>
      <c r="L170" s="4" t="s">
        <v>91</v>
      </c>
      <c r="M170" s="4" t="s">
        <v>33</v>
      </c>
      <c r="N170" s="4" t="s">
        <v>112</v>
      </c>
      <c r="O170" s="4" t="s">
        <v>25</v>
      </c>
      <c r="P170" s="4" t="s">
        <v>50</v>
      </c>
      <c r="Q170" s="4" t="s">
        <v>27</v>
      </c>
      <c r="R170" s="4"/>
    </row>
    <row r="171" spans="1:18">
      <c r="A171">
        <v>170</v>
      </c>
      <c r="B171" s="3">
        <v>46181.462048611102</v>
      </c>
      <c r="C171" s="3">
        <v>46181.463773148098</v>
      </c>
      <c r="D171" s="4" t="s">
        <v>18</v>
      </c>
      <c r="E171" s="4"/>
      <c r="F171" s="1">
        <v>46181</v>
      </c>
      <c r="G171" s="4" t="s">
        <v>514</v>
      </c>
      <c r="H171" s="4"/>
      <c r="I171" s="5" t="s">
        <v>600</v>
      </c>
      <c r="J171" s="4" t="s">
        <v>601</v>
      </c>
      <c r="K171" s="4" t="s">
        <v>602</v>
      </c>
      <c r="L171" s="4" t="s">
        <v>23</v>
      </c>
      <c r="M171" s="4" t="s">
        <v>34</v>
      </c>
      <c r="N171" s="4" t="s">
        <v>24</v>
      </c>
      <c r="O171" s="4" t="s">
        <v>25</v>
      </c>
      <c r="P171" s="4" t="s">
        <v>69</v>
      </c>
      <c r="Q171" s="4" t="s">
        <v>27</v>
      </c>
      <c r="R171" s="4" t="s">
        <v>603</v>
      </c>
    </row>
    <row r="172" spans="1:18">
      <c r="A172">
        <v>171</v>
      </c>
      <c r="B172" s="3">
        <v>46181.470474537004</v>
      </c>
      <c r="C172" s="3">
        <v>46181.471817129597</v>
      </c>
      <c r="D172" s="4" t="s">
        <v>18</v>
      </c>
      <c r="E172" s="4"/>
      <c r="F172" s="1">
        <v>46181</v>
      </c>
      <c r="G172" s="4" t="s">
        <v>83</v>
      </c>
      <c r="H172" s="4"/>
      <c r="I172" s="5" t="s">
        <v>604</v>
      </c>
      <c r="J172" s="4" t="s">
        <v>605</v>
      </c>
      <c r="K172" s="4" t="s">
        <v>31</v>
      </c>
      <c r="L172" s="4" t="s">
        <v>44</v>
      </c>
      <c r="M172" s="4" t="s">
        <v>24</v>
      </c>
      <c r="N172" s="4" t="s">
        <v>226</v>
      </c>
      <c r="O172" s="4" t="s">
        <v>25</v>
      </c>
      <c r="P172" s="4" t="s">
        <v>36</v>
      </c>
      <c r="Q172" s="4" t="s">
        <v>27</v>
      </c>
      <c r="R172" s="4"/>
    </row>
    <row r="173" spans="1:18">
      <c r="A173">
        <v>172</v>
      </c>
      <c r="B173" s="3">
        <v>46181.471875000003</v>
      </c>
      <c r="C173" s="3">
        <v>46181.472812499997</v>
      </c>
      <c r="D173" s="4" t="s">
        <v>18</v>
      </c>
      <c r="E173" s="4"/>
      <c r="F173" s="1">
        <v>46181</v>
      </c>
      <c r="G173" s="4" t="s">
        <v>188</v>
      </c>
      <c r="H173" s="4"/>
      <c r="I173" s="5" t="s">
        <v>606</v>
      </c>
      <c r="J173" s="4" t="s">
        <v>607</v>
      </c>
      <c r="K173" s="4" t="s">
        <v>608</v>
      </c>
      <c r="L173" s="4" t="s">
        <v>44</v>
      </c>
      <c r="M173" s="4" t="s">
        <v>33</v>
      </c>
      <c r="N173" s="4" t="s">
        <v>226</v>
      </c>
      <c r="O173" s="4" t="s">
        <v>25</v>
      </c>
      <c r="P173" s="4" t="s">
        <v>50</v>
      </c>
      <c r="Q173" s="4" t="s">
        <v>27</v>
      </c>
      <c r="R173" s="4"/>
    </row>
    <row r="174" spans="1:18">
      <c r="A174">
        <v>173</v>
      </c>
      <c r="B174" s="3">
        <v>46181.601145833301</v>
      </c>
      <c r="C174" s="3">
        <v>46181.6028703704</v>
      </c>
      <c r="D174" s="4" t="s">
        <v>18</v>
      </c>
      <c r="E174" s="4"/>
      <c r="F174" s="1">
        <v>46181</v>
      </c>
      <c r="G174" s="4" t="s">
        <v>609</v>
      </c>
      <c r="H174" s="4"/>
      <c r="I174" s="5" t="s">
        <v>610</v>
      </c>
      <c r="J174" s="4" t="s">
        <v>611</v>
      </c>
      <c r="K174" s="4" t="s">
        <v>612</v>
      </c>
      <c r="L174" s="4" t="s">
        <v>91</v>
      </c>
      <c r="M174" s="4" t="s">
        <v>112</v>
      </c>
      <c r="N174" s="4" t="s">
        <v>24</v>
      </c>
      <c r="O174" s="4" t="s">
        <v>25</v>
      </c>
      <c r="P174" s="4" t="s">
        <v>50</v>
      </c>
      <c r="Q174" s="4" t="s">
        <v>27</v>
      </c>
      <c r="R174" s="4"/>
    </row>
    <row r="175" spans="1:18">
      <c r="A175">
        <v>174</v>
      </c>
      <c r="B175" s="3">
        <v>46181.768495370401</v>
      </c>
      <c r="C175" s="3">
        <v>46181.772037037001</v>
      </c>
      <c r="D175" s="4" t="s">
        <v>18</v>
      </c>
      <c r="E175" s="4"/>
      <c r="F175" s="1">
        <v>46181</v>
      </c>
      <c r="G175" s="4" t="s">
        <v>613</v>
      </c>
      <c r="H175" s="4"/>
      <c r="I175" s="5" t="s">
        <v>614</v>
      </c>
      <c r="J175" s="4" t="s">
        <v>615</v>
      </c>
      <c r="K175" s="4" t="s">
        <v>616</v>
      </c>
      <c r="L175" s="4" t="s">
        <v>32</v>
      </c>
      <c r="M175" s="4" t="s">
        <v>33</v>
      </c>
      <c r="N175" s="4" t="s">
        <v>34</v>
      </c>
      <c r="O175" s="4" t="s">
        <v>35</v>
      </c>
      <c r="P175" s="4" t="s">
        <v>69</v>
      </c>
      <c r="Q175" s="4" t="s">
        <v>93</v>
      </c>
      <c r="R175" s="4"/>
    </row>
    <row r="176" spans="1:18">
      <c r="A176">
        <v>175</v>
      </c>
      <c r="B176" s="3">
        <v>46181.846458333297</v>
      </c>
      <c r="C176" s="3">
        <v>46181.848703703698</v>
      </c>
      <c r="D176" s="4" t="s">
        <v>18</v>
      </c>
      <c r="E176" s="4"/>
      <c r="F176" s="1">
        <v>46181</v>
      </c>
      <c r="G176" s="4" t="s">
        <v>458</v>
      </c>
      <c r="H176" s="4"/>
      <c r="I176" s="5" t="s">
        <v>617</v>
      </c>
      <c r="J176" s="4" t="s">
        <v>618</v>
      </c>
      <c r="K176" s="4" t="s">
        <v>492</v>
      </c>
      <c r="L176" s="4" t="s">
        <v>148</v>
      </c>
      <c r="M176" s="4" t="s">
        <v>34</v>
      </c>
      <c r="N176" s="4" t="s">
        <v>24</v>
      </c>
      <c r="O176" s="4" t="s">
        <v>25</v>
      </c>
      <c r="P176" s="4" t="s">
        <v>36</v>
      </c>
      <c r="Q176" s="4" t="s">
        <v>93</v>
      </c>
      <c r="R176" s="4"/>
    </row>
    <row r="177" spans="1:18">
      <c r="A177">
        <v>176</v>
      </c>
      <c r="B177" s="3">
        <v>46181.849143518499</v>
      </c>
      <c r="C177" s="3">
        <v>46181.851192129601</v>
      </c>
      <c r="D177" s="4" t="s">
        <v>18</v>
      </c>
      <c r="E177" s="4"/>
      <c r="F177" s="1">
        <v>46181</v>
      </c>
      <c r="G177" s="4" t="s">
        <v>619</v>
      </c>
      <c r="H177" s="4"/>
      <c r="I177" s="5" t="s">
        <v>620</v>
      </c>
      <c r="J177" s="4" t="s">
        <v>621</v>
      </c>
      <c r="K177" s="4" t="s">
        <v>622</v>
      </c>
      <c r="L177" s="4" t="s">
        <v>148</v>
      </c>
      <c r="M177" s="4" t="s">
        <v>112</v>
      </c>
      <c r="N177" s="4" t="s">
        <v>24</v>
      </c>
      <c r="O177" s="4" t="s">
        <v>25</v>
      </c>
      <c r="P177" s="4" t="s">
        <v>36</v>
      </c>
      <c r="Q177" s="4" t="s">
        <v>93</v>
      </c>
      <c r="R177" s="4"/>
    </row>
    <row r="178" spans="1:18">
      <c r="A178">
        <v>177</v>
      </c>
      <c r="B178" s="3">
        <v>46181.851481481499</v>
      </c>
      <c r="C178" s="3">
        <v>46181.852662037003</v>
      </c>
      <c r="D178" s="4" t="s">
        <v>18</v>
      </c>
      <c r="E178" s="4"/>
      <c r="F178" s="1">
        <v>46181</v>
      </c>
      <c r="G178" s="4" t="s">
        <v>434</v>
      </c>
      <c r="H178" s="4"/>
      <c r="I178" s="5" t="s">
        <v>623</v>
      </c>
      <c r="J178" s="4" t="s">
        <v>624</v>
      </c>
      <c r="K178" s="4" t="s">
        <v>625</v>
      </c>
      <c r="L178" s="4" t="s">
        <v>148</v>
      </c>
      <c r="M178" s="4" t="s">
        <v>112</v>
      </c>
      <c r="N178" s="4" t="s">
        <v>24</v>
      </c>
      <c r="O178" s="4" t="s">
        <v>25</v>
      </c>
      <c r="P178" s="4" t="s">
        <v>50</v>
      </c>
      <c r="Q178" s="4" t="s">
        <v>93</v>
      </c>
      <c r="R178" s="4"/>
    </row>
    <row r="179" spans="1:18">
      <c r="A179">
        <v>178</v>
      </c>
      <c r="B179" s="3">
        <v>46181.852708333303</v>
      </c>
      <c r="C179" s="3">
        <v>46181.855601851901</v>
      </c>
      <c r="D179" s="4" t="s">
        <v>18</v>
      </c>
      <c r="E179" s="4"/>
      <c r="F179" s="1">
        <v>46181</v>
      </c>
      <c r="G179" s="4" t="s">
        <v>626</v>
      </c>
      <c r="H179" s="4"/>
      <c r="I179" s="5" t="s">
        <v>627</v>
      </c>
      <c r="J179" s="4" t="s">
        <v>628</v>
      </c>
      <c r="K179" s="4" t="s">
        <v>629</v>
      </c>
      <c r="L179" s="4" t="s">
        <v>148</v>
      </c>
      <c r="M179" s="4" t="s">
        <v>112</v>
      </c>
      <c r="N179" s="4" t="s">
        <v>24</v>
      </c>
      <c r="O179" s="4" t="s">
        <v>25</v>
      </c>
      <c r="P179" s="4" t="s">
        <v>69</v>
      </c>
      <c r="Q179" s="4" t="s">
        <v>93</v>
      </c>
      <c r="R179" s="4"/>
    </row>
    <row r="180" spans="1:18">
      <c r="A180">
        <v>179</v>
      </c>
      <c r="B180" s="3">
        <v>46181.855648148201</v>
      </c>
      <c r="C180" s="3">
        <v>46181.857766203699</v>
      </c>
      <c r="D180" s="4" t="s">
        <v>18</v>
      </c>
      <c r="E180" s="4"/>
      <c r="F180" s="1">
        <v>46181</v>
      </c>
      <c r="G180" s="4" t="s">
        <v>630</v>
      </c>
      <c r="H180" s="4"/>
      <c r="I180" s="5" t="s">
        <v>631</v>
      </c>
      <c r="J180" s="4" t="s">
        <v>632</v>
      </c>
      <c r="K180" s="4" t="s">
        <v>633</v>
      </c>
      <c r="L180" s="4" t="s">
        <v>148</v>
      </c>
      <c r="M180" s="4" t="s">
        <v>34</v>
      </c>
      <c r="N180" s="4" t="s">
        <v>24</v>
      </c>
      <c r="O180" s="4" t="s">
        <v>25</v>
      </c>
      <c r="P180" s="4" t="s">
        <v>50</v>
      </c>
      <c r="Q180" s="4" t="s">
        <v>93</v>
      </c>
      <c r="R180" s="4"/>
    </row>
    <row r="181" spans="1:18">
      <c r="A181">
        <v>180</v>
      </c>
      <c r="B181" s="3">
        <v>46181.8578009259</v>
      </c>
      <c r="C181" s="3">
        <v>46181.8596412037</v>
      </c>
      <c r="D181" s="4" t="s">
        <v>18</v>
      </c>
      <c r="E181" s="4"/>
      <c r="F181" s="1">
        <v>46181</v>
      </c>
      <c r="G181" s="4" t="s">
        <v>185</v>
      </c>
      <c r="H181" s="4"/>
      <c r="I181" s="5" t="s">
        <v>634</v>
      </c>
      <c r="J181" s="4" t="s">
        <v>635</v>
      </c>
      <c r="K181" s="4" t="s">
        <v>492</v>
      </c>
      <c r="L181" s="4" t="s">
        <v>148</v>
      </c>
      <c r="M181" s="4" t="s">
        <v>34</v>
      </c>
      <c r="N181" s="4" t="s">
        <v>24</v>
      </c>
      <c r="O181" s="4" t="s">
        <v>25</v>
      </c>
      <c r="P181" s="4" t="s">
        <v>36</v>
      </c>
      <c r="Q181" s="4" t="s">
        <v>93</v>
      </c>
      <c r="R181" s="4"/>
    </row>
    <row r="182" spans="1:18">
      <c r="A182">
        <v>181</v>
      </c>
      <c r="B182" s="3">
        <v>46181.893715277802</v>
      </c>
      <c r="C182" s="3">
        <v>46181.897569444402</v>
      </c>
      <c r="D182" s="4" t="s">
        <v>18</v>
      </c>
      <c r="E182" s="4"/>
      <c r="F182" s="1">
        <v>46181</v>
      </c>
      <c r="G182" s="4" t="s">
        <v>636</v>
      </c>
      <c r="H182" s="4"/>
      <c r="I182" s="5" t="s">
        <v>637</v>
      </c>
      <c r="J182" s="4" t="s">
        <v>638</v>
      </c>
      <c r="K182" s="4" t="s">
        <v>31</v>
      </c>
      <c r="L182" s="4" t="s">
        <v>32</v>
      </c>
      <c r="M182" s="4" t="s">
        <v>117</v>
      </c>
      <c r="N182" s="4" t="s">
        <v>117</v>
      </c>
      <c r="O182" s="4" t="s">
        <v>25</v>
      </c>
      <c r="P182" s="4" t="s">
        <v>36</v>
      </c>
      <c r="Q182" s="4" t="s">
        <v>27</v>
      </c>
      <c r="R182" s="4" t="s">
        <v>639</v>
      </c>
    </row>
    <row r="183" spans="1:18">
      <c r="A183">
        <v>182</v>
      </c>
      <c r="B183" s="3">
        <v>46182.396331018499</v>
      </c>
      <c r="C183" s="3">
        <v>46182.399317129602</v>
      </c>
      <c r="D183" s="4" t="s">
        <v>18</v>
      </c>
      <c r="E183" s="4"/>
      <c r="F183" s="1">
        <v>46182</v>
      </c>
      <c r="G183" s="4" t="s">
        <v>640</v>
      </c>
      <c r="H183" s="4"/>
      <c r="I183" s="5" t="s">
        <v>641</v>
      </c>
      <c r="J183" s="4" t="s">
        <v>642</v>
      </c>
      <c r="K183" s="4" t="s">
        <v>643</v>
      </c>
      <c r="L183" s="4" t="s">
        <v>23</v>
      </c>
      <c r="M183" s="4" t="s">
        <v>33</v>
      </c>
      <c r="N183" s="4" t="s">
        <v>24</v>
      </c>
      <c r="O183" s="4" t="s">
        <v>25</v>
      </c>
      <c r="P183" s="4" t="s">
        <v>92</v>
      </c>
      <c r="Q183" s="4" t="s">
        <v>79</v>
      </c>
      <c r="R183" s="4" t="s">
        <v>644</v>
      </c>
    </row>
    <row r="184" spans="1:18">
      <c r="A184">
        <v>183</v>
      </c>
      <c r="B184" s="3">
        <v>46182.3983912037</v>
      </c>
      <c r="C184" s="3">
        <v>46182.400243055599</v>
      </c>
      <c r="D184" s="4" t="s">
        <v>18</v>
      </c>
      <c r="E184" s="4"/>
      <c r="F184" s="1">
        <v>46182</v>
      </c>
      <c r="G184" s="4" t="s">
        <v>514</v>
      </c>
      <c r="H184" s="4"/>
      <c r="I184" s="5" t="s">
        <v>645</v>
      </c>
      <c r="J184" s="4" t="s">
        <v>646</v>
      </c>
      <c r="K184" s="4" t="s">
        <v>647</v>
      </c>
      <c r="L184" s="4" t="s">
        <v>23</v>
      </c>
      <c r="M184" s="4" t="s">
        <v>24</v>
      </c>
      <c r="N184" s="4" t="s">
        <v>33</v>
      </c>
      <c r="O184" s="4" t="s">
        <v>25</v>
      </c>
      <c r="P184" s="4" t="s">
        <v>69</v>
      </c>
      <c r="Q184" s="4" t="s">
        <v>27</v>
      </c>
      <c r="R184" s="4" t="s">
        <v>648</v>
      </c>
    </row>
    <row r="185" spans="1:18">
      <c r="A185">
        <v>184</v>
      </c>
      <c r="B185" s="3">
        <v>46182.402071759301</v>
      </c>
      <c r="C185" s="3">
        <v>46182.403217592597</v>
      </c>
      <c r="D185" s="4" t="s">
        <v>18</v>
      </c>
      <c r="E185" s="4"/>
      <c r="F185" s="1">
        <v>46182</v>
      </c>
      <c r="G185" s="4" t="s">
        <v>185</v>
      </c>
      <c r="H185" s="4"/>
      <c r="I185" s="5" t="s">
        <v>649</v>
      </c>
      <c r="J185" s="4" t="s">
        <v>650</v>
      </c>
      <c r="K185" s="4" t="s">
        <v>651</v>
      </c>
      <c r="L185" s="4" t="s">
        <v>266</v>
      </c>
      <c r="M185" s="4" t="s">
        <v>226</v>
      </c>
      <c r="N185" s="4" t="s">
        <v>33</v>
      </c>
      <c r="O185" s="4" t="s">
        <v>25</v>
      </c>
      <c r="P185" s="4" t="s">
        <v>92</v>
      </c>
      <c r="Q185" s="4" t="s">
        <v>27</v>
      </c>
      <c r="R185" s="4"/>
    </row>
    <row r="186" spans="1:18">
      <c r="A186">
        <v>185</v>
      </c>
      <c r="B186" s="3">
        <v>46182.419965277797</v>
      </c>
      <c r="C186" s="3">
        <v>46182.421574074098</v>
      </c>
      <c r="D186" s="4" t="s">
        <v>18</v>
      </c>
      <c r="E186" s="4"/>
      <c r="F186" s="1">
        <v>46182</v>
      </c>
      <c r="G186" s="4" t="s">
        <v>83</v>
      </c>
      <c r="H186" s="4"/>
      <c r="I186" s="5" t="s">
        <v>652</v>
      </c>
      <c r="J186" s="4" t="s">
        <v>653</v>
      </c>
      <c r="K186" s="4" t="s">
        <v>90</v>
      </c>
      <c r="L186" s="4" t="s">
        <v>91</v>
      </c>
      <c r="M186" s="4" t="s">
        <v>33</v>
      </c>
      <c r="N186" s="4" t="s">
        <v>61</v>
      </c>
      <c r="O186" s="4" t="s">
        <v>25</v>
      </c>
      <c r="P186" s="4" t="s">
        <v>92</v>
      </c>
      <c r="Q186" s="4" t="s">
        <v>93</v>
      </c>
      <c r="R186" s="4"/>
    </row>
    <row r="187" spans="1:18">
      <c r="A187">
        <v>186</v>
      </c>
      <c r="B187" s="3">
        <v>46182.410520833299</v>
      </c>
      <c r="C187" s="3">
        <v>46182.422523148103</v>
      </c>
      <c r="D187" s="4" t="s">
        <v>18</v>
      </c>
      <c r="E187" s="4"/>
      <c r="F187" s="1">
        <v>46182</v>
      </c>
      <c r="G187" s="4" t="s">
        <v>62</v>
      </c>
      <c r="H187" s="4"/>
      <c r="I187" s="5" t="s">
        <v>654</v>
      </c>
      <c r="J187" s="4" t="s">
        <v>217</v>
      </c>
      <c r="K187" s="4" t="s">
        <v>218</v>
      </c>
      <c r="L187" s="4" t="s">
        <v>91</v>
      </c>
      <c r="M187" s="4" t="s">
        <v>45</v>
      </c>
      <c r="N187" s="4" t="s">
        <v>24</v>
      </c>
      <c r="O187" s="4" t="s">
        <v>25</v>
      </c>
      <c r="P187" s="4" t="s">
        <v>69</v>
      </c>
      <c r="Q187" s="4" t="s">
        <v>93</v>
      </c>
      <c r="R187" s="4"/>
    </row>
    <row r="188" spans="1:18">
      <c r="A188">
        <v>187</v>
      </c>
      <c r="B188" s="3">
        <v>46182.431516203702</v>
      </c>
      <c r="C188" s="3">
        <v>46182.435312499998</v>
      </c>
      <c r="D188" s="4" t="s">
        <v>18</v>
      </c>
      <c r="E188" s="4"/>
      <c r="F188" s="1">
        <v>46182</v>
      </c>
      <c r="G188" s="4" t="s">
        <v>353</v>
      </c>
      <c r="H188" s="4"/>
      <c r="I188" s="5" t="s">
        <v>655</v>
      </c>
      <c r="J188" s="4" t="s">
        <v>656</v>
      </c>
      <c r="K188" s="4" t="s">
        <v>212</v>
      </c>
      <c r="L188" s="4" t="s">
        <v>98</v>
      </c>
      <c r="M188" s="4" t="s">
        <v>226</v>
      </c>
      <c r="N188" s="4" t="s">
        <v>61</v>
      </c>
      <c r="O188" s="4" t="s">
        <v>25</v>
      </c>
      <c r="P188" s="4" t="s">
        <v>36</v>
      </c>
      <c r="Q188" s="4" t="s">
        <v>27</v>
      </c>
      <c r="R188" s="4"/>
    </row>
    <row r="189" spans="1:18">
      <c r="A189">
        <v>188</v>
      </c>
      <c r="B189" s="3">
        <v>46182.435370370396</v>
      </c>
      <c r="C189" s="3">
        <v>46182.4375</v>
      </c>
      <c r="D189" s="4" t="s">
        <v>18</v>
      </c>
      <c r="E189" s="4"/>
      <c r="F189" s="1">
        <v>46182</v>
      </c>
      <c r="G189" s="4" t="s">
        <v>657</v>
      </c>
      <c r="H189" s="4"/>
      <c r="I189" s="5" t="s">
        <v>658</v>
      </c>
      <c r="J189" s="4" t="s">
        <v>659</v>
      </c>
      <c r="K189" s="4" t="s">
        <v>356</v>
      </c>
      <c r="L189" s="4" t="s">
        <v>98</v>
      </c>
      <c r="M189" s="4" t="s">
        <v>226</v>
      </c>
      <c r="N189" s="4" t="s">
        <v>61</v>
      </c>
      <c r="O189" s="4" t="s">
        <v>25</v>
      </c>
      <c r="P189" s="4" t="s">
        <v>36</v>
      </c>
      <c r="Q189" s="4" t="s">
        <v>93</v>
      </c>
      <c r="R189" s="4"/>
    </row>
    <row r="190" spans="1:18">
      <c r="A190">
        <v>189</v>
      </c>
      <c r="B190" s="3">
        <v>46182.451365740701</v>
      </c>
      <c r="C190" s="3">
        <v>46182.452326388899</v>
      </c>
      <c r="D190" s="4" t="s">
        <v>18</v>
      </c>
      <c r="E190" s="4"/>
      <c r="F190" s="1">
        <v>46182</v>
      </c>
      <c r="G190" s="4" t="s">
        <v>626</v>
      </c>
      <c r="H190" s="4"/>
      <c r="I190" s="5" t="s">
        <v>660</v>
      </c>
      <c r="J190" s="4" t="s">
        <v>661</v>
      </c>
      <c r="K190" s="4" t="s">
        <v>662</v>
      </c>
      <c r="L190" s="4" t="s">
        <v>91</v>
      </c>
      <c r="M190" s="4" t="s">
        <v>45</v>
      </c>
      <c r="N190" s="4" t="s">
        <v>24</v>
      </c>
      <c r="O190" s="4" t="s">
        <v>25</v>
      </c>
      <c r="P190" s="4" t="s">
        <v>69</v>
      </c>
      <c r="Q190" s="4" t="s">
        <v>93</v>
      </c>
      <c r="R190" s="4"/>
    </row>
    <row r="191" spans="1:18">
      <c r="A191">
        <v>190</v>
      </c>
      <c r="B191" s="3">
        <v>46182.477303240703</v>
      </c>
      <c r="C191" s="3">
        <v>46182.480092592603</v>
      </c>
      <c r="D191" s="4" t="s">
        <v>18</v>
      </c>
      <c r="E191" s="4"/>
      <c r="F191" s="1">
        <v>46182</v>
      </c>
      <c r="G191" s="4" t="s">
        <v>389</v>
      </c>
      <c r="H191" s="4"/>
      <c r="I191" s="5" t="s">
        <v>663</v>
      </c>
      <c r="J191" s="4" t="s">
        <v>664</v>
      </c>
      <c r="K191" s="4" t="s">
        <v>665</v>
      </c>
      <c r="L191" s="4" t="s">
        <v>148</v>
      </c>
      <c r="M191" s="4" t="s">
        <v>33</v>
      </c>
      <c r="N191" s="4" t="s">
        <v>24</v>
      </c>
      <c r="O191" s="4" t="s">
        <v>35</v>
      </c>
      <c r="P191" s="4" t="s">
        <v>92</v>
      </c>
      <c r="Q191" s="4" t="s">
        <v>93</v>
      </c>
      <c r="R191" s="4"/>
    </row>
    <row r="192" spans="1:18">
      <c r="A192">
        <v>191</v>
      </c>
      <c r="B192" s="3">
        <v>46182.480150463001</v>
      </c>
      <c r="C192" s="3">
        <v>46182.483738425901</v>
      </c>
      <c r="D192" s="4" t="s">
        <v>18</v>
      </c>
      <c r="E192" s="4"/>
      <c r="F192" s="1">
        <v>46182</v>
      </c>
      <c r="G192" s="4" t="s">
        <v>666</v>
      </c>
      <c r="H192" s="4"/>
      <c r="I192" s="5" t="s">
        <v>667</v>
      </c>
      <c r="J192" s="4" t="s">
        <v>668</v>
      </c>
      <c r="K192" s="4" t="s">
        <v>242</v>
      </c>
      <c r="L192" s="4" t="s">
        <v>148</v>
      </c>
      <c r="M192" s="4" t="s">
        <v>33</v>
      </c>
      <c r="N192" s="4" t="s">
        <v>24</v>
      </c>
      <c r="O192" s="4" t="s">
        <v>35</v>
      </c>
      <c r="P192" s="4" t="s">
        <v>36</v>
      </c>
      <c r="Q192" s="4" t="s">
        <v>93</v>
      </c>
      <c r="R192" s="4"/>
    </row>
    <row r="193" spans="1:18">
      <c r="A193">
        <v>192</v>
      </c>
      <c r="B193" s="3">
        <v>46182.529652777797</v>
      </c>
      <c r="C193" s="3">
        <v>46182.531493055598</v>
      </c>
      <c r="D193" s="4" t="s">
        <v>18</v>
      </c>
      <c r="E193" s="4"/>
      <c r="F193" s="1">
        <v>46182</v>
      </c>
      <c r="G193" s="4" t="s">
        <v>669</v>
      </c>
      <c r="H193" s="4"/>
      <c r="I193" s="5" t="s">
        <v>670</v>
      </c>
      <c r="J193" s="4" t="s">
        <v>671</v>
      </c>
      <c r="K193" s="4" t="s">
        <v>356</v>
      </c>
      <c r="L193" s="4" t="s">
        <v>32</v>
      </c>
      <c r="M193" s="4" t="s">
        <v>33</v>
      </c>
      <c r="N193" s="4" t="s">
        <v>61</v>
      </c>
      <c r="O193" s="4" t="s">
        <v>25</v>
      </c>
      <c r="P193" s="4" t="s">
        <v>69</v>
      </c>
      <c r="Q193" s="4" t="s">
        <v>93</v>
      </c>
      <c r="R193" s="4"/>
    </row>
    <row r="194" spans="1:18">
      <c r="A194">
        <v>193</v>
      </c>
      <c r="B194" s="3">
        <v>46182.5321064815</v>
      </c>
      <c r="C194" s="3">
        <v>46182.5336805556</v>
      </c>
      <c r="D194" s="4" t="s">
        <v>18</v>
      </c>
      <c r="E194" s="4"/>
      <c r="F194" s="1">
        <v>46182</v>
      </c>
      <c r="G194" s="4" t="s">
        <v>672</v>
      </c>
      <c r="H194" s="4"/>
      <c r="I194" s="5" t="s">
        <v>673</v>
      </c>
      <c r="J194" s="4" t="s">
        <v>674</v>
      </c>
      <c r="K194" s="4" t="s">
        <v>356</v>
      </c>
      <c r="L194" s="4" t="s">
        <v>32</v>
      </c>
      <c r="M194" s="4" t="s">
        <v>33</v>
      </c>
      <c r="N194" s="4" t="s">
        <v>61</v>
      </c>
      <c r="O194" s="4" t="s">
        <v>25</v>
      </c>
      <c r="P194" s="4" t="s">
        <v>563</v>
      </c>
      <c r="Q194" s="4" t="s">
        <v>93</v>
      </c>
      <c r="R194" s="4"/>
    </row>
    <row r="195" spans="1:18">
      <c r="A195">
        <v>194</v>
      </c>
      <c r="B195" s="3">
        <v>46182.567187499997</v>
      </c>
      <c r="C195" s="3">
        <v>46182.568032407398</v>
      </c>
      <c r="D195" s="4" t="s">
        <v>18</v>
      </c>
      <c r="E195" s="4"/>
      <c r="F195" s="1">
        <v>46182</v>
      </c>
      <c r="G195" s="4" t="s">
        <v>83</v>
      </c>
      <c r="H195" s="4"/>
      <c r="I195" s="5" t="s">
        <v>675</v>
      </c>
      <c r="J195" s="4" t="s">
        <v>676</v>
      </c>
      <c r="K195" s="4" t="s">
        <v>31</v>
      </c>
      <c r="L195" s="4" t="s">
        <v>44</v>
      </c>
      <c r="M195" s="4" t="s">
        <v>226</v>
      </c>
      <c r="N195" s="4" t="s">
        <v>61</v>
      </c>
      <c r="O195" s="4" t="s">
        <v>25</v>
      </c>
      <c r="P195" s="4" t="s">
        <v>36</v>
      </c>
      <c r="Q195" s="4" t="s">
        <v>27</v>
      </c>
      <c r="R195" s="4"/>
    </row>
    <row r="196" spans="1:18">
      <c r="A196">
        <v>195</v>
      </c>
      <c r="B196" s="3">
        <v>46182.6402662037</v>
      </c>
      <c r="C196" s="3">
        <v>46182.6410763889</v>
      </c>
      <c r="D196" s="4" t="s">
        <v>18</v>
      </c>
      <c r="E196" s="4"/>
      <c r="F196" s="1">
        <v>46182</v>
      </c>
      <c r="G196" s="4" t="s">
        <v>677</v>
      </c>
      <c r="H196" s="4"/>
      <c r="I196" s="5" t="s">
        <v>678</v>
      </c>
      <c r="J196" s="4" t="s">
        <v>679</v>
      </c>
      <c r="K196" s="4" t="s">
        <v>350</v>
      </c>
      <c r="L196" s="4" t="s">
        <v>91</v>
      </c>
      <c r="M196" s="4" t="s">
        <v>33</v>
      </c>
      <c r="N196" s="4" t="s">
        <v>60</v>
      </c>
      <c r="O196" s="4" t="s">
        <v>25</v>
      </c>
      <c r="P196" s="4" t="s">
        <v>50</v>
      </c>
      <c r="Q196" s="4" t="s">
        <v>27</v>
      </c>
      <c r="R196" s="4"/>
    </row>
    <row r="197" spans="1:18">
      <c r="A197">
        <v>196</v>
      </c>
      <c r="B197" s="3">
        <v>46182.807395833297</v>
      </c>
      <c r="C197" s="3">
        <v>46182.808657407397</v>
      </c>
      <c r="D197" s="4" t="s">
        <v>18</v>
      </c>
      <c r="E197" s="4"/>
      <c r="F197" s="1">
        <v>46182</v>
      </c>
      <c r="G197" s="4" t="s">
        <v>680</v>
      </c>
      <c r="H197" s="4"/>
      <c r="I197" s="5" t="s">
        <v>681</v>
      </c>
      <c r="J197" s="4" t="s">
        <v>682</v>
      </c>
      <c r="K197" s="4" t="s">
        <v>683</v>
      </c>
      <c r="L197" s="4" t="s">
        <v>148</v>
      </c>
      <c r="M197" s="4" t="s">
        <v>45</v>
      </c>
      <c r="N197" s="4" t="s">
        <v>24</v>
      </c>
      <c r="O197" s="4" t="s">
        <v>25</v>
      </c>
      <c r="P197" s="4" t="s">
        <v>36</v>
      </c>
      <c r="Q197" s="4" t="s">
        <v>79</v>
      </c>
      <c r="R197" s="4"/>
    </row>
    <row r="198" spans="1:18">
      <c r="A198">
        <v>197</v>
      </c>
      <c r="B198" s="3">
        <v>46182.808703703697</v>
      </c>
      <c r="C198" s="3">
        <v>46182.8102083333</v>
      </c>
      <c r="D198" s="4" t="s">
        <v>18</v>
      </c>
      <c r="E198" s="4"/>
      <c r="F198" s="1">
        <v>46182</v>
      </c>
      <c r="G198" s="4" t="s">
        <v>454</v>
      </c>
      <c r="H198" s="4"/>
      <c r="I198" s="5" t="s">
        <v>684</v>
      </c>
      <c r="J198" s="4" t="s">
        <v>685</v>
      </c>
      <c r="K198" s="4" t="s">
        <v>686</v>
      </c>
      <c r="L198" s="4" t="s">
        <v>148</v>
      </c>
      <c r="M198" s="4" t="s">
        <v>45</v>
      </c>
      <c r="N198" s="4" t="s">
        <v>24</v>
      </c>
      <c r="O198" s="4" t="s">
        <v>25</v>
      </c>
      <c r="P198" s="4" t="s">
        <v>36</v>
      </c>
      <c r="Q198" s="4" t="s">
        <v>79</v>
      </c>
      <c r="R198" s="4"/>
    </row>
    <row r="199" spans="1:18">
      <c r="A199">
        <v>198</v>
      </c>
      <c r="B199" s="3">
        <v>46182.810347222199</v>
      </c>
      <c r="C199" s="3">
        <v>46182.811180555596</v>
      </c>
      <c r="D199" s="4" t="s">
        <v>18</v>
      </c>
      <c r="E199" s="4"/>
      <c r="F199" s="1">
        <v>46182</v>
      </c>
      <c r="G199" s="4" t="s">
        <v>65</v>
      </c>
      <c r="H199" s="4"/>
      <c r="I199" s="5" t="s">
        <v>687</v>
      </c>
      <c r="J199" s="4" t="s">
        <v>688</v>
      </c>
      <c r="K199" s="4" t="s">
        <v>625</v>
      </c>
      <c r="L199" s="4" t="s">
        <v>148</v>
      </c>
      <c r="M199" s="4" t="s">
        <v>45</v>
      </c>
      <c r="N199" s="4" t="s">
        <v>24</v>
      </c>
      <c r="O199" s="4" t="s">
        <v>25</v>
      </c>
      <c r="P199" s="4" t="s">
        <v>50</v>
      </c>
      <c r="Q199" s="4" t="s">
        <v>79</v>
      </c>
      <c r="R199" s="4"/>
    </row>
    <row r="200" spans="1:18">
      <c r="A200">
        <v>199</v>
      </c>
      <c r="B200" s="3">
        <v>46183.399641203701</v>
      </c>
      <c r="C200" s="3">
        <v>46183.400740740697</v>
      </c>
      <c r="D200" s="4" t="s">
        <v>18</v>
      </c>
      <c r="E200" s="4"/>
      <c r="F200" s="1">
        <v>46183</v>
      </c>
      <c r="G200" s="4" t="s">
        <v>689</v>
      </c>
      <c r="H200" s="4"/>
      <c r="I200" s="5" t="s">
        <v>690</v>
      </c>
      <c r="J200" s="4" t="s">
        <v>691</v>
      </c>
      <c r="K200" s="4" t="s">
        <v>692</v>
      </c>
      <c r="L200" s="4" t="s">
        <v>148</v>
      </c>
      <c r="M200" s="4" t="s">
        <v>45</v>
      </c>
      <c r="N200" s="4" t="s">
        <v>24</v>
      </c>
      <c r="O200" s="4" t="s">
        <v>25</v>
      </c>
      <c r="P200" s="4" t="s">
        <v>36</v>
      </c>
      <c r="Q200" s="4" t="s">
        <v>79</v>
      </c>
      <c r="R200" s="4"/>
    </row>
    <row r="201" spans="1:18">
      <c r="A201">
        <v>200</v>
      </c>
      <c r="B201" s="3">
        <v>46183.404652777797</v>
      </c>
      <c r="C201" s="3">
        <v>46183.411284722199</v>
      </c>
      <c r="D201" s="4" t="s">
        <v>18</v>
      </c>
      <c r="E201" s="4"/>
      <c r="F201" s="1">
        <v>46183</v>
      </c>
      <c r="G201" s="4" t="s">
        <v>564</v>
      </c>
      <c r="H201" s="4"/>
      <c r="I201" s="5" t="s">
        <v>693</v>
      </c>
      <c r="J201" s="4" t="s">
        <v>694</v>
      </c>
      <c r="K201" s="4" t="s">
        <v>512</v>
      </c>
      <c r="L201" s="4" t="s">
        <v>23</v>
      </c>
      <c r="M201" s="4" t="s">
        <v>45</v>
      </c>
      <c r="N201" s="4" t="s">
        <v>24</v>
      </c>
      <c r="O201" s="4" t="s">
        <v>25</v>
      </c>
      <c r="P201" s="4" t="s">
        <v>92</v>
      </c>
      <c r="Q201" s="4" t="s">
        <v>79</v>
      </c>
      <c r="R201" s="4" t="s">
        <v>695</v>
      </c>
    </row>
    <row r="202" spans="1:18">
      <c r="A202">
        <v>201</v>
      </c>
      <c r="B202" s="3">
        <v>46183.400902777801</v>
      </c>
      <c r="C202" s="3">
        <v>46183.414814814802</v>
      </c>
      <c r="D202" s="4" t="s">
        <v>18</v>
      </c>
      <c r="E202" s="4"/>
      <c r="F202" s="1">
        <v>46183</v>
      </c>
      <c r="G202" s="4" t="s">
        <v>438</v>
      </c>
      <c r="H202" s="4"/>
      <c r="I202" s="5" t="s">
        <v>696</v>
      </c>
      <c r="J202" s="4" t="s">
        <v>697</v>
      </c>
      <c r="K202" s="4" t="s">
        <v>698</v>
      </c>
      <c r="L202" s="4" t="s">
        <v>148</v>
      </c>
      <c r="M202" s="4" t="s">
        <v>45</v>
      </c>
      <c r="N202" s="4" t="s">
        <v>24</v>
      </c>
      <c r="O202" s="4" t="s">
        <v>25</v>
      </c>
      <c r="P202" s="4" t="s">
        <v>50</v>
      </c>
      <c r="Q202" s="4" t="s">
        <v>79</v>
      </c>
      <c r="R202" s="4"/>
    </row>
    <row r="203" spans="1:18">
      <c r="A203">
        <v>202</v>
      </c>
      <c r="B203" s="3">
        <v>46183.412361111099</v>
      </c>
      <c r="C203" s="3">
        <v>46183.4159490741</v>
      </c>
      <c r="D203" s="4" t="s">
        <v>18</v>
      </c>
      <c r="E203" s="4"/>
      <c r="F203" s="1">
        <v>46183</v>
      </c>
      <c r="G203" s="4" t="s">
        <v>699</v>
      </c>
      <c r="H203" s="4"/>
      <c r="I203" s="5" t="s">
        <v>700</v>
      </c>
      <c r="J203" s="4" t="s">
        <v>701</v>
      </c>
      <c r="K203" s="4" t="s">
        <v>492</v>
      </c>
      <c r="L203" s="4" t="s">
        <v>23</v>
      </c>
      <c r="M203" s="4" t="s">
        <v>45</v>
      </c>
      <c r="N203" s="4" t="s">
        <v>24</v>
      </c>
      <c r="O203" s="4" t="s">
        <v>25</v>
      </c>
      <c r="P203" s="4" t="s">
        <v>36</v>
      </c>
      <c r="Q203" s="4" t="s">
        <v>27</v>
      </c>
      <c r="R203" s="4"/>
    </row>
    <row r="204" spans="1:18">
      <c r="A204">
        <v>203</v>
      </c>
      <c r="B204" s="3">
        <v>46183.419421296298</v>
      </c>
      <c r="C204" s="3">
        <v>46183.4203935185</v>
      </c>
      <c r="D204" s="4" t="s">
        <v>18</v>
      </c>
      <c r="E204" s="4"/>
      <c r="F204" s="1">
        <v>46183</v>
      </c>
      <c r="G204" s="4" t="s">
        <v>405</v>
      </c>
      <c r="H204" s="4"/>
      <c r="I204" s="5" t="s">
        <v>655</v>
      </c>
      <c r="J204" s="4" t="s">
        <v>702</v>
      </c>
      <c r="K204" s="4" t="s">
        <v>212</v>
      </c>
      <c r="L204" s="4" t="s">
        <v>98</v>
      </c>
      <c r="M204" s="4" t="s">
        <v>226</v>
      </c>
      <c r="N204" s="4" t="s">
        <v>61</v>
      </c>
      <c r="O204" s="4" t="s">
        <v>25</v>
      </c>
      <c r="P204" s="4" t="s">
        <v>36</v>
      </c>
      <c r="Q204" s="4" t="s">
        <v>79</v>
      </c>
      <c r="R204" s="4"/>
    </row>
    <row r="205" spans="1:18">
      <c r="A205">
        <v>204</v>
      </c>
      <c r="B205" s="3">
        <v>46183.420925925901</v>
      </c>
      <c r="C205" s="3">
        <v>46183.422349537002</v>
      </c>
      <c r="D205" s="4" t="s">
        <v>18</v>
      </c>
      <c r="E205" s="4"/>
      <c r="F205" s="1">
        <v>46183</v>
      </c>
      <c r="G205" s="4" t="s">
        <v>405</v>
      </c>
      <c r="H205" s="4"/>
      <c r="I205" s="5" t="s">
        <v>703</v>
      </c>
      <c r="J205" s="4" t="s">
        <v>704</v>
      </c>
      <c r="K205" s="4" t="s">
        <v>356</v>
      </c>
      <c r="L205" s="4" t="s">
        <v>98</v>
      </c>
      <c r="M205" s="4" t="s">
        <v>226</v>
      </c>
      <c r="N205" s="4" t="s">
        <v>61</v>
      </c>
      <c r="O205" s="4" t="s">
        <v>25</v>
      </c>
      <c r="P205" s="4" t="s">
        <v>36</v>
      </c>
      <c r="Q205" s="4" t="s">
        <v>93</v>
      </c>
      <c r="R205" s="4"/>
    </row>
    <row r="206" spans="1:18">
      <c r="A206">
        <v>205</v>
      </c>
      <c r="B206" s="3">
        <v>46183.422442129602</v>
      </c>
      <c r="C206" s="3">
        <v>46183.426435185203</v>
      </c>
      <c r="D206" s="4" t="s">
        <v>18</v>
      </c>
      <c r="E206" s="4"/>
      <c r="F206" s="1">
        <v>46183</v>
      </c>
      <c r="G206" s="4" t="s">
        <v>705</v>
      </c>
      <c r="H206" s="4"/>
      <c r="I206" s="5" t="s">
        <v>706</v>
      </c>
      <c r="J206" s="4" t="s">
        <v>707</v>
      </c>
      <c r="K206" s="4" t="s">
        <v>212</v>
      </c>
      <c r="L206" s="4" t="s">
        <v>98</v>
      </c>
      <c r="M206" s="4" t="s">
        <v>226</v>
      </c>
      <c r="N206" s="4" t="s">
        <v>61</v>
      </c>
      <c r="O206" s="4" t="s">
        <v>25</v>
      </c>
      <c r="P206" s="4" t="s">
        <v>36</v>
      </c>
      <c r="Q206" s="4" t="s">
        <v>79</v>
      </c>
      <c r="R206" s="4"/>
    </row>
    <row r="207" spans="1:18">
      <c r="A207">
        <v>206</v>
      </c>
      <c r="B207" s="3">
        <v>46183.459699074097</v>
      </c>
      <c r="C207" s="3">
        <v>46183.460902777799</v>
      </c>
      <c r="D207" s="4" t="s">
        <v>18</v>
      </c>
      <c r="E207" s="4"/>
      <c r="F207" s="1">
        <v>46183</v>
      </c>
      <c r="G207" s="4" t="s">
        <v>531</v>
      </c>
      <c r="H207" s="4"/>
      <c r="I207" s="5" t="s">
        <v>708</v>
      </c>
      <c r="J207" s="4" t="s">
        <v>709</v>
      </c>
      <c r="K207" s="4" t="s">
        <v>492</v>
      </c>
      <c r="L207" s="4" t="s">
        <v>148</v>
      </c>
      <c r="M207" s="4" t="s">
        <v>33</v>
      </c>
      <c r="N207" s="4" t="s">
        <v>24</v>
      </c>
      <c r="O207" s="4" t="s">
        <v>25</v>
      </c>
      <c r="P207" s="4" t="s">
        <v>36</v>
      </c>
      <c r="Q207" s="4" t="s">
        <v>79</v>
      </c>
      <c r="R207" s="4"/>
    </row>
    <row r="208" spans="1:18">
      <c r="A208">
        <v>207</v>
      </c>
      <c r="B208" s="3">
        <v>46183.511921296304</v>
      </c>
      <c r="C208" s="3">
        <v>46183.514027777797</v>
      </c>
      <c r="D208" s="4" t="s">
        <v>18</v>
      </c>
      <c r="E208" s="4"/>
      <c r="F208" s="1">
        <v>46183</v>
      </c>
      <c r="G208" s="4" t="s">
        <v>710</v>
      </c>
      <c r="H208" s="4"/>
      <c r="I208" s="5" t="s">
        <v>711</v>
      </c>
      <c r="J208" s="4" t="s">
        <v>712</v>
      </c>
      <c r="K208" s="4" t="s">
        <v>713</v>
      </c>
      <c r="L208" s="4" t="s">
        <v>32</v>
      </c>
      <c r="M208" s="4" t="s">
        <v>24</v>
      </c>
      <c r="N208" s="4" t="s">
        <v>61</v>
      </c>
      <c r="O208" s="4" t="s">
        <v>35</v>
      </c>
      <c r="P208" s="4" t="s">
        <v>69</v>
      </c>
      <c r="Q208" s="4" t="s">
        <v>27</v>
      </c>
      <c r="R208" s="4"/>
    </row>
    <row r="209" spans="1:18">
      <c r="A209">
        <v>208</v>
      </c>
      <c r="B209" s="3">
        <v>46183.668252314797</v>
      </c>
      <c r="C209" s="3">
        <v>46183.6703472222</v>
      </c>
      <c r="D209" s="4" t="s">
        <v>18</v>
      </c>
      <c r="E209" s="4"/>
      <c r="F209" s="1">
        <v>46183</v>
      </c>
      <c r="G209" s="4" t="s">
        <v>714</v>
      </c>
      <c r="H209" s="4"/>
      <c r="I209" s="5" t="s">
        <v>715</v>
      </c>
      <c r="J209" s="4" t="s">
        <v>716</v>
      </c>
      <c r="K209" s="4" t="s">
        <v>31</v>
      </c>
      <c r="L209" s="4" t="s">
        <v>44</v>
      </c>
      <c r="M209" s="4" t="s">
        <v>226</v>
      </c>
      <c r="N209" s="4" t="s">
        <v>61</v>
      </c>
      <c r="O209" s="4" t="s">
        <v>25</v>
      </c>
      <c r="P209" s="4" t="s">
        <v>36</v>
      </c>
      <c r="Q209" s="4" t="s">
        <v>27</v>
      </c>
      <c r="R209" s="4"/>
    </row>
    <row r="210" spans="1:18">
      <c r="A210">
        <v>209</v>
      </c>
      <c r="B210" s="3">
        <v>46183.706759259301</v>
      </c>
      <c r="C210" s="3">
        <v>46183.708587963003</v>
      </c>
      <c r="D210" s="4" t="s">
        <v>18</v>
      </c>
      <c r="E210" s="4"/>
      <c r="F210" s="1">
        <v>46183</v>
      </c>
      <c r="G210" s="4" t="s">
        <v>717</v>
      </c>
      <c r="H210" s="4"/>
      <c r="I210" s="5" t="s">
        <v>718</v>
      </c>
      <c r="J210" s="4" t="s">
        <v>719</v>
      </c>
      <c r="K210" s="4" t="s">
        <v>720</v>
      </c>
      <c r="L210" s="4" t="s">
        <v>91</v>
      </c>
      <c r="M210" s="4" t="s">
        <v>45</v>
      </c>
      <c r="N210" s="4" t="s">
        <v>24</v>
      </c>
      <c r="O210" s="4" t="s">
        <v>25</v>
      </c>
      <c r="P210" s="4" t="s">
        <v>36</v>
      </c>
      <c r="Q210" s="4" t="s">
        <v>79</v>
      </c>
      <c r="R210" s="4"/>
    </row>
    <row r="211" spans="1:18">
      <c r="A211">
        <v>210</v>
      </c>
      <c r="B211" s="3">
        <v>46183.716168981497</v>
      </c>
      <c r="C211" s="3">
        <v>46183.717152777797</v>
      </c>
      <c r="D211" s="4" t="s">
        <v>18</v>
      </c>
      <c r="E211" s="4"/>
      <c r="F211" s="1">
        <v>46183</v>
      </c>
      <c r="G211" s="4" t="s">
        <v>540</v>
      </c>
      <c r="H211" s="4"/>
      <c r="I211" s="5" t="s">
        <v>721</v>
      </c>
      <c r="J211" s="4" t="s">
        <v>722</v>
      </c>
      <c r="K211" s="4" t="s">
        <v>723</v>
      </c>
      <c r="L211" s="4" t="s">
        <v>148</v>
      </c>
      <c r="M211" s="4" t="s">
        <v>45</v>
      </c>
      <c r="N211" s="4" t="s">
        <v>24</v>
      </c>
      <c r="O211" s="4" t="s">
        <v>25</v>
      </c>
      <c r="P211" s="4" t="s">
        <v>92</v>
      </c>
      <c r="Q211" s="4" t="s">
        <v>79</v>
      </c>
      <c r="R211" s="4"/>
    </row>
    <row r="212" spans="1:18">
      <c r="A212">
        <v>211</v>
      </c>
      <c r="B212" s="3">
        <v>46183.749745370398</v>
      </c>
      <c r="C212" s="3">
        <v>46183.750393518501</v>
      </c>
      <c r="D212" s="4" t="s">
        <v>18</v>
      </c>
      <c r="E212" s="4"/>
      <c r="F212" s="1">
        <v>46183</v>
      </c>
      <c r="G212" s="4" t="s">
        <v>724</v>
      </c>
      <c r="H212" s="4"/>
      <c r="I212" s="5" t="s">
        <v>725</v>
      </c>
      <c r="J212" s="4" t="s">
        <v>726</v>
      </c>
      <c r="K212" s="4" t="s">
        <v>727</v>
      </c>
      <c r="L212" s="4" t="s">
        <v>148</v>
      </c>
      <c r="M212" s="4" t="s">
        <v>45</v>
      </c>
      <c r="N212" s="4" t="s">
        <v>60</v>
      </c>
      <c r="O212" s="4" t="s">
        <v>25</v>
      </c>
      <c r="P212" s="4" t="s">
        <v>69</v>
      </c>
      <c r="Q212" s="4" t="s">
        <v>27</v>
      </c>
      <c r="R212" s="4"/>
    </row>
    <row r="213" spans="1:18">
      <c r="A213">
        <v>212</v>
      </c>
      <c r="B213" s="3">
        <v>46183.8027083333</v>
      </c>
      <c r="C213" s="3">
        <v>46183.807546296302</v>
      </c>
      <c r="D213" s="4" t="s">
        <v>18</v>
      </c>
      <c r="E213" s="4"/>
      <c r="F213" s="1">
        <v>46183</v>
      </c>
      <c r="G213" s="4" t="s">
        <v>728</v>
      </c>
      <c r="H213" s="4"/>
      <c r="I213" s="5" t="s">
        <v>729</v>
      </c>
      <c r="J213" s="4" t="s">
        <v>730</v>
      </c>
      <c r="K213" s="4" t="s">
        <v>731</v>
      </c>
      <c r="L213" s="4" t="s">
        <v>91</v>
      </c>
      <c r="M213" s="4" t="s">
        <v>24</v>
      </c>
      <c r="N213" s="4" t="s">
        <v>61</v>
      </c>
      <c r="O213" s="4" t="s">
        <v>25</v>
      </c>
      <c r="P213" s="4" t="s">
        <v>92</v>
      </c>
      <c r="Q213" s="4" t="s">
        <v>27</v>
      </c>
      <c r="R213" s="4" t="s">
        <v>732</v>
      </c>
    </row>
    <row r="214" spans="1:18">
      <c r="A214">
        <v>213</v>
      </c>
      <c r="B214" s="3">
        <v>46183.871527777803</v>
      </c>
      <c r="C214" s="3">
        <v>46183.873275462996</v>
      </c>
      <c r="D214" s="4" t="s">
        <v>18</v>
      </c>
      <c r="E214" s="4"/>
      <c r="F214" s="1">
        <v>46183</v>
      </c>
      <c r="G214" s="4" t="s">
        <v>733</v>
      </c>
      <c r="H214" s="4"/>
      <c r="I214" s="5" t="s">
        <v>734</v>
      </c>
      <c r="J214" s="4" t="s">
        <v>735</v>
      </c>
      <c r="K214" s="4" t="s">
        <v>31</v>
      </c>
      <c r="L214" s="4" t="s">
        <v>32</v>
      </c>
      <c r="M214" s="4" t="s">
        <v>61</v>
      </c>
      <c r="N214" s="4" t="s">
        <v>34</v>
      </c>
      <c r="O214" s="4" t="s">
        <v>25</v>
      </c>
      <c r="P214" s="4" t="s">
        <v>36</v>
      </c>
      <c r="Q214" s="4" t="s">
        <v>27</v>
      </c>
      <c r="R214" s="4"/>
    </row>
    <row r="215" spans="1:18">
      <c r="A215">
        <v>214</v>
      </c>
      <c r="B215" s="3">
        <v>46184.349212963003</v>
      </c>
      <c r="C215" s="3">
        <v>46184.351226851897</v>
      </c>
      <c r="D215" s="4" t="s">
        <v>18</v>
      </c>
      <c r="E215" s="4"/>
      <c r="F215" s="1">
        <v>46184</v>
      </c>
      <c r="G215" s="4" t="s">
        <v>736</v>
      </c>
      <c r="I215" s="5" t="s">
        <v>737</v>
      </c>
      <c r="J215" s="4" t="s">
        <v>738</v>
      </c>
      <c r="K215" s="4" t="s">
        <v>739</v>
      </c>
      <c r="L215" s="4" t="s">
        <v>266</v>
      </c>
      <c r="M215" s="4" t="s">
        <v>226</v>
      </c>
      <c r="N215" s="4" t="s">
        <v>33</v>
      </c>
      <c r="O215" s="4" t="s">
        <v>25</v>
      </c>
      <c r="P215" s="4" t="s">
        <v>92</v>
      </c>
      <c r="Q215" s="4" t="s">
        <v>27</v>
      </c>
      <c r="R215" s="4"/>
    </row>
    <row r="216" spans="1:18">
      <c r="A216">
        <v>215</v>
      </c>
      <c r="B216" s="3">
        <v>46184.401643518497</v>
      </c>
      <c r="C216" s="3">
        <v>46184.402847222198</v>
      </c>
      <c r="D216" s="4" t="s">
        <v>18</v>
      </c>
      <c r="E216" s="4"/>
      <c r="F216" s="1">
        <v>46184</v>
      </c>
      <c r="G216" s="4" t="s">
        <v>458</v>
      </c>
      <c r="I216" s="5" t="s">
        <v>740</v>
      </c>
      <c r="J216" s="4" t="s">
        <v>741</v>
      </c>
      <c r="K216" s="4" t="s">
        <v>49</v>
      </c>
      <c r="L216" s="4" t="s">
        <v>44</v>
      </c>
      <c r="M216" s="4" t="s">
        <v>226</v>
      </c>
      <c r="N216" s="4" t="s">
        <v>61</v>
      </c>
      <c r="O216" s="4" t="s">
        <v>25</v>
      </c>
      <c r="P216" s="4" t="s">
        <v>69</v>
      </c>
      <c r="Q216" s="4" t="s">
        <v>27</v>
      </c>
      <c r="R216" s="4"/>
    </row>
    <row r="217" spans="1:18">
      <c r="A217">
        <v>216</v>
      </c>
      <c r="B217" s="3">
        <v>46184.406689814801</v>
      </c>
      <c r="C217" s="3">
        <v>46184.412407407399</v>
      </c>
      <c r="D217" s="4" t="s">
        <v>18</v>
      </c>
      <c r="E217" s="4"/>
      <c r="F217" s="1">
        <v>46184</v>
      </c>
      <c r="G217" s="4" t="s">
        <v>742</v>
      </c>
      <c r="I217" s="5" t="s">
        <v>743</v>
      </c>
      <c r="J217" s="4" t="s">
        <v>744</v>
      </c>
      <c r="K217" s="4" t="s">
        <v>745</v>
      </c>
      <c r="L217" s="4" t="s">
        <v>23</v>
      </c>
      <c r="M217" s="4" t="s">
        <v>33</v>
      </c>
      <c r="N217" s="4" t="s">
        <v>112</v>
      </c>
      <c r="O217" s="4" t="s">
        <v>25</v>
      </c>
      <c r="P217" s="4" t="s">
        <v>36</v>
      </c>
      <c r="Q217" s="4" t="s">
        <v>79</v>
      </c>
      <c r="R217" s="4" t="s">
        <v>746</v>
      </c>
    </row>
    <row r="218" spans="1:18">
      <c r="A218">
        <v>217</v>
      </c>
      <c r="B218" s="3">
        <v>46184.428865740701</v>
      </c>
      <c r="C218" s="3">
        <v>46184.430289351803</v>
      </c>
      <c r="D218" s="4" t="s">
        <v>18</v>
      </c>
      <c r="E218" s="4"/>
      <c r="F218" s="1">
        <v>46184</v>
      </c>
      <c r="G218" s="4" t="s">
        <v>62</v>
      </c>
      <c r="I218" s="5" t="s">
        <v>747</v>
      </c>
      <c r="J218" s="4" t="s">
        <v>748</v>
      </c>
      <c r="K218" s="4" t="s">
        <v>90</v>
      </c>
      <c r="L218" s="4" t="s">
        <v>91</v>
      </c>
      <c r="M218" s="4" t="s">
        <v>60</v>
      </c>
      <c r="N218" s="4" t="s">
        <v>61</v>
      </c>
      <c r="O218" s="4" t="s">
        <v>25</v>
      </c>
      <c r="P218" s="4" t="s">
        <v>92</v>
      </c>
      <c r="Q218" s="4" t="s">
        <v>93</v>
      </c>
      <c r="R218" s="4"/>
    </row>
    <row r="219" spans="1:18">
      <c r="A219">
        <v>218</v>
      </c>
      <c r="B219" s="3">
        <v>46184.4304513889</v>
      </c>
      <c r="C219" s="3">
        <v>46184.432916666701</v>
      </c>
      <c r="D219" s="4" t="s">
        <v>18</v>
      </c>
      <c r="E219" s="4"/>
      <c r="F219" s="1">
        <v>46184</v>
      </c>
      <c r="G219" s="4" t="s">
        <v>454</v>
      </c>
      <c r="I219" s="5" t="s">
        <v>749</v>
      </c>
      <c r="J219" s="4" t="s">
        <v>750</v>
      </c>
      <c r="K219" s="4" t="s">
        <v>751</v>
      </c>
      <c r="L219" s="4" t="s">
        <v>91</v>
      </c>
      <c r="M219" s="4" t="s">
        <v>112</v>
      </c>
      <c r="N219" s="4" t="s">
        <v>60</v>
      </c>
      <c r="O219" s="4" t="s">
        <v>25</v>
      </c>
      <c r="P219" s="4" t="s">
        <v>69</v>
      </c>
      <c r="Q219" s="4" t="s">
        <v>93</v>
      </c>
      <c r="R219" s="4"/>
    </row>
    <row r="220" spans="1:18">
      <c r="A220">
        <v>219</v>
      </c>
      <c r="B220" s="3">
        <v>46184.430509259299</v>
      </c>
      <c r="C220" s="3">
        <v>46184.432974536998</v>
      </c>
      <c r="D220" s="4" t="s">
        <v>18</v>
      </c>
      <c r="E220" s="4"/>
      <c r="F220" s="1">
        <v>46184</v>
      </c>
      <c r="G220" s="4" t="s">
        <v>454</v>
      </c>
      <c r="I220" s="5" t="s">
        <v>749</v>
      </c>
      <c r="J220" s="4" t="s">
        <v>750</v>
      </c>
      <c r="K220" s="4" t="s">
        <v>751</v>
      </c>
      <c r="L220" s="4" t="s">
        <v>91</v>
      </c>
      <c r="M220" s="4" t="s">
        <v>112</v>
      </c>
      <c r="N220" s="4" t="s">
        <v>60</v>
      </c>
      <c r="O220" s="4" t="s">
        <v>25</v>
      </c>
      <c r="P220" s="4" t="s">
        <v>69</v>
      </c>
      <c r="Q220" s="4" t="s">
        <v>93</v>
      </c>
      <c r="R220" s="4"/>
    </row>
    <row r="221" spans="1:18">
      <c r="A221">
        <v>220</v>
      </c>
      <c r="B221" s="3">
        <v>46184.447175925903</v>
      </c>
      <c r="C221" s="3">
        <v>46184.448032407403</v>
      </c>
      <c r="D221" s="4" t="s">
        <v>18</v>
      </c>
      <c r="E221" s="4"/>
      <c r="F221" s="1">
        <v>46184</v>
      </c>
      <c r="G221" s="4" t="s">
        <v>752</v>
      </c>
      <c r="I221" s="5" t="s">
        <v>753</v>
      </c>
      <c r="J221" s="4" t="s">
        <v>754</v>
      </c>
      <c r="K221" s="4" t="s">
        <v>31</v>
      </c>
      <c r="L221" s="4" t="s">
        <v>32</v>
      </c>
      <c r="M221" s="4" t="s">
        <v>33</v>
      </c>
      <c r="N221" s="4" t="s">
        <v>61</v>
      </c>
      <c r="O221" s="4" t="s">
        <v>25</v>
      </c>
      <c r="P221" s="4" t="s">
        <v>69</v>
      </c>
      <c r="Q221" s="4" t="s">
        <v>93</v>
      </c>
      <c r="R221" s="4"/>
    </row>
    <row r="222" spans="1:18">
      <c r="A222">
        <v>221</v>
      </c>
      <c r="B222" s="3">
        <v>46184.448252314804</v>
      </c>
      <c r="C222" s="3">
        <v>46184.449490740699</v>
      </c>
      <c r="D222" s="4" t="s">
        <v>18</v>
      </c>
      <c r="E222" s="4"/>
      <c r="F222" s="1">
        <v>46184</v>
      </c>
      <c r="G222" s="4" t="s">
        <v>755</v>
      </c>
      <c r="I222" s="5" t="s">
        <v>756</v>
      </c>
      <c r="J222" s="4" t="s">
        <v>757</v>
      </c>
      <c r="K222" s="4" t="s">
        <v>31</v>
      </c>
      <c r="L222" s="4" t="s">
        <v>32</v>
      </c>
      <c r="M222" s="4" t="s">
        <v>33</v>
      </c>
      <c r="N222" s="4" t="s">
        <v>61</v>
      </c>
      <c r="O222" s="4" t="s">
        <v>35</v>
      </c>
      <c r="P222" s="4" t="s">
        <v>55</v>
      </c>
      <c r="Q222" s="4" t="s">
        <v>79</v>
      </c>
      <c r="R222" s="4"/>
    </row>
    <row r="223" spans="1:18">
      <c r="A223">
        <v>222</v>
      </c>
      <c r="B223" s="3">
        <v>46184.453564814801</v>
      </c>
      <c r="C223" s="3">
        <v>46184.454849537004</v>
      </c>
      <c r="D223" s="4" t="s">
        <v>18</v>
      </c>
      <c r="E223" s="4"/>
      <c r="F223" s="1">
        <v>46184</v>
      </c>
      <c r="G223" s="4" t="s">
        <v>758</v>
      </c>
      <c r="I223" s="5" t="s">
        <v>759</v>
      </c>
      <c r="J223" s="4" t="s">
        <v>760</v>
      </c>
      <c r="K223" s="4" t="s">
        <v>761</v>
      </c>
      <c r="L223" s="4" t="s">
        <v>148</v>
      </c>
      <c r="M223" s="4" t="s">
        <v>226</v>
      </c>
      <c r="N223" s="4" t="s">
        <v>33</v>
      </c>
      <c r="O223" s="4" t="s">
        <v>25</v>
      </c>
      <c r="P223" s="4" t="s">
        <v>36</v>
      </c>
      <c r="Q223" s="4" t="s">
        <v>79</v>
      </c>
      <c r="R223" s="4"/>
    </row>
    <row r="224" spans="1:18">
      <c r="A224">
        <v>223</v>
      </c>
      <c r="B224" s="3">
        <v>46184.454872685201</v>
      </c>
      <c r="C224" s="3">
        <v>46184.456168981502</v>
      </c>
      <c r="D224" s="4" t="s">
        <v>18</v>
      </c>
      <c r="E224" s="4"/>
      <c r="F224" s="1">
        <v>46184</v>
      </c>
      <c r="G224" s="4" t="s">
        <v>762</v>
      </c>
      <c r="I224" s="5" t="s">
        <v>763</v>
      </c>
      <c r="J224" s="4" t="s">
        <v>764</v>
      </c>
      <c r="K224" s="4" t="s">
        <v>698</v>
      </c>
      <c r="L224" s="4" t="s">
        <v>148</v>
      </c>
      <c r="M224" s="4" t="s">
        <v>226</v>
      </c>
      <c r="N224" s="4" t="s">
        <v>33</v>
      </c>
      <c r="O224" s="4" t="s">
        <v>25</v>
      </c>
      <c r="P224" s="4" t="s">
        <v>50</v>
      </c>
      <c r="Q224" s="4" t="s">
        <v>79</v>
      </c>
      <c r="R224" s="4"/>
    </row>
    <row r="225" spans="1:18">
      <c r="A225">
        <v>224</v>
      </c>
      <c r="B225" s="3">
        <v>46184.465115740699</v>
      </c>
      <c r="C225" s="3">
        <v>46184.465868055602</v>
      </c>
      <c r="D225" s="4" t="s">
        <v>18</v>
      </c>
      <c r="E225" s="4"/>
      <c r="F225" s="1">
        <v>46184</v>
      </c>
      <c r="G225" s="4" t="s">
        <v>425</v>
      </c>
      <c r="I225" s="5" t="s">
        <v>740</v>
      </c>
      <c r="J225" s="4" t="s">
        <v>765</v>
      </c>
      <c r="K225" s="4" t="s">
        <v>49</v>
      </c>
      <c r="L225" s="4" t="s">
        <v>44</v>
      </c>
      <c r="M225" s="4" t="s">
        <v>226</v>
      </c>
      <c r="N225" s="4" t="s">
        <v>61</v>
      </c>
      <c r="O225" s="4" t="s">
        <v>25</v>
      </c>
      <c r="P225" s="4" t="s">
        <v>69</v>
      </c>
      <c r="Q225" s="4" t="s">
        <v>27</v>
      </c>
      <c r="R225" s="4"/>
    </row>
    <row r="226" spans="1:18">
      <c r="A226">
        <v>225</v>
      </c>
      <c r="B226" s="3">
        <v>46184.465891203698</v>
      </c>
      <c r="C226" s="3">
        <v>46184.467002314799</v>
      </c>
      <c r="D226" s="4" t="s">
        <v>18</v>
      </c>
      <c r="E226" s="4"/>
      <c r="F226" s="1">
        <v>46184</v>
      </c>
      <c r="G226" s="4" t="s">
        <v>458</v>
      </c>
      <c r="I226" s="5" t="s">
        <v>766</v>
      </c>
      <c r="J226" s="4" t="s">
        <v>429</v>
      </c>
      <c r="K226" s="4" t="s">
        <v>767</v>
      </c>
      <c r="L226" s="4" t="s">
        <v>44</v>
      </c>
      <c r="M226" s="4" t="s">
        <v>226</v>
      </c>
      <c r="N226" s="4" t="s">
        <v>61</v>
      </c>
      <c r="O226" s="4" t="s">
        <v>25</v>
      </c>
      <c r="P226" s="4" t="s">
        <v>69</v>
      </c>
      <c r="Q226" s="4" t="s">
        <v>27</v>
      </c>
      <c r="R226" s="4"/>
    </row>
    <row r="227" spans="1:18">
      <c r="A227">
        <v>226</v>
      </c>
      <c r="B227" s="3">
        <v>46184.464965277803</v>
      </c>
      <c r="C227" s="3">
        <v>46184.467766203699</v>
      </c>
      <c r="D227" s="4" t="s">
        <v>18</v>
      </c>
      <c r="E227" s="4"/>
      <c r="F227" s="1">
        <v>46184</v>
      </c>
      <c r="G227" s="4" t="s">
        <v>365</v>
      </c>
      <c r="I227" s="5" t="s">
        <v>768</v>
      </c>
      <c r="J227" s="4" t="s">
        <v>769</v>
      </c>
      <c r="K227" s="4" t="s">
        <v>346</v>
      </c>
      <c r="L227" s="4" t="s">
        <v>98</v>
      </c>
      <c r="M227" s="4" t="s">
        <v>226</v>
      </c>
      <c r="N227" s="4" t="s">
        <v>61</v>
      </c>
      <c r="O227" s="4" t="s">
        <v>25</v>
      </c>
      <c r="P227" s="4" t="s">
        <v>36</v>
      </c>
      <c r="Q227" s="4" t="s">
        <v>27</v>
      </c>
      <c r="R227" s="4" t="s">
        <v>770</v>
      </c>
    </row>
    <row r="228" spans="1:18">
      <c r="A228">
        <v>227</v>
      </c>
      <c r="B228" s="3">
        <v>46184.466157407398</v>
      </c>
      <c r="C228" s="3">
        <v>46184.468912037002</v>
      </c>
      <c r="D228" s="4" t="s">
        <v>18</v>
      </c>
      <c r="E228" s="4"/>
      <c r="F228" s="1">
        <v>46184</v>
      </c>
      <c r="G228" s="4" t="s">
        <v>771</v>
      </c>
      <c r="I228" s="5" t="s">
        <v>772</v>
      </c>
      <c r="J228" s="4" t="s">
        <v>773</v>
      </c>
      <c r="K228" s="4" t="s">
        <v>22</v>
      </c>
      <c r="L228" s="4" t="s">
        <v>23</v>
      </c>
      <c r="M228" s="4" t="s">
        <v>60</v>
      </c>
      <c r="N228" s="4" t="s">
        <v>33</v>
      </c>
      <c r="O228" s="4" t="s">
        <v>25</v>
      </c>
      <c r="P228" s="4" t="s">
        <v>26</v>
      </c>
      <c r="Q228" s="4" t="s">
        <v>27</v>
      </c>
      <c r="R228" s="4" t="s">
        <v>505</v>
      </c>
    </row>
    <row r="229" spans="1:18">
      <c r="A229">
        <v>228</v>
      </c>
      <c r="B229" s="3">
        <v>46184.468738425901</v>
      </c>
      <c r="C229" s="3">
        <v>46184.469895833303</v>
      </c>
      <c r="D229" s="4" t="s">
        <v>18</v>
      </c>
      <c r="E229" s="4"/>
      <c r="F229" s="1">
        <v>46184</v>
      </c>
      <c r="G229" s="4" t="s">
        <v>774</v>
      </c>
      <c r="I229" s="5" t="s">
        <v>775</v>
      </c>
      <c r="J229" s="4" t="s">
        <v>776</v>
      </c>
      <c r="K229" s="4" t="s">
        <v>218</v>
      </c>
      <c r="L229" s="4" t="s">
        <v>91</v>
      </c>
      <c r="M229" s="4" t="s">
        <v>45</v>
      </c>
      <c r="N229" s="4" t="s">
        <v>33</v>
      </c>
      <c r="O229" s="4" t="s">
        <v>25</v>
      </c>
      <c r="P229" s="4" t="s">
        <v>69</v>
      </c>
      <c r="Q229" s="4" t="s">
        <v>93</v>
      </c>
      <c r="R229" s="4"/>
    </row>
    <row r="230" spans="1:18">
      <c r="A230">
        <v>229</v>
      </c>
      <c r="B230" s="3">
        <v>46184.4813194444</v>
      </c>
      <c r="C230" s="3">
        <v>46184.482650462996</v>
      </c>
      <c r="D230" s="4" t="s">
        <v>18</v>
      </c>
      <c r="E230" s="4"/>
      <c r="F230" s="1">
        <v>46184</v>
      </c>
      <c r="G230" s="4" t="s">
        <v>458</v>
      </c>
      <c r="I230" s="5" t="s">
        <v>777</v>
      </c>
      <c r="J230" s="4" t="s">
        <v>778</v>
      </c>
      <c r="K230" s="4" t="s">
        <v>779</v>
      </c>
      <c r="L230" s="4" t="s">
        <v>44</v>
      </c>
      <c r="M230" s="4" t="s">
        <v>226</v>
      </c>
      <c r="N230" s="4" t="s">
        <v>61</v>
      </c>
      <c r="O230" s="4" t="s">
        <v>25</v>
      </c>
      <c r="P230" s="4" t="s">
        <v>347</v>
      </c>
      <c r="Q230" s="4" t="s">
        <v>27</v>
      </c>
      <c r="R230" s="4"/>
    </row>
    <row r="231" spans="1:18">
      <c r="A231">
        <v>230</v>
      </c>
      <c r="B231" s="3">
        <v>46184.516666666699</v>
      </c>
      <c r="C231" s="3">
        <v>46184.519097222197</v>
      </c>
      <c r="D231" s="4" t="s">
        <v>18</v>
      </c>
      <c r="E231" s="4"/>
      <c r="F231" s="1">
        <v>46184</v>
      </c>
      <c r="G231" s="4" t="s">
        <v>780</v>
      </c>
      <c r="I231" s="5" t="s">
        <v>781</v>
      </c>
      <c r="J231" s="4" t="s">
        <v>782</v>
      </c>
      <c r="K231" s="4" t="s">
        <v>783</v>
      </c>
      <c r="L231" s="4" t="s">
        <v>266</v>
      </c>
      <c r="M231" s="4" t="s">
        <v>226</v>
      </c>
      <c r="N231" s="4" t="s">
        <v>33</v>
      </c>
      <c r="O231" s="4" t="s">
        <v>25</v>
      </c>
      <c r="P231" s="4" t="s">
        <v>36</v>
      </c>
      <c r="Q231" s="4" t="s">
        <v>27</v>
      </c>
      <c r="R231" s="4"/>
    </row>
    <row r="232" spans="1:18">
      <c r="A232">
        <v>231</v>
      </c>
      <c r="B232" s="3">
        <v>46184.520289351902</v>
      </c>
      <c r="C232" s="3">
        <v>46184.521516203698</v>
      </c>
      <c r="D232" s="4" t="s">
        <v>18</v>
      </c>
      <c r="E232" s="4"/>
      <c r="F232" s="1">
        <v>46184</v>
      </c>
      <c r="G232" s="4" t="s">
        <v>458</v>
      </c>
      <c r="I232" s="5" t="s">
        <v>784</v>
      </c>
      <c r="J232" s="4" t="s">
        <v>785</v>
      </c>
      <c r="K232" s="4" t="s">
        <v>31</v>
      </c>
      <c r="L232" s="4" t="s">
        <v>44</v>
      </c>
      <c r="M232" s="4" t="s">
        <v>226</v>
      </c>
      <c r="N232" s="4" t="s">
        <v>61</v>
      </c>
      <c r="O232" s="4" t="s">
        <v>25</v>
      </c>
      <c r="P232" s="4" t="s">
        <v>36</v>
      </c>
      <c r="Q232" s="4" t="s">
        <v>27</v>
      </c>
      <c r="R232" s="4"/>
    </row>
    <row r="233" spans="1:18">
      <c r="A233">
        <v>232</v>
      </c>
      <c r="B233" s="3">
        <v>46184.575231481504</v>
      </c>
      <c r="C233" s="3">
        <v>46184.576400462996</v>
      </c>
      <c r="D233" s="4" t="s">
        <v>18</v>
      </c>
      <c r="E233" s="4"/>
      <c r="F233" s="1">
        <v>46184</v>
      </c>
      <c r="G233" s="4" t="s">
        <v>470</v>
      </c>
      <c r="I233" s="5" t="s">
        <v>786</v>
      </c>
      <c r="J233" s="4" t="s">
        <v>787</v>
      </c>
      <c r="K233" s="4" t="s">
        <v>788</v>
      </c>
      <c r="L233" s="4" t="s">
        <v>98</v>
      </c>
      <c r="M233" s="4" t="s">
        <v>45</v>
      </c>
      <c r="N233" s="4" t="s">
        <v>112</v>
      </c>
      <c r="O233" s="4" t="s">
        <v>35</v>
      </c>
      <c r="P233" s="4" t="s">
        <v>166</v>
      </c>
      <c r="Q233" s="4" t="s">
        <v>79</v>
      </c>
      <c r="R233" s="4"/>
    </row>
    <row r="234" spans="1:18">
      <c r="A234">
        <v>233</v>
      </c>
      <c r="B234" s="3">
        <v>46184.728159722203</v>
      </c>
      <c r="C234" s="3">
        <v>46184.729178240697</v>
      </c>
      <c r="D234" s="4" t="s">
        <v>18</v>
      </c>
      <c r="E234" s="4"/>
      <c r="F234" s="1">
        <v>46184</v>
      </c>
      <c r="G234" s="4" t="s">
        <v>470</v>
      </c>
      <c r="I234" s="5" t="s">
        <v>789</v>
      </c>
      <c r="J234" s="4" t="s">
        <v>790</v>
      </c>
      <c r="K234" s="4" t="s">
        <v>346</v>
      </c>
      <c r="L234" s="4" t="s">
        <v>98</v>
      </c>
      <c r="M234" s="4" t="s">
        <v>33</v>
      </c>
      <c r="N234" s="4" t="s">
        <v>61</v>
      </c>
      <c r="O234" s="4" t="s">
        <v>25</v>
      </c>
      <c r="P234" s="4" t="s">
        <v>347</v>
      </c>
      <c r="Q234" s="4" t="s">
        <v>79</v>
      </c>
      <c r="R234" s="4" t="s">
        <v>791</v>
      </c>
    </row>
    <row r="235" spans="1:18">
      <c r="A235">
        <v>234</v>
      </c>
      <c r="B235" s="3">
        <v>46184.960138888899</v>
      </c>
      <c r="C235" s="3">
        <v>46184.961284722202</v>
      </c>
      <c r="D235" s="4" t="s">
        <v>18</v>
      </c>
      <c r="E235" s="4"/>
      <c r="F235" s="1">
        <v>46184</v>
      </c>
      <c r="G235" s="4" t="s">
        <v>733</v>
      </c>
      <c r="H235" s="4"/>
      <c r="I235" s="5" t="s">
        <v>792</v>
      </c>
      <c r="J235" s="4" t="s">
        <v>793</v>
      </c>
      <c r="K235" s="4" t="s">
        <v>31</v>
      </c>
      <c r="L235" s="4" t="s">
        <v>32</v>
      </c>
      <c r="M235" s="4" t="s">
        <v>45</v>
      </c>
      <c r="N235" s="4" t="s">
        <v>34</v>
      </c>
      <c r="O235" s="4" t="s">
        <v>25</v>
      </c>
      <c r="P235" s="4" t="s">
        <v>36</v>
      </c>
      <c r="Q235" s="4" t="s">
        <v>27</v>
      </c>
      <c r="R235" s="4"/>
    </row>
    <row r="236" spans="1:18">
      <c r="A236">
        <v>235</v>
      </c>
      <c r="B236" s="3">
        <v>46185.404351851903</v>
      </c>
      <c r="C236" s="3">
        <v>46185.4081828704</v>
      </c>
      <c r="D236" s="4" t="s">
        <v>18</v>
      </c>
      <c r="E236" s="4"/>
      <c r="F236" s="1">
        <v>46185</v>
      </c>
      <c r="G236" s="4" t="s">
        <v>794</v>
      </c>
      <c r="H236" s="4"/>
      <c r="I236" s="5" t="s">
        <v>795</v>
      </c>
      <c r="J236" s="4" t="s">
        <v>796</v>
      </c>
      <c r="K236" s="4" t="s">
        <v>797</v>
      </c>
      <c r="L236" s="4" t="s">
        <v>266</v>
      </c>
      <c r="M236" s="4" t="s">
        <v>33</v>
      </c>
      <c r="N236" s="4" t="s">
        <v>33</v>
      </c>
      <c r="O236" s="4" t="s">
        <v>25</v>
      </c>
      <c r="P236" s="4" t="s">
        <v>92</v>
      </c>
      <c r="Q236" s="4" t="s">
        <v>27</v>
      </c>
      <c r="R236" s="4"/>
    </row>
    <row r="237" spans="1:18">
      <c r="A237">
        <v>236</v>
      </c>
      <c r="B237" s="3">
        <v>46185.414525462998</v>
      </c>
      <c r="C237" s="3">
        <v>46185.417106481502</v>
      </c>
      <c r="D237" s="4" t="s">
        <v>18</v>
      </c>
      <c r="E237" s="4"/>
      <c r="F237" s="1">
        <v>46185</v>
      </c>
      <c r="G237" s="4" t="s">
        <v>794</v>
      </c>
      <c r="H237" s="4"/>
      <c r="I237" s="5" t="s">
        <v>798</v>
      </c>
      <c r="J237" s="4" t="s">
        <v>799</v>
      </c>
      <c r="K237" s="4" t="s">
        <v>783</v>
      </c>
      <c r="L237" s="4" t="s">
        <v>266</v>
      </c>
      <c r="M237" s="4" t="s">
        <v>33</v>
      </c>
      <c r="N237" s="4" t="s">
        <v>33</v>
      </c>
      <c r="O237" s="4" t="s">
        <v>25</v>
      </c>
      <c r="P237" s="4" t="s">
        <v>36</v>
      </c>
      <c r="Q237" s="4" t="s">
        <v>27</v>
      </c>
      <c r="R237" s="4" t="s">
        <v>800</v>
      </c>
    </row>
    <row r="238" spans="1:18">
      <c r="A238">
        <v>237</v>
      </c>
      <c r="B238" s="3">
        <v>46185.4231365741</v>
      </c>
      <c r="C238" s="3">
        <v>46185.424456018503</v>
      </c>
      <c r="D238" s="4" t="s">
        <v>18</v>
      </c>
      <c r="E238" s="4"/>
      <c r="F238" s="1">
        <v>46192</v>
      </c>
      <c r="G238" s="4" t="s">
        <v>680</v>
      </c>
      <c r="H238" s="4"/>
      <c r="I238" s="5" t="s">
        <v>801</v>
      </c>
      <c r="J238" s="4" t="s">
        <v>802</v>
      </c>
      <c r="K238" s="4" t="s">
        <v>803</v>
      </c>
      <c r="L238" s="4" t="s">
        <v>148</v>
      </c>
      <c r="M238" s="4" t="s">
        <v>33</v>
      </c>
      <c r="N238" s="4" t="s">
        <v>33</v>
      </c>
      <c r="O238" s="4" t="s">
        <v>25</v>
      </c>
      <c r="P238" s="4" t="s">
        <v>50</v>
      </c>
      <c r="Q238" s="4" t="s">
        <v>79</v>
      </c>
      <c r="R238" s="4"/>
    </row>
    <row r="239" spans="1:18">
      <c r="A239">
        <v>238</v>
      </c>
      <c r="B239" s="3">
        <v>46185.424502314803</v>
      </c>
      <c r="C239" s="3">
        <v>46185.426493055602</v>
      </c>
      <c r="D239" s="4" t="s">
        <v>18</v>
      </c>
      <c r="E239" s="4"/>
      <c r="F239" s="1">
        <v>46185</v>
      </c>
      <c r="G239" s="4" t="s">
        <v>714</v>
      </c>
      <c r="H239" s="4"/>
      <c r="I239" s="5" t="s">
        <v>804</v>
      </c>
      <c r="J239" s="4" t="s">
        <v>805</v>
      </c>
      <c r="K239" s="4" t="s">
        <v>761</v>
      </c>
      <c r="L239" s="4" t="s">
        <v>148</v>
      </c>
      <c r="M239" s="4" t="s">
        <v>33</v>
      </c>
      <c r="N239" s="4" t="s">
        <v>33</v>
      </c>
      <c r="O239" s="4" t="s">
        <v>25</v>
      </c>
      <c r="P239" s="4" t="s">
        <v>36</v>
      </c>
      <c r="Q239" s="4" t="s">
        <v>79</v>
      </c>
      <c r="R239" s="4"/>
    </row>
    <row r="240" spans="1:18">
      <c r="A240">
        <v>239</v>
      </c>
      <c r="B240" s="3">
        <v>46185.430868055599</v>
      </c>
      <c r="C240" s="3">
        <v>46185.433182870402</v>
      </c>
      <c r="D240" s="4" t="s">
        <v>18</v>
      </c>
      <c r="E240" s="4"/>
      <c r="F240" s="1">
        <v>46192</v>
      </c>
      <c r="G240" s="4" t="s">
        <v>274</v>
      </c>
      <c r="H240" s="4"/>
      <c r="I240" s="5" t="s">
        <v>806</v>
      </c>
      <c r="J240" s="4" t="s">
        <v>807</v>
      </c>
      <c r="K240" s="4" t="s">
        <v>31</v>
      </c>
      <c r="L240" s="4" t="s">
        <v>32</v>
      </c>
      <c r="M240" s="4" t="s">
        <v>33</v>
      </c>
      <c r="N240" s="4" t="s">
        <v>117</v>
      </c>
      <c r="O240" s="4" t="s">
        <v>25</v>
      </c>
      <c r="P240" s="4" t="s">
        <v>36</v>
      </c>
      <c r="Q240" s="4" t="s">
        <v>79</v>
      </c>
      <c r="R240" s="4"/>
    </row>
    <row r="241" spans="1:18">
      <c r="A241">
        <v>240</v>
      </c>
      <c r="B241" s="3">
        <v>46185.4363773148</v>
      </c>
      <c r="C241" s="3">
        <v>46185.438009259298</v>
      </c>
      <c r="D241" s="4" t="s">
        <v>18</v>
      </c>
      <c r="E241" s="4"/>
      <c r="F241" s="1">
        <v>46185</v>
      </c>
      <c r="G241" s="4" t="s">
        <v>458</v>
      </c>
      <c r="H241" s="4"/>
      <c r="I241" s="5" t="s">
        <v>808</v>
      </c>
      <c r="J241" s="4" t="s">
        <v>809</v>
      </c>
      <c r="K241" s="4" t="s">
        <v>31</v>
      </c>
      <c r="L241" s="4" t="s">
        <v>44</v>
      </c>
      <c r="M241" s="4" t="s">
        <v>112</v>
      </c>
      <c r="N241" s="4" t="s">
        <v>61</v>
      </c>
      <c r="O241" s="4" t="s">
        <v>25</v>
      </c>
      <c r="P241" s="4" t="s">
        <v>36</v>
      </c>
      <c r="Q241" s="4" t="s">
        <v>27</v>
      </c>
      <c r="R241" s="4"/>
    </row>
    <row r="242" spans="1:18">
      <c r="A242">
        <v>241</v>
      </c>
      <c r="B242" s="3">
        <v>46185.408113425903</v>
      </c>
      <c r="C242" s="3">
        <v>46185.4529861111</v>
      </c>
      <c r="D242" s="4" t="s">
        <v>18</v>
      </c>
      <c r="E242" s="4"/>
      <c r="F242" s="1">
        <v>46185</v>
      </c>
      <c r="G242" s="4" t="s">
        <v>810</v>
      </c>
      <c r="H242" s="4"/>
      <c r="I242" s="5" t="s">
        <v>811</v>
      </c>
      <c r="J242" s="4" t="s">
        <v>812</v>
      </c>
      <c r="K242" s="4" t="s">
        <v>813</v>
      </c>
      <c r="L242" s="4" t="s">
        <v>23</v>
      </c>
      <c r="M242" s="4" t="s">
        <v>60</v>
      </c>
      <c r="N242" s="4" t="s">
        <v>33</v>
      </c>
      <c r="O242" s="4" t="s">
        <v>25</v>
      </c>
      <c r="P242" s="4" t="s">
        <v>814</v>
      </c>
      <c r="Q242" s="4" t="s">
        <v>27</v>
      </c>
      <c r="R242" s="4" t="s">
        <v>815</v>
      </c>
    </row>
    <row r="243" spans="1:18">
      <c r="A243">
        <v>242</v>
      </c>
      <c r="B243" s="3">
        <v>46185.647303240701</v>
      </c>
      <c r="C243" s="3">
        <v>46185.647499999999</v>
      </c>
      <c r="D243" s="4" t="s">
        <v>18</v>
      </c>
      <c r="E243" s="4"/>
      <c r="F243" s="1">
        <v>46185</v>
      </c>
      <c r="G243" s="4" t="s">
        <v>816</v>
      </c>
      <c r="H243" s="4"/>
      <c r="I243" s="5" t="s">
        <v>817</v>
      </c>
      <c r="J243" s="4" t="s">
        <v>818</v>
      </c>
      <c r="K243" s="4" t="s">
        <v>492</v>
      </c>
      <c r="L243" s="4" t="s">
        <v>148</v>
      </c>
      <c r="M243" s="4" t="s">
        <v>33</v>
      </c>
      <c r="N243" s="4" t="s">
        <v>819</v>
      </c>
      <c r="O243" s="4" t="s">
        <v>25</v>
      </c>
      <c r="P243" s="4" t="s">
        <v>36</v>
      </c>
      <c r="Q243" s="4" t="s">
        <v>79</v>
      </c>
      <c r="R243" s="4"/>
    </row>
    <row r="244" spans="1:18">
      <c r="A244">
        <v>243</v>
      </c>
      <c r="B244" s="3">
        <v>46185.647905092599</v>
      </c>
      <c r="C244" s="3">
        <v>46185.648923611101</v>
      </c>
      <c r="D244" s="4" t="s">
        <v>18</v>
      </c>
      <c r="E244" s="4"/>
      <c r="F244" s="1">
        <v>46185</v>
      </c>
      <c r="G244" s="4" t="s">
        <v>62</v>
      </c>
      <c r="H244" s="4"/>
      <c r="I244" s="5" t="s">
        <v>820</v>
      </c>
      <c r="J244" s="4" t="s">
        <v>821</v>
      </c>
      <c r="K244" s="4" t="s">
        <v>492</v>
      </c>
      <c r="L244" s="4" t="s">
        <v>148</v>
      </c>
      <c r="M244" s="4" t="s">
        <v>33</v>
      </c>
      <c r="N244" s="4" t="s">
        <v>819</v>
      </c>
      <c r="O244" s="4" t="s">
        <v>25</v>
      </c>
      <c r="P244" s="4" t="s">
        <v>92</v>
      </c>
      <c r="Q244" s="4" t="s">
        <v>79</v>
      </c>
      <c r="R244" s="4"/>
    </row>
    <row r="245" spans="1:18">
      <c r="A245">
        <v>244</v>
      </c>
      <c r="B245" s="3">
        <v>46185.662824074097</v>
      </c>
      <c r="C245" s="3">
        <v>46185.663807870398</v>
      </c>
      <c r="D245" s="4" t="s">
        <v>18</v>
      </c>
      <c r="E245" s="4"/>
      <c r="F245" s="1">
        <v>46185</v>
      </c>
      <c r="G245" s="4" t="s">
        <v>822</v>
      </c>
      <c r="H245" s="4"/>
      <c r="I245" s="5" t="s">
        <v>823</v>
      </c>
      <c r="J245" s="4" t="s">
        <v>824</v>
      </c>
      <c r="K245" s="4" t="s">
        <v>31</v>
      </c>
      <c r="L245" s="4" t="s">
        <v>44</v>
      </c>
      <c r="M245" s="4" t="s">
        <v>825</v>
      </c>
      <c r="N245" s="4" t="s">
        <v>61</v>
      </c>
      <c r="O245" s="4" t="s">
        <v>25</v>
      </c>
      <c r="P245" s="4" t="s">
        <v>347</v>
      </c>
      <c r="Q245" s="4" t="s">
        <v>27</v>
      </c>
      <c r="R245" s="4"/>
    </row>
    <row r="246" spans="1:18">
      <c r="A246">
        <v>245</v>
      </c>
      <c r="B246" s="3">
        <v>46185.663865740702</v>
      </c>
      <c r="C246" s="3">
        <v>46185.6656828704</v>
      </c>
      <c r="D246" s="4" t="s">
        <v>18</v>
      </c>
      <c r="E246" s="4"/>
      <c r="F246" s="1">
        <v>46185</v>
      </c>
      <c r="G246" s="4" t="s">
        <v>822</v>
      </c>
      <c r="H246" s="4"/>
      <c r="I246" s="5" t="s">
        <v>826</v>
      </c>
      <c r="J246" s="4" t="s">
        <v>827</v>
      </c>
      <c r="K246" s="4" t="s">
        <v>767</v>
      </c>
      <c r="L246" s="4" t="s">
        <v>44</v>
      </c>
      <c r="M246" s="4" t="s">
        <v>825</v>
      </c>
      <c r="N246" s="4" t="s">
        <v>61</v>
      </c>
      <c r="O246" s="4" t="s">
        <v>25</v>
      </c>
      <c r="P246" s="4" t="s">
        <v>69</v>
      </c>
      <c r="Q246" s="4" t="s">
        <v>27</v>
      </c>
      <c r="R246" s="4"/>
    </row>
    <row r="247" spans="1:18">
      <c r="A247">
        <v>246</v>
      </c>
      <c r="B247" s="3">
        <v>46185.716689814799</v>
      </c>
      <c r="C247" s="3">
        <v>46185.717812499999</v>
      </c>
      <c r="D247" s="4" t="s">
        <v>18</v>
      </c>
      <c r="E247" s="4"/>
      <c r="F247" s="1">
        <v>46185</v>
      </c>
      <c r="G247" s="4" t="s">
        <v>828</v>
      </c>
      <c r="H247" s="4"/>
      <c r="I247" s="5" t="s">
        <v>829</v>
      </c>
      <c r="J247" s="4" t="s">
        <v>830</v>
      </c>
      <c r="K247" s="4" t="s">
        <v>441</v>
      </c>
      <c r="L247" s="4" t="s">
        <v>148</v>
      </c>
      <c r="M247" s="4" t="s">
        <v>33</v>
      </c>
      <c r="N247" s="4" t="s">
        <v>819</v>
      </c>
      <c r="O247" s="4" t="s">
        <v>25</v>
      </c>
      <c r="P247" s="4" t="s">
        <v>69</v>
      </c>
      <c r="Q247" s="4" t="s">
        <v>27</v>
      </c>
      <c r="R247" s="4"/>
    </row>
    <row r="248" spans="1:18">
      <c r="A248">
        <v>247</v>
      </c>
      <c r="B248" s="3">
        <v>46185.726365740702</v>
      </c>
      <c r="C248" s="3">
        <v>46185.728310185201</v>
      </c>
      <c r="D248" s="4" t="s">
        <v>18</v>
      </c>
      <c r="E248" s="4"/>
      <c r="F248" s="1">
        <v>46185</v>
      </c>
      <c r="G248" s="4" t="s">
        <v>831</v>
      </c>
      <c r="H248" s="4"/>
      <c r="I248" s="5" t="s">
        <v>832</v>
      </c>
      <c r="J248" s="4" t="s">
        <v>833</v>
      </c>
      <c r="K248" s="4" t="s">
        <v>834</v>
      </c>
      <c r="L248" s="4" t="s">
        <v>91</v>
      </c>
      <c r="M248" s="4" t="s">
        <v>117</v>
      </c>
      <c r="N248" s="4" t="s">
        <v>33</v>
      </c>
      <c r="O248" s="4" t="s">
        <v>25</v>
      </c>
      <c r="P248" s="4" t="s">
        <v>835</v>
      </c>
      <c r="Q248" s="4" t="s">
        <v>79</v>
      </c>
      <c r="R248" s="4"/>
    </row>
    <row r="249" spans="1:18">
      <c r="A249">
        <v>248</v>
      </c>
      <c r="B249" s="3">
        <v>46185.728611111103</v>
      </c>
      <c r="C249" s="3">
        <v>46185.731111111098</v>
      </c>
      <c r="D249" s="4" t="s">
        <v>18</v>
      </c>
      <c r="E249" s="4"/>
      <c r="F249" s="1">
        <v>46186</v>
      </c>
      <c r="G249" s="4" t="s">
        <v>836</v>
      </c>
      <c r="H249" s="4"/>
      <c r="I249" s="5" t="s">
        <v>837</v>
      </c>
      <c r="J249" s="4" t="s">
        <v>838</v>
      </c>
      <c r="K249" s="4" t="s">
        <v>839</v>
      </c>
      <c r="L249" s="4" t="s">
        <v>91</v>
      </c>
      <c r="M249" s="4" t="s">
        <v>33</v>
      </c>
      <c r="N249" s="4" t="s">
        <v>819</v>
      </c>
      <c r="O249" s="4" t="s">
        <v>25</v>
      </c>
      <c r="P249" s="4" t="s">
        <v>50</v>
      </c>
      <c r="Q249" s="4" t="s">
        <v>79</v>
      </c>
      <c r="R249" s="4"/>
    </row>
    <row r="250" spans="1:18">
      <c r="A250">
        <v>249</v>
      </c>
      <c r="B250" s="3">
        <v>46185.731446759302</v>
      </c>
      <c r="C250" s="3">
        <v>46185.733981481499</v>
      </c>
      <c r="D250" s="4" t="s">
        <v>18</v>
      </c>
      <c r="E250" s="4"/>
      <c r="F250" s="1">
        <v>46185</v>
      </c>
      <c r="G250" s="4" t="s">
        <v>840</v>
      </c>
      <c r="H250" s="4"/>
      <c r="I250" s="5" t="s">
        <v>841</v>
      </c>
      <c r="J250" s="4" t="s">
        <v>842</v>
      </c>
      <c r="K250" s="4" t="s">
        <v>843</v>
      </c>
      <c r="L250" s="4" t="s">
        <v>91</v>
      </c>
      <c r="M250" s="4" t="s">
        <v>61</v>
      </c>
      <c r="N250" s="4" t="s">
        <v>226</v>
      </c>
      <c r="O250" s="4" t="s">
        <v>25</v>
      </c>
      <c r="P250" s="4" t="s">
        <v>36</v>
      </c>
      <c r="Q250" s="4" t="s">
        <v>79</v>
      </c>
      <c r="R250" s="4"/>
    </row>
    <row r="251" spans="1:18">
      <c r="A251">
        <v>250</v>
      </c>
      <c r="B251" s="3">
        <v>46185.885023148097</v>
      </c>
      <c r="C251" s="3">
        <v>46185.886226851901</v>
      </c>
      <c r="D251" s="4" t="s">
        <v>18</v>
      </c>
      <c r="E251" s="4"/>
      <c r="F251" s="1">
        <v>46185</v>
      </c>
      <c r="G251" s="4" t="s">
        <v>733</v>
      </c>
      <c r="H251" s="4"/>
      <c r="I251" s="5" t="s">
        <v>844</v>
      </c>
      <c r="J251" s="4" t="s">
        <v>845</v>
      </c>
      <c r="K251" s="4" t="s">
        <v>31</v>
      </c>
      <c r="L251" s="4" t="s">
        <v>32</v>
      </c>
      <c r="M251" s="4" t="s">
        <v>60</v>
      </c>
      <c r="N251" s="4" t="s">
        <v>34</v>
      </c>
      <c r="O251" s="4" t="s">
        <v>25</v>
      </c>
      <c r="P251" s="4" t="s">
        <v>36</v>
      </c>
      <c r="Q251" s="4" t="s">
        <v>27</v>
      </c>
      <c r="R251" s="4"/>
    </row>
    <row r="252" spans="1:18">
      <c r="A252">
        <v>251</v>
      </c>
      <c r="B252" s="3">
        <v>46185.939756944397</v>
      </c>
      <c r="C252" s="3">
        <v>46185.941759259302</v>
      </c>
      <c r="D252" s="4" t="s">
        <v>18</v>
      </c>
      <c r="E252" s="4"/>
      <c r="F252" s="1">
        <v>46185</v>
      </c>
      <c r="G252" s="4" t="s">
        <v>846</v>
      </c>
      <c r="H252" s="4"/>
      <c r="I252" s="5" t="s">
        <v>847</v>
      </c>
      <c r="J252" s="4" t="s">
        <v>848</v>
      </c>
      <c r="K252" s="4" t="s">
        <v>356</v>
      </c>
      <c r="L252" s="4" t="s">
        <v>98</v>
      </c>
      <c r="M252" s="4" t="s">
        <v>34</v>
      </c>
      <c r="N252" s="4" t="s">
        <v>61</v>
      </c>
      <c r="O252" s="4" t="s">
        <v>25</v>
      </c>
      <c r="P252" s="4" t="s">
        <v>36</v>
      </c>
      <c r="Q252" s="4" t="s">
        <v>93</v>
      </c>
      <c r="R252" s="4"/>
    </row>
    <row r="253" spans="1:18">
      <c r="A253">
        <v>252</v>
      </c>
      <c r="B253" s="3">
        <v>46185.941793981503</v>
      </c>
      <c r="C253" s="3">
        <v>46185.945937500001</v>
      </c>
      <c r="D253" s="4" t="s">
        <v>18</v>
      </c>
      <c r="E253" s="4"/>
      <c r="F253" s="1">
        <v>46185</v>
      </c>
      <c r="G253" s="4" t="s">
        <v>849</v>
      </c>
      <c r="H253" s="4"/>
      <c r="I253" s="5" t="s">
        <v>850</v>
      </c>
      <c r="J253" s="4" t="s">
        <v>851</v>
      </c>
      <c r="K253" s="4" t="s">
        <v>212</v>
      </c>
      <c r="L253" s="4" t="s">
        <v>98</v>
      </c>
      <c r="M253" s="4" t="s">
        <v>33</v>
      </c>
      <c r="N253" s="4" t="s">
        <v>61</v>
      </c>
      <c r="O253" s="4" t="s">
        <v>25</v>
      </c>
      <c r="P253" s="4" t="s">
        <v>36</v>
      </c>
      <c r="Q253" s="4" t="s">
        <v>93</v>
      </c>
      <c r="R253" s="4"/>
    </row>
    <row r="254" spans="1:18">
      <c r="A254">
        <v>253</v>
      </c>
      <c r="B254" s="3">
        <v>46186.322164351797</v>
      </c>
      <c r="C254" s="3">
        <v>46186.3253356481</v>
      </c>
      <c r="D254" s="4" t="s">
        <v>18</v>
      </c>
      <c r="E254" s="4"/>
      <c r="F254" s="1">
        <v>46186</v>
      </c>
      <c r="G254" s="4" t="s">
        <v>852</v>
      </c>
      <c r="H254" s="4"/>
      <c r="I254" s="5" t="s">
        <v>853</v>
      </c>
      <c r="J254" s="4" t="s">
        <v>854</v>
      </c>
      <c r="K254" s="4" t="s">
        <v>855</v>
      </c>
      <c r="L254" s="4" t="s">
        <v>23</v>
      </c>
      <c r="M254" s="4" t="s">
        <v>33</v>
      </c>
      <c r="N254" s="4" t="s">
        <v>819</v>
      </c>
      <c r="O254" s="4" t="s">
        <v>25</v>
      </c>
      <c r="P254" s="4" t="s">
        <v>92</v>
      </c>
      <c r="Q254" s="4" t="s">
        <v>79</v>
      </c>
      <c r="R254" s="4" t="s">
        <v>856</v>
      </c>
    </row>
    <row r="255" spans="1:18">
      <c r="A255">
        <v>254</v>
      </c>
      <c r="B255" s="3">
        <v>46186.397430555597</v>
      </c>
      <c r="C255" s="3">
        <v>46186.398263888899</v>
      </c>
      <c r="D255" s="4" t="s">
        <v>18</v>
      </c>
      <c r="E255" s="4"/>
      <c r="F255" s="1">
        <v>46186</v>
      </c>
      <c r="G255" s="4" t="s">
        <v>134</v>
      </c>
      <c r="H255" s="4"/>
      <c r="I255" s="5" t="s">
        <v>857</v>
      </c>
      <c r="J255" s="4" t="s">
        <v>858</v>
      </c>
      <c r="K255" s="4" t="s">
        <v>250</v>
      </c>
      <c r="L255" s="4" t="s">
        <v>148</v>
      </c>
      <c r="M255" s="4" t="s">
        <v>33</v>
      </c>
      <c r="N255" s="4" t="s">
        <v>819</v>
      </c>
      <c r="O255" s="4" t="s">
        <v>25</v>
      </c>
      <c r="P255" s="4" t="s">
        <v>50</v>
      </c>
      <c r="Q255" s="4" t="s">
        <v>79</v>
      </c>
      <c r="R255" s="4"/>
    </row>
    <row r="256" spans="1:18">
      <c r="A256">
        <v>255</v>
      </c>
      <c r="B256" s="3">
        <v>46186.398287037002</v>
      </c>
      <c r="C256" s="3">
        <v>46186.3996527778</v>
      </c>
      <c r="D256" s="4" t="s">
        <v>18</v>
      </c>
      <c r="E256" s="4"/>
      <c r="F256" s="1">
        <v>46186</v>
      </c>
      <c r="G256" s="4" t="s">
        <v>859</v>
      </c>
      <c r="H256" s="4"/>
      <c r="I256" s="5" t="s">
        <v>860</v>
      </c>
      <c r="J256" s="4" t="s">
        <v>861</v>
      </c>
      <c r="K256" s="4" t="s">
        <v>862</v>
      </c>
      <c r="L256" s="4" t="s">
        <v>148</v>
      </c>
      <c r="M256" s="4" t="s">
        <v>819</v>
      </c>
      <c r="N256" s="4" t="s">
        <v>33</v>
      </c>
      <c r="O256" s="4" t="s">
        <v>35</v>
      </c>
      <c r="P256" s="4" t="s">
        <v>36</v>
      </c>
      <c r="Q256" s="4" t="s">
        <v>79</v>
      </c>
      <c r="R256" s="4"/>
    </row>
    <row r="257" spans="1:18">
      <c r="A257">
        <v>256</v>
      </c>
      <c r="B257" s="3">
        <v>46186.399930555599</v>
      </c>
      <c r="C257" s="3">
        <v>46186.401932870402</v>
      </c>
      <c r="D257" s="4" t="s">
        <v>18</v>
      </c>
      <c r="E257" s="4"/>
      <c r="F257" s="1">
        <v>46186</v>
      </c>
      <c r="G257" s="4" t="s">
        <v>863</v>
      </c>
      <c r="H257" s="4"/>
      <c r="I257" s="5" t="s">
        <v>864</v>
      </c>
      <c r="J257" s="4" t="s">
        <v>865</v>
      </c>
      <c r="K257" s="4" t="s">
        <v>346</v>
      </c>
      <c r="L257" s="4" t="s">
        <v>98</v>
      </c>
      <c r="M257" s="4" t="s">
        <v>60</v>
      </c>
      <c r="N257" s="4" t="s">
        <v>61</v>
      </c>
      <c r="O257" s="4" t="s">
        <v>35</v>
      </c>
      <c r="P257" s="4" t="s">
        <v>213</v>
      </c>
      <c r="Q257" s="4" t="s">
        <v>79</v>
      </c>
      <c r="R257" s="4" t="s">
        <v>866</v>
      </c>
    </row>
    <row r="258" spans="1:18">
      <c r="A258">
        <v>257</v>
      </c>
      <c r="B258" s="3">
        <v>46186.401550925897</v>
      </c>
      <c r="C258" s="3">
        <v>46186.404479166697</v>
      </c>
      <c r="D258" s="4" t="s">
        <v>18</v>
      </c>
      <c r="E258" s="4"/>
      <c r="F258" s="1">
        <v>46186</v>
      </c>
      <c r="G258" s="4" t="s">
        <v>752</v>
      </c>
      <c r="H258" s="4"/>
      <c r="I258" s="5" t="s">
        <v>867</v>
      </c>
      <c r="J258" s="4" t="s">
        <v>868</v>
      </c>
      <c r="K258" s="4" t="s">
        <v>869</v>
      </c>
      <c r="L258" s="4" t="s">
        <v>32</v>
      </c>
      <c r="M258" s="4" t="s">
        <v>61</v>
      </c>
      <c r="N258" s="4" t="s">
        <v>117</v>
      </c>
      <c r="O258" s="4" t="s">
        <v>35</v>
      </c>
      <c r="P258" s="4" t="s">
        <v>69</v>
      </c>
      <c r="Q258" s="4" t="s">
        <v>93</v>
      </c>
      <c r="R258" s="4"/>
    </row>
    <row r="259" spans="1:18">
      <c r="A259">
        <v>258</v>
      </c>
      <c r="B259" s="3">
        <v>46186.402245370402</v>
      </c>
      <c r="C259" s="3">
        <v>46186.404884259297</v>
      </c>
      <c r="D259" s="4" t="s">
        <v>18</v>
      </c>
      <c r="E259" s="4"/>
      <c r="F259" s="1">
        <v>46186</v>
      </c>
      <c r="G259" s="4" t="s">
        <v>714</v>
      </c>
      <c r="H259" s="4"/>
      <c r="I259" s="5" t="s">
        <v>870</v>
      </c>
      <c r="J259" s="4" t="s">
        <v>871</v>
      </c>
      <c r="K259" s="4" t="s">
        <v>346</v>
      </c>
      <c r="L259" s="4" t="s">
        <v>98</v>
      </c>
      <c r="M259" s="4" t="s">
        <v>117</v>
      </c>
      <c r="N259" s="4" t="s">
        <v>61</v>
      </c>
      <c r="O259" s="4" t="s">
        <v>35</v>
      </c>
      <c r="P259" s="4" t="s">
        <v>36</v>
      </c>
      <c r="Q259" s="4" t="s">
        <v>79</v>
      </c>
      <c r="R259" s="4" t="s">
        <v>872</v>
      </c>
    </row>
    <row r="260" spans="1:18">
      <c r="A260">
        <v>259</v>
      </c>
      <c r="B260" s="3">
        <v>46186.405196759297</v>
      </c>
      <c r="C260" s="3">
        <v>46186.409375000003</v>
      </c>
      <c r="D260" s="4" t="s">
        <v>18</v>
      </c>
      <c r="E260" s="4"/>
      <c r="F260" s="1">
        <v>46186</v>
      </c>
      <c r="G260" s="4" t="s">
        <v>873</v>
      </c>
      <c r="H260" s="4"/>
      <c r="I260" s="5" t="s">
        <v>874</v>
      </c>
      <c r="J260" s="4" t="s">
        <v>875</v>
      </c>
      <c r="K260" s="4" t="s">
        <v>876</v>
      </c>
      <c r="L260" s="4" t="s">
        <v>23</v>
      </c>
      <c r="M260" s="4" t="s">
        <v>24</v>
      </c>
      <c r="N260" s="4" t="s">
        <v>117</v>
      </c>
      <c r="O260" s="4" t="s">
        <v>25</v>
      </c>
      <c r="P260" s="4" t="s">
        <v>50</v>
      </c>
      <c r="Q260" s="4" t="s">
        <v>27</v>
      </c>
      <c r="R260" s="4" t="s">
        <v>877</v>
      </c>
    </row>
    <row r="261" spans="1:18">
      <c r="A261">
        <v>260</v>
      </c>
      <c r="B261" s="3">
        <v>46186.4164467593</v>
      </c>
      <c r="C261" s="3">
        <v>46186.417407407404</v>
      </c>
      <c r="D261" s="4" t="s">
        <v>18</v>
      </c>
      <c r="E261" s="4"/>
      <c r="F261" s="1">
        <v>46186</v>
      </c>
      <c r="G261" s="4" t="s">
        <v>878</v>
      </c>
      <c r="H261" s="4"/>
      <c r="I261" s="5" t="s">
        <v>879</v>
      </c>
      <c r="J261" s="4" t="s">
        <v>880</v>
      </c>
      <c r="K261" s="4" t="s">
        <v>31</v>
      </c>
      <c r="L261" s="4" t="s">
        <v>32</v>
      </c>
      <c r="M261" s="4" t="s">
        <v>60</v>
      </c>
      <c r="N261" s="4" t="s">
        <v>61</v>
      </c>
      <c r="O261" s="4" t="s">
        <v>35</v>
      </c>
      <c r="P261" s="4" t="s">
        <v>69</v>
      </c>
      <c r="Q261" s="4" t="s">
        <v>27</v>
      </c>
      <c r="R261" s="4"/>
    </row>
    <row r="262" spans="1:18">
      <c r="A262">
        <v>261</v>
      </c>
      <c r="B262" s="3">
        <v>46186.490289351903</v>
      </c>
      <c r="C262" s="3">
        <v>46186.4911111111</v>
      </c>
      <c r="D262" s="4" t="s">
        <v>18</v>
      </c>
      <c r="E262" s="4"/>
      <c r="F262" s="1">
        <v>46186</v>
      </c>
      <c r="G262" s="4" t="s">
        <v>458</v>
      </c>
      <c r="H262" s="4"/>
      <c r="I262" s="5" t="s">
        <v>881</v>
      </c>
      <c r="J262" s="4" t="s">
        <v>882</v>
      </c>
      <c r="K262" s="4" t="s">
        <v>883</v>
      </c>
      <c r="L262" s="4" t="s">
        <v>44</v>
      </c>
      <c r="M262" s="4" t="s">
        <v>60</v>
      </c>
      <c r="N262" s="4" t="s">
        <v>61</v>
      </c>
      <c r="O262" s="4" t="s">
        <v>25</v>
      </c>
      <c r="P262" s="4" t="s">
        <v>69</v>
      </c>
      <c r="Q262" s="4" t="s">
        <v>27</v>
      </c>
      <c r="R262" s="4"/>
    </row>
    <row r="263" spans="1:18">
      <c r="A263">
        <v>262</v>
      </c>
      <c r="B263" s="3">
        <v>46186.491145833301</v>
      </c>
      <c r="C263" s="3">
        <v>46186.492569444403</v>
      </c>
      <c r="D263" s="4" t="s">
        <v>18</v>
      </c>
      <c r="E263" s="4"/>
      <c r="F263" s="1">
        <v>46186</v>
      </c>
      <c r="G263" s="4" t="s">
        <v>458</v>
      </c>
      <c r="H263" s="4"/>
      <c r="I263" s="5" t="s">
        <v>884</v>
      </c>
      <c r="J263" s="4" t="s">
        <v>885</v>
      </c>
      <c r="K263" s="4" t="s">
        <v>31</v>
      </c>
      <c r="L263" s="4" t="s">
        <v>44</v>
      </c>
      <c r="M263" s="4" t="s">
        <v>60</v>
      </c>
      <c r="N263" s="4" t="s">
        <v>61</v>
      </c>
      <c r="O263" s="4" t="s">
        <v>25</v>
      </c>
      <c r="P263" s="4" t="s">
        <v>36</v>
      </c>
      <c r="Q263" s="4" t="s">
        <v>27</v>
      </c>
      <c r="R263" s="4"/>
    </row>
    <row r="264" spans="1:18">
      <c r="A264">
        <v>263</v>
      </c>
      <c r="B264" s="3">
        <v>46186.492604166699</v>
      </c>
      <c r="C264" s="3">
        <v>46186.4933564815</v>
      </c>
      <c r="D264" s="4" t="s">
        <v>18</v>
      </c>
      <c r="E264" s="4"/>
      <c r="F264" s="1">
        <v>46186</v>
      </c>
      <c r="G264" s="4" t="s">
        <v>458</v>
      </c>
      <c r="H264" s="4"/>
      <c r="I264" s="5" t="s">
        <v>886</v>
      </c>
      <c r="J264" s="4" t="s">
        <v>887</v>
      </c>
      <c r="K264" s="4" t="s">
        <v>883</v>
      </c>
      <c r="L264" s="4" t="s">
        <v>44</v>
      </c>
      <c r="M264" s="4" t="s">
        <v>60</v>
      </c>
      <c r="N264" s="4" t="s">
        <v>61</v>
      </c>
      <c r="O264" s="4" t="s">
        <v>35</v>
      </c>
      <c r="P264" s="4" t="s">
        <v>347</v>
      </c>
      <c r="Q264" s="4" t="s">
        <v>27</v>
      </c>
      <c r="R264" s="4"/>
    </row>
    <row r="265" spans="1:18">
      <c r="A265">
        <v>264</v>
      </c>
      <c r="B265" s="3">
        <v>46186.680636574099</v>
      </c>
      <c r="C265" s="3">
        <v>46186.683483796303</v>
      </c>
      <c r="D265" s="4" t="s">
        <v>18</v>
      </c>
      <c r="E265" s="4"/>
      <c r="F265" s="1">
        <v>46186</v>
      </c>
      <c r="G265" s="4" t="s">
        <v>888</v>
      </c>
      <c r="H265" s="4"/>
      <c r="I265" s="5" t="s">
        <v>889</v>
      </c>
      <c r="J265" s="4" t="s">
        <v>890</v>
      </c>
      <c r="K265" s="4" t="s">
        <v>492</v>
      </c>
      <c r="L265" s="4" t="s">
        <v>148</v>
      </c>
      <c r="M265" s="4" t="s">
        <v>819</v>
      </c>
      <c r="N265" s="4" t="s">
        <v>33</v>
      </c>
      <c r="O265" s="4" t="s">
        <v>35</v>
      </c>
      <c r="P265" s="4" t="s">
        <v>36</v>
      </c>
      <c r="Q265" s="4" t="s">
        <v>27</v>
      </c>
      <c r="R265" s="4"/>
    </row>
    <row r="266" spans="1:18">
      <c r="A266">
        <v>265</v>
      </c>
      <c r="B266" s="3">
        <v>46186.683576388903</v>
      </c>
      <c r="C266" s="3">
        <v>46186.685173611098</v>
      </c>
      <c r="D266" s="4" t="s">
        <v>18</v>
      </c>
      <c r="E266" s="4"/>
      <c r="F266" s="1">
        <v>46186</v>
      </c>
      <c r="G266" s="4" t="s">
        <v>458</v>
      </c>
      <c r="H266" s="4"/>
      <c r="I266" s="5" t="s">
        <v>891</v>
      </c>
      <c r="J266" s="4" t="s">
        <v>892</v>
      </c>
      <c r="K266" s="4" t="s">
        <v>665</v>
      </c>
      <c r="L266" s="4" t="s">
        <v>148</v>
      </c>
      <c r="M266" s="4" t="s">
        <v>112</v>
      </c>
      <c r="N266" s="4" t="s">
        <v>819</v>
      </c>
      <c r="O266" s="4" t="s">
        <v>35</v>
      </c>
      <c r="P266" s="4" t="s">
        <v>92</v>
      </c>
      <c r="Q266" s="4" t="s">
        <v>27</v>
      </c>
      <c r="R266" s="4"/>
    </row>
    <row r="267" spans="1:18">
      <c r="A267">
        <v>266</v>
      </c>
      <c r="B267" s="3">
        <v>46186.685335648101</v>
      </c>
      <c r="C267" s="3">
        <v>46186.687708333302</v>
      </c>
      <c r="D267" s="4" t="s">
        <v>18</v>
      </c>
      <c r="E267" s="4"/>
      <c r="F267" s="1">
        <v>46186</v>
      </c>
      <c r="G267" s="4" t="s">
        <v>893</v>
      </c>
      <c r="H267" s="4"/>
      <c r="I267" s="5" t="s">
        <v>894</v>
      </c>
      <c r="J267" s="4" t="s">
        <v>895</v>
      </c>
      <c r="K267" s="4" t="s">
        <v>665</v>
      </c>
      <c r="L267" s="4" t="s">
        <v>148</v>
      </c>
      <c r="M267" s="4" t="s">
        <v>60</v>
      </c>
      <c r="N267" s="4" t="s">
        <v>896</v>
      </c>
      <c r="O267" s="4" t="s">
        <v>35</v>
      </c>
      <c r="P267" s="4" t="s">
        <v>50</v>
      </c>
      <c r="Q267" s="4" t="s">
        <v>93</v>
      </c>
      <c r="R267" s="4"/>
    </row>
    <row r="268" spans="1:18">
      <c r="A268">
        <v>267</v>
      </c>
      <c r="B268" s="3">
        <v>46186.836782407401</v>
      </c>
      <c r="C268" s="3">
        <v>46186.838437500002</v>
      </c>
      <c r="D268" s="4" t="s">
        <v>18</v>
      </c>
      <c r="E268" s="4"/>
      <c r="F268" s="1">
        <v>46186</v>
      </c>
      <c r="G268" s="4" t="s">
        <v>235</v>
      </c>
      <c r="H268" s="4"/>
      <c r="I268" s="5" t="s">
        <v>897</v>
      </c>
      <c r="J268" s="4" t="s">
        <v>898</v>
      </c>
      <c r="K268" s="4" t="s">
        <v>899</v>
      </c>
      <c r="L268" s="4" t="s">
        <v>91</v>
      </c>
      <c r="M268" s="4" t="s">
        <v>117</v>
      </c>
      <c r="N268" s="4" t="s">
        <v>896</v>
      </c>
      <c r="O268" s="4" t="s">
        <v>25</v>
      </c>
      <c r="P268" s="4" t="s">
        <v>92</v>
      </c>
      <c r="Q268" s="4" t="s">
        <v>79</v>
      </c>
      <c r="R268" s="4"/>
    </row>
    <row r="269" spans="1:18">
      <c r="A269">
        <v>268</v>
      </c>
      <c r="B269" s="3">
        <v>46186.8422685185</v>
      </c>
      <c r="C269" s="3">
        <v>46186.844097222202</v>
      </c>
      <c r="D269" s="4" t="s">
        <v>18</v>
      </c>
      <c r="E269" s="4"/>
      <c r="F269" s="1">
        <v>46186</v>
      </c>
      <c r="G269" s="4" t="s">
        <v>900</v>
      </c>
      <c r="H269" s="4"/>
      <c r="I269" s="5" t="s">
        <v>901</v>
      </c>
      <c r="J269" s="4" t="s">
        <v>902</v>
      </c>
      <c r="K269" s="4" t="s">
        <v>903</v>
      </c>
      <c r="L269" s="4" t="s">
        <v>91</v>
      </c>
      <c r="M269" s="4" t="s">
        <v>33</v>
      </c>
      <c r="N269" s="4" t="s">
        <v>61</v>
      </c>
      <c r="O269" s="4" t="s">
        <v>25</v>
      </c>
      <c r="P269" s="4" t="s">
        <v>36</v>
      </c>
      <c r="Q269" s="4" t="s">
        <v>79</v>
      </c>
      <c r="R269" s="4"/>
    </row>
    <row r="270" spans="1:18">
      <c r="A270">
        <v>269</v>
      </c>
      <c r="B270" s="3">
        <v>46186.845034722202</v>
      </c>
      <c r="C270" s="3">
        <v>46186.847303240698</v>
      </c>
      <c r="D270" s="4" t="s">
        <v>18</v>
      </c>
      <c r="E270" s="4"/>
      <c r="F270" s="1">
        <v>46186</v>
      </c>
      <c r="G270" s="4" t="s">
        <v>904</v>
      </c>
      <c r="H270" s="4"/>
      <c r="I270" s="5" t="s">
        <v>905</v>
      </c>
      <c r="J270" s="4" t="s">
        <v>906</v>
      </c>
      <c r="K270" s="4" t="s">
        <v>907</v>
      </c>
      <c r="L270" s="4" t="s">
        <v>91</v>
      </c>
      <c r="M270" s="4" t="s">
        <v>33</v>
      </c>
      <c r="N270" s="4" t="s">
        <v>819</v>
      </c>
      <c r="O270" s="4" t="s">
        <v>25</v>
      </c>
      <c r="P270" s="4" t="s">
        <v>36</v>
      </c>
      <c r="Q270" s="4" t="s">
        <v>79</v>
      </c>
      <c r="R270" s="4"/>
    </row>
    <row r="271" spans="1:18">
      <c r="A271">
        <v>270</v>
      </c>
      <c r="B271" s="3">
        <v>46186.8515162037</v>
      </c>
      <c r="C271" s="3">
        <v>46186.852384259299</v>
      </c>
      <c r="D271" s="4" t="s">
        <v>18</v>
      </c>
      <c r="E271" s="4"/>
      <c r="F271" s="1">
        <v>46186</v>
      </c>
      <c r="G271" s="4" t="s">
        <v>908</v>
      </c>
      <c r="H271" s="4"/>
      <c r="I271" s="5" t="s">
        <v>909</v>
      </c>
      <c r="J271" s="4" t="s">
        <v>910</v>
      </c>
      <c r="K271" s="4" t="s">
        <v>911</v>
      </c>
      <c r="L271" s="4" t="s">
        <v>91</v>
      </c>
      <c r="M271" s="4" t="s">
        <v>117</v>
      </c>
      <c r="N271" s="4" t="s">
        <v>33</v>
      </c>
      <c r="O271" s="4" t="s">
        <v>25</v>
      </c>
      <c r="P271" s="4" t="s">
        <v>69</v>
      </c>
      <c r="Q271" s="4" t="s">
        <v>27</v>
      </c>
      <c r="R271" s="4"/>
    </row>
    <row r="272" spans="1:18">
      <c r="A272">
        <v>271</v>
      </c>
      <c r="B272" s="3">
        <v>46186.860844907402</v>
      </c>
      <c r="C272" s="3">
        <v>46186.862789351901</v>
      </c>
      <c r="D272" s="4" t="s">
        <v>18</v>
      </c>
      <c r="E272" s="4"/>
      <c r="F272" s="1">
        <v>46186</v>
      </c>
      <c r="G272" s="4" t="s">
        <v>912</v>
      </c>
      <c r="H272" s="4"/>
      <c r="I272" s="5" t="s">
        <v>913</v>
      </c>
      <c r="J272" s="4" t="s">
        <v>914</v>
      </c>
      <c r="K272" s="4" t="s">
        <v>356</v>
      </c>
      <c r="L272" s="4" t="s">
        <v>98</v>
      </c>
      <c r="M272" s="4" t="s">
        <v>45</v>
      </c>
      <c r="N272" s="4" t="s">
        <v>61</v>
      </c>
      <c r="O272" s="4" t="s">
        <v>25</v>
      </c>
      <c r="P272" s="4" t="s">
        <v>36</v>
      </c>
      <c r="Q272" s="4" t="s">
        <v>93</v>
      </c>
      <c r="R272" s="4"/>
    </row>
    <row r="273" spans="1:18">
      <c r="A273">
        <v>272</v>
      </c>
      <c r="B273" s="3">
        <v>46186.906180555598</v>
      </c>
      <c r="C273" s="3">
        <v>46186.908287036997</v>
      </c>
      <c r="D273" s="4" t="s">
        <v>18</v>
      </c>
      <c r="E273" s="4"/>
      <c r="F273" s="1">
        <v>46186</v>
      </c>
      <c r="G273" s="4" t="s">
        <v>733</v>
      </c>
      <c r="H273" s="4"/>
      <c r="I273" s="5" t="s">
        <v>915</v>
      </c>
      <c r="J273" s="4" t="s">
        <v>916</v>
      </c>
      <c r="K273" s="4" t="s">
        <v>31</v>
      </c>
      <c r="L273" s="4" t="s">
        <v>32</v>
      </c>
      <c r="M273" s="4" t="s">
        <v>24</v>
      </c>
      <c r="N273" s="4" t="s">
        <v>61</v>
      </c>
      <c r="O273" s="4" t="s">
        <v>25</v>
      </c>
      <c r="P273" s="4" t="s">
        <v>92</v>
      </c>
      <c r="Q273" s="4" t="s">
        <v>93</v>
      </c>
      <c r="R273" s="4"/>
    </row>
    <row r="274" spans="1:18">
      <c r="A274">
        <v>273</v>
      </c>
      <c r="B274" s="3">
        <v>46186.908958333297</v>
      </c>
      <c r="C274" s="3">
        <v>46186.909965277802</v>
      </c>
      <c r="D274" s="4" t="s">
        <v>18</v>
      </c>
      <c r="E274" s="4"/>
      <c r="F274" s="1">
        <v>46186</v>
      </c>
      <c r="G274" s="4" t="s">
        <v>733</v>
      </c>
      <c r="H274" s="4"/>
      <c r="I274" s="5" t="s">
        <v>917</v>
      </c>
      <c r="J274" s="4" t="s">
        <v>918</v>
      </c>
      <c r="K274" s="4" t="s">
        <v>31</v>
      </c>
      <c r="L274" s="4" t="s">
        <v>32</v>
      </c>
      <c r="M274" s="4" t="s">
        <v>24</v>
      </c>
      <c r="N274" s="4" t="s">
        <v>61</v>
      </c>
      <c r="O274" s="4" t="s">
        <v>25</v>
      </c>
      <c r="P274" s="4" t="s">
        <v>50</v>
      </c>
      <c r="Q274" s="4" t="s">
        <v>27</v>
      </c>
      <c r="R274" s="4"/>
    </row>
    <row r="275" spans="1:18">
      <c r="A275">
        <v>274</v>
      </c>
      <c r="B275" s="3">
        <v>46187.374803240702</v>
      </c>
      <c r="C275" s="3">
        <v>46187.376111111102</v>
      </c>
      <c r="D275" s="4" t="s">
        <v>18</v>
      </c>
      <c r="E275" s="4"/>
      <c r="F275" s="1">
        <v>46187</v>
      </c>
      <c r="G275" s="4" t="s">
        <v>919</v>
      </c>
      <c r="H275" s="4"/>
      <c r="I275" s="5" t="s">
        <v>920</v>
      </c>
      <c r="J275" s="4" t="s">
        <v>921</v>
      </c>
      <c r="K275" s="4" t="s">
        <v>761</v>
      </c>
      <c r="L275" s="4" t="s">
        <v>148</v>
      </c>
      <c r="M275" s="4" t="s">
        <v>112</v>
      </c>
      <c r="N275" s="4" t="s">
        <v>896</v>
      </c>
      <c r="O275" s="4" t="s">
        <v>25</v>
      </c>
      <c r="P275" s="4" t="s">
        <v>92</v>
      </c>
      <c r="Q275" s="4" t="s">
        <v>79</v>
      </c>
      <c r="R275" s="4"/>
    </row>
    <row r="276" spans="1:18">
      <c r="A276">
        <v>275</v>
      </c>
      <c r="B276" s="3">
        <v>46187.376134259299</v>
      </c>
      <c r="C276" s="3">
        <v>46187.377280092602</v>
      </c>
      <c r="D276" s="4" t="s">
        <v>18</v>
      </c>
      <c r="E276" s="4"/>
      <c r="F276" s="1">
        <v>46187</v>
      </c>
      <c r="G276" s="4" t="s">
        <v>666</v>
      </c>
      <c r="H276" s="4"/>
      <c r="I276" s="5" t="s">
        <v>922</v>
      </c>
      <c r="J276" s="4" t="s">
        <v>923</v>
      </c>
      <c r="K276" s="4" t="s">
        <v>924</v>
      </c>
      <c r="L276" s="4" t="s">
        <v>148</v>
      </c>
      <c r="M276" s="4" t="s">
        <v>112</v>
      </c>
      <c r="N276" s="4" t="s">
        <v>896</v>
      </c>
      <c r="O276" s="4" t="s">
        <v>35</v>
      </c>
      <c r="P276" s="4" t="s">
        <v>36</v>
      </c>
      <c r="Q276" s="4" t="s">
        <v>79</v>
      </c>
      <c r="R276" s="4"/>
    </row>
    <row r="277" spans="1:18">
      <c r="A277">
        <v>276</v>
      </c>
      <c r="B277" s="3">
        <v>46187.488032407397</v>
      </c>
      <c r="C277" s="3">
        <v>46187.489189814798</v>
      </c>
      <c r="D277" s="4" t="s">
        <v>18</v>
      </c>
      <c r="E277" s="4"/>
      <c r="F277" s="1">
        <v>46187</v>
      </c>
      <c r="G277" s="4" t="s">
        <v>62</v>
      </c>
      <c r="H277" s="4"/>
      <c r="I277" s="5" t="s">
        <v>925</v>
      </c>
      <c r="J277" s="4" t="s">
        <v>926</v>
      </c>
      <c r="K277" s="4" t="s">
        <v>727</v>
      </c>
      <c r="L277" s="4" t="s">
        <v>148</v>
      </c>
      <c r="M277" s="4" t="s">
        <v>24</v>
      </c>
      <c r="N277" s="4" t="s">
        <v>60</v>
      </c>
      <c r="O277" s="4" t="s">
        <v>25</v>
      </c>
      <c r="P277" s="4" t="s">
        <v>36</v>
      </c>
      <c r="Q277" s="4" t="s">
        <v>79</v>
      </c>
      <c r="R277" s="4"/>
    </row>
    <row r="278" spans="1:18">
      <c r="A278">
        <v>277</v>
      </c>
      <c r="B278" s="3">
        <v>46187.640069444402</v>
      </c>
      <c r="C278" s="3">
        <v>46187.640798611101</v>
      </c>
      <c r="D278" s="4" t="s">
        <v>18</v>
      </c>
      <c r="E278" s="4"/>
      <c r="F278" s="1">
        <v>46187</v>
      </c>
      <c r="G278" s="4" t="s">
        <v>442</v>
      </c>
      <c r="H278" s="4"/>
      <c r="I278" s="5" t="s">
        <v>927</v>
      </c>
      <c r="J278" s="4" t="s">
        <v>928</v>
      </c>
      <c r="K278" s="4" t="s">
        <v>90</v>
      </c>
      <c r="L278" s="4" t="s">
        <v>91</v>
      </c>
      <c r="M278" s="4" t="s">
        <v>60</v>
      </c>
      <c r="N278" s="4" t="s">
        <v>896</v>
      </c>
      <c r="O278" s="4" t="s">
        <v>25</v>
      </c>
      <c r="P278" s="4" t="s">
        <v>36</v>
      </c>
      <c r="Q278" s="4" t="s">
        <v>27</v>
      </c>
      <c r="R278" s="4"/>
    </row>
    <row r="279" spans="1:18">
      <c r="A279">
        <v>278</v>
      </c>
      <c r="B279" s="3">
        <v>46187.642002314802</v>
      </c>
      <c r="C279" s="3">
        <v>46187.642719907402</v>
      </c>
      <c r="D279" s="4" t="s">
        <v>18</v>
      </c>
      <c r="E279" s="4"/>
      <c r="F279" s="1">
        <v>46187</v>
      </c>
      <c r="G279" s="4" t="s">
        <v>386</v>
      </c>
      <c r="H279" s="4"/>
      <c r="I279" s="5" t="s">
        <v>929</v>
      </c>
      <c r="J279" s="4" t="s">
        <v>930</v>
      </c>
      <c r="K279" s="4" t="s">
        <v>931</v>
      </c>
      <c r="L279" s="4" t="s">
        <v>91</v>
      </c>
      <c r="M279" s="4" t="s">
        <v>24</v>
      </c>
      <c r="N279" s="4" t="s">
        <v>112</v>
      </c>
      <c r="O279" s="4" t="s">
        <v>25</v>
      </c>
      <c r="P279" s="4" t="s">
        <v>50</v>
      </c>
      <c r="Q279" s="4" t="s">
        <v>93</v>
      </c>
      <c r="R279" s="4"/>
    </row>
    <row r="280" spans="1:18">
      <c r="A280">
        <v>279</v>
      </c>
      <c r="B280" s="3">
        <v>46187.643252314803</v>
      </c>
      <c r="C280" s="3">
        <v>46187.645451388897</v>
      </c>
      <c r="D280" s="4" t="s">
        <v>18</v>
      </c>
      <c r="E280" s="4"/>
      <c r="F280" s="1">
        <v>46187</v>
      </c>
      <c r="G280" s="4" t="s">
        <v>62</v>
      </c>
      <c r="H280" s="4"/>
      <c r="I280" s="5" t="s">
        <v>932</v>
      </c>
      <c r="J280" s="4" t="s">
        <v>933</v>
      </c>
      <c r="K280" s="4" t="s">
        <v>582</v>
      </c>
      <c r="L280" s="4" t="s">
        <v>91</v>
      </c>
      <c r="M280" s="4" t="s">
        <v>60</v>
      </c>
      <c r="N280" s="4" t="s">
        <v>896</v>
      </c>
      <c r="O280" s="4" t="s">
        <v>25</v>
      </c>
      <c r="P280" s="4" t="s">
        <v>69</v>
      </c>
      <c r="Q280" s="4" t="s">
        <v>93</v>
      </c>
      <c r="R280" s="4"/>
    </row>
    <row r="281" spans="1:18">
      <c r="A281">
        <v>280</v>
      </c>
      <c r="B281" s="3">
        <v>46187.646331018499</v>
      </c>
      <c r="C281" s="3">
        <v>46187.646990740701</v>
      </c>
      <c r="D281" s="4" t="s">
        <v>18</v>
      </c>
      <c r="E281" s="4"/>
      <c r="F281" s="1">
        <v>46187</v>
      </c>
      <c r="G281" s="4" t="s">
        <v>62</v>
      </c>
      <c r="H281" s="4"/>
      <c r="I281" s="5" t="s">
        <v>934</v>
      </c>
      <c r="J281" s="4" t="s">
        <v>935</v>
      </c>
      <c r="K281" s="4" t="s">
        <v>350</v>
      </c>
      <c r="L281" s="4" t="s">
        <v>91</v>
      </c>
      <c r="M281" s="4" t="s">
        <v>60</v>
      </c>
      <c r="N281" s="4" t="s">
        <v>896</v>
      </c>
      <c r="O281" s="4" t="s">
        <v>25</v>
      </c>
      <c r="P281" s="4" t="s">
        <v>69</v>
      </c>
      <c r="Q281" s="4" t="s">
        <v>93</v>
      </c>
      <c r="R281" s="4"/>
    </row>
    <row r="282" spans="1:18">
      <c r="A282">
        <v>281</v>
      </c>
      <c r="B282" s="3">
        <v>46187.712997685201</v>
      </c>
      <c r="C282" s="3">
        <v>46187.715162036999</v>
      </c>
      <c r="D282" s="4" t="s">
        <v>18</v>
      </c>
      <c r="E282" s="4"/>
      <c r="F282" s="1">
        <v>46187</v>
      </c>
      <c r="G282" s="4" t="s">
        <v>235</v>
      </c>
      <c r="H282" s="4"/>
      <c r="I282" s="5" t="s">
        <v>936</v>
      </c>
      <c r="J282" s="4" t="s">
        <v>937</v>
      </c>
      <c r="K282" s="4" t="s">
        <v>938</v>
      </c>
      <c r="L282" s="4" t="s">
        <v>91</v>
      </c>
      <c r="M282" s="4" t="s">
        <v>24</v>
      </c>
      <c r="N282" s="4" t="s">
        <v>112</v>
      </c>
      <c r="O282" s="4" t="s">
        <v>25</v>
      </c>
      <c r="P282" s="4" t="s">
        <v>36</v>
      </c>
      <c r="Q282" s="4" t="s">
        <v>79</v>
      </c>
      <c r="R282" s="4"/>
    </row>
    <row r="283" spans="1:18">
      <c r="A283">
        <v>282</v>
      </c>
      <c r="B283" s="3">
        <v>46187.730127314797</v>
      </c>
      <c r="C283" s="3">
        <v>46187.731574074103</v>
      </c>
      <c r="D283" s="4" t="s">
        <v>18</v>
      </c>
      <c r="E283" s="4"/>
      <c r="F283" s="1">
        <v>46188</v>
      </c>
      <c r="G283" s="4" t="s">
        <v>939</v>
      </c>
      <c r="H283" s="4"/>
      <c r="I283" s="5" t="s">
        <v>940</v>
      </c>
      <c r="J283" s="4" t="s">
        <v>941</v>
      </c>
      <c r="K283" s="4" t="s">
        <v>942</v>
      </c>
      <c r="L283" s="4" t="s">
        <v>91</v>
      </c>
      <c r="M283" s="4" t="s">
        <v>112</v>
      </c>
      <c r="N283" s="4" t="s">
        <v>896</v>
      </c>
      <c r="O283" s="4" t="s">
        <v>25</v>
      </c>
      <c r="P283" s="4" t="s">
        <v>26</v>
      </c>
      <c r="Q283" s="4" t="s">
        <v>79</v>
      </c>
      <c r="R283" s="4"/>
    </row>
    <row r="284" spans="1:18">
      <c r="A284">
        <v>283</v>
      </c>
      <c r="B284" s="3">
        <v>46188.395775463003</v>
      </c>
      <c r="C284" s="3">
        <v>46188.3975347222</v>
      </c>
      <c r="D284" s="4" t="s">
        <v>18</v>
      </c>
      <c r="E284" s="4"/>
      <c r="F284" s="1">
        <v>46188</v>
      </c>
      <c r="G284" s="4" t="s">
        <v>554</v>
      </c>
      <c r="H284" s="4"/>
      <c r="I284" s="5" t="s">
        <v>943</v>
      </c>
      <c r="J284" s="4" t="s">
        <v>944</v>
      </c>
      <c r="K284" s="4" t="s">
        <v>783</v>
      </c>
      <c r="L284" s="4" t="s">
        <v>266</v>
      </c>
      <c r="M284" s="4" t="s">
        <v>45</v>
      </c>
      <c r="N284" s="4" t="s">
        <v>33</v>
      </c>
      <c r="O284" s="4" t="s">
        <v>25</v>
      </c>
      <c r="P284" s="4" t="s">
        <v>36</v>
      </c>
      <c r="Q284" s="4" t="s">
        <v>27</v>
      </c>
      <c r="R284" s="4"/>
    </row>
    <row r="285" spans="1:18">
      <c r="A285">
        <v>284</v>
      </c>
      <c r="B285" s="3">
        <v>46188.411145833299</v>
      </c>
      <c r="C285" s="3">
        <v>46188.412361111099</v>
      </c>
      <c r="D285" s="4" t="s">
        <v>18</v>
      </c>
      <c r="E285" s="4"/>
      <c r="F285" s="1">
        <v>46188</v>
      </c>
      <c r="G285" s="4" t="s">
        <v>752</v>
      </c>
      <c r="H285" s="4"/>
      <c r="I285" s="5" t="s">
        <v>945</v>
      </c>
      <c r="J285" s="4" t="s">
        <v>946</v>
      </c>
      <c r="K285" s="4" t="s">
        <v>31</v>
      </c>
      <c r="L285" s="4" t="s">
        <v>32</v>
      </c>
      <c r="M285" s="4" t="s">
        <v>825</v>
      </c>
      <c r="N285" s="4" t="s">
        <v>45</v>
      </c>
      <c r="O285" s="4" t="s">
        <v>25</v>
      </c>
      <c r="P285" s="4" t="s">
        <v>92</v>
      </c>
      <c r="Q285" s="4" t="s">
        <v>27</v>
      </c>
      <c r="R285" s="4"/>
    </row>
    <row r="286" spans="1:18">
      <c r="A286">
        <v>285</v>
      </c>
      <c r="B286" s="3">
        <v>46188.4139699074</v>
      </c>
      <c r="C286" s="3">
        <v>46188.415509259299</v>
      </c>
      <c r="D286" s="4" t="s">
        <v>18</v>
      </c>
      <c r="E286" s="4"/>
      <c r="F286" s="1">
        <v>46188</v>
      </c>
      <c r="G286" s="4" t="s">
        <v>947</v>
      </c>
      <c r="H286" s="4"/>
      <c r="I286" s="5" t="s">
        <v>948</v>
      </c>
      <c r="J286" s="4" t="s">
        <v>949</v>
      </c>
      <c r="K286" s="4" t="s">
        <v>739</v>
      </c>
      <c r="L286" s="4" t="s">
        <v>266</v>
      </c>
      <c r="M286" s="4" t="s">
        <v>33</v>
      </c>
      <c r="N286" s="4" t="s">
        <v>45</v>
      </c>
      <c r="O286" s="4" t="s">
        <v>25</v>
      </c>
      <c r="P286" s="4" t="s">
        <v>36</v>
      </c>
      <c r="Q286" s="4" t="s">
        <v>27</v>
      </c>
      <c r="R286" s="4"/>
    </row>
    <row r="287" spans="1:18">
      <c r="A287">
        <v>286</v>
      </c>
      <c r="B287" s="3">
        <v>46188.431342592601</v>
      </c>
      <c r="C287" s="3">
        <v>46188.433182870402</v>
      </c>
      <c r="D287" s="4" t="s">
        <v>18</v>
      </c>
      <c r="E287" s="4"/>
      <c r="F287" s="1">
        <v>46188</v>
      </c>
      <c r="G287" s="4" t="s">
        <v>771</v>
      </c>
      <c r="H287" s="4"/>
      <c r="I287" s="5" t="s">
        <v>950</v>
      </c>
      <c r="J287" s="4" t="s">
        <v>951</v>
      </c>
      <c r="K287" s="4" t="s">
        <v>22</v>
      </c>
      <c r="L287" s="4" t="s">
        <v>23</v>
      </c>
      <c r="M287" s="4" t="s">
        <v>33</v>
      </c>
      <c r="N287" s="4" t="s">
        <v>45</v>
      </c>
      <c r="O287" s="4" t="s">
        <v>25</v>
      </c>
      <c r="P287" s="4" t="s">
        <v>55</v>
      </c>
      <c r="Q287" s="4" t="s">
        <v>79</v>
      </c>
      <c r="R287" s="4"/>
    </row>
    <row r="288" spans="1:18">
      <c r="A288">
        <v>287</v>
      </c>
      <c r="B288" s="3">
        <v>46188.443414351903</v>
      </c>
      <c r="C288" s="3">
        <v>46188.446759259299</v>
      </c>
      <c r="D288" s="4" t="s">
        <v>18</v>
      </c>
      <c r="E288" s="4"/>
      <c r="F288" s="1">
        <v>46188</v>
      </c>
      <c r="G288" s="4" t="s">
        <v>207</v>
      </c>
      <c r="H288" s="4"/>
      <c r="I288" s="5" t="s">
        <v>952</v>
      </c>
      <c r="J288" s="4" t="s">
        <v>953</v>
      </c>
      <c r="K288" s="4" t="s">
        <v>212</v>
      </c>
      <c r="L288" s="4" t="s">
        <v>98</v>
      </c>
      <c r="M288" s="4" t="s">
        <v>33</v>
      </c>
      <c r="N288" s="4" t="s">
        <v>45</v>
      </c>
      <c r="O288" s="4" t="s">
        <v>35</v>
      </c>
      <c r="P288" s="4" t="s">
        <v>213</v>
      </c>
      <c r="Q288" s="4" t="s">
        <v>79</v>
      </c>
      <c r="R288" s="4"/>
    </row>
    <row r="289" spans="1:18">
      <c r="A289">
        <v>288</v>
      </c>
      <c r="B289" s="3">
        <v>46188.446898148097</v>
      </c>
      <c r="C289" s="3">
        <v>46188.450208333299</v>
      </c>
      <c r="D289" s="4" t="s">
        <v>18</v>
      </c>
      <c r="E289" s="4"/>
      <c r="F289" s="1">
        <v>46188</v>
      </c>
      <c r="G289" s="4" t="s">
        <v>174</v>
      </c>
      <c r="H289" s="4"/>
      <c r="I289" s="5" t="s">
        <v>954</v>
      </c>
      <c r="J289" s="4" t="s">
        <v>955</v>
      </c>
      <c r="K289" s="4" t="s">
        <v>212</v>
      </c>
      <c r="L289" s="4" t="s">
        <v>98</v>
      </c>
      <c r="M289" s="4" t="s">
        <v>33</v>
      </c>
      <c r="N289" s="4" t="s">
        <v>45</v>
      </c>
      <c r="O289" s="4" t="s">
        <v>25</v>
      </c>
      <c r="P289" s="4" t="s">
        <v>36</v>
      </c>
      <c r="Q289" s="4" t="s">
        <v>27</v>
      </c>
      <c r="R289" s="4" t="s">
        <v>956</v>
      </c>
    </row>
    <row r="290" spans="1:18">
      <c r="A290">
        <v>289</v>
      </c>
      <c r="B290" s="3">
        <v>46188.450277777803</v>
      </c>
      <c r="C290" s="3">
        <v>46188.452743055597</v>
      </c>
      <c r="D290" s="4" t="s">
        <v>18</v>
      </c>
      <c r="E290" s="4"/>
      <c r="F290" s="1">
        <v>46188</v>
      </c>
      <c r="G290" s="4" t="s">
        <v>177</v>
      </c>
      <c r="H290" s="4"/>
      <c r="I290" s="5" t="s">
        <v>957</v>
      </c>
      <c r="J290" s="4" t="s">
        <v>958</v>
      </c>
      <c r="K290" s="4" t="s">
        <v>356</v>
      </c>
      <c r="L290" s="4" t="s">
        <v>98</v>
      </c>
      <c r="M290" s="4" t="s">
        <v>60</v>
      </c>
      <c r="N290" s="4" t="s">
        <v>45</v>
      </c>
      <c r="O290" s="4" t="s">
        <v>25</v>
      </c>
      <c r="P290" s="4" t="s">
        <v>36</v>
      </c>
      <c r="Q290" s="4" t="s">
        <v>93</v>
      </c>
      <c r="R290" s="4"/>
    </row>
    <row r="291" spans="1:18">
      <c r="A291">
        <v>290</v>
      </c>
      <c r="B291" s="3">
        <v>46188.456631944398</v>
      </c>
      <c r="C291" s="3">
        <v>46188.463159722203</v>
      </c>
      <c r="D291" s="4" t="s">
        <v>18</v>
      </c>
      <c r="E291" s="4"/>
      <c r="F291" s="1">
        <v>46188</v>
      </c>
      <c r="G291" s="4" t="s">
        <v>123</v>
      </c>
      <c r="H291" s="4"/>
      <c r="I291" s="5" t="s">
        <v>959</v>
      </c>
      <c r="J291" s="4" t="s">
        <v>960</v>
      </c>
      <c r="K291" s="4" t="s">
        <v>22</v>
      </c>
      <c r="L291" s="4" t="s">
        <v>23</v>
      </c>
      <c r="M291" s="4" t="s">
        <v>60</v>
      </c>
      <c r="N291" s="4" t="s">
        <v>33</v>
      </c>
      <c r="O291" s="4" t="s">
        <v>25</v>
      </c>
      <c r="P291" s="4" t="s">
        <v>92</v>
      </c>
      <c r="Q291" s="4" t="s">
        <v>79</v>
      </c>
      <c r="R291" s="4"/>
    </row>
    <row r="292" spans="1:18">
      <c r="A292">
        <v>291</v>
      </c>
      <c r="B292" s="3">
        <v>46188.4633680556</v>
      </c>
      <c r="C292" s="3">
        <v>46188.464837963002</v>
      </c>
      <c r="D292" s="4" t="s">
        <v>18</v>
      </c>
      <c r="E292" s="4"/>
      <c r="F292" s="1">
        <v>46188</v>
      </c>
      <c r="G292" s="4" t="s">
        <v>961</v>
      </c>
      <c r="H292" s="4"/>
      <c r="I292" s="5" t="s">
        <v>962</v>
      </c>
      <c r="J292" s="4" t="s">
        <v>963</v>
      </c>
      <c r="K292" s="4" t="s">
        <v>22</v>
      </c>
      <c r="L292" s="4" t="s">
        <v>23</v>
      </c>
      <c r="M292" s="4" t="s">
        <v>60</v>
      </c>
      <c r="N292" s="4" t="s">
        <v>33</v>
      </c>
      <c r="O292" s="4" t="s">
        <v>25</v>
      </c>
      <c r="P292" s="4" t="s">
        <v>347</v>
      </c>
      <c r="Q292" s="4" t="s">
        <v>79</v>
      </c>
      <c r="R292" s="4"/>
    </row>
    <row r="293" spans="1:18">
      <c r="A293">
        <v>292</v>
      </c>
      <c r="B293" s="3">
        <v>46188.738252314797</v>
      </c>
      <c r="C293" s="3">
        <v>46188.739745370403</v>
      </c>
      <c r="D293" s="4" t="s">
        <v>18</v>
      </c>
      <c r="E293" s="4"/>
      <c r="F293" s="1">
        <v>46188</v>
      </c>
      <c r="G293" s="4" t="s">
        <v>964</v>
      </c>
      <c r="H293" s="4" t="s">
        <v>965</v>
      </c>
      <c r="I293" s="5" t="s">
        <v>966</v>
      </c>
      <c r="J293" s="4" t="s">
        <v>967</v>
      </c>
      <c r="K293" s="4" t="s">
        <v>968</v>
      </c>
      <c r="L293" s="4" t="s">
        <v>148</v>
      </c>
      <c r="M293" s="4" t="s">
        <v>33</v>
      </c>
      <c r="N293" s="4" t="s">
        <v>45</v>
      </c>
      <c r="O293" s="4" t="s">
        <v>25</v>
      </c>
      <c r="P293" s="4" t="s">
        <v>36</v>
      </c>
      <c r="Q293" s="4" t="s">
        <v>79</v>
      </c>
      <c r="R293" s="4"/>
    </row>
    <row r="294" spans="1:18">
      <c r="A294">
        <v>293</v>
      </c>
      <c r="B294" s="3">
        <v>46188.744212963</v>
      </c>
      <c r="C294" s="3">
        <v>46188.747442129599</v>
      </c>
      <c r="D294" s="4" t="s">
        <v>18</v>
      </c>
      <c r="E294" s="4"/>
      <c r="F294" s="1">
        <v>46188</v>
      </c>
      <c r="G294" s="4" t="s">
        <v>288</v>
      </c>
      <c r="H294" s="4" t="s">
        <v>969</v>
      </c>
      <c r="I294" s="5" t="s">
        <v>970</v>
      </c>
      <c r="J294" s="4" t="s">
        <v>971</v>
      </c>
      <c r="K294" s="4" t="s">
        <v>665</v>
      </c>
      <c r="L294" s="4" t="s">
        <v>148</v>
      </c>
      <c r="M294" s="4" t="s">
        <v>33</v>
      </c>
      <c r="N294" s="4" t="s">
        <v>45</v>
      </c>
      <c r="O294" s="4" t="s">
        <v>25</v>
      </c>
      <c r="P294" s="4" t="s">
        <v>36</v>
      </c>
      <c r="Q294" s="4" t="s">
        <v>79</v>
      </c>
      <c r="R294" s="4"/>
    </row>
    <row r="295" spans="1:18">
      <c r="A295">
        <v>294</v>
      </c>
      <c r="B295" s="3">
        <v>46188.747476851902</v>
      </c>
      <c r="C295" s="3">
        <v>46188.749270833301</v>
      </c>
      <c r="D295" s="4" t="s">
        <v>18</v>
      </c>
      <c r="E295" s="4"/>
      <c r="F295" s="1">
        <v>46188</v>
      </c>
      <c r="G295" s="4" t="s">
        <v>62</v>
      </c>
      <c r="H295" s="4" t="s">
        <v>438</v>
      </c>
      <c r="I295" s="5" t="s">
        <v>972</v>
      </c>
      <c r="J295" s="4" t="s">
        <v>973</v>
      </c>
      <c r="K295" s="4" t="s">
        <v>492</v>
      </c>
      <c r="L295" s="4" t="s">
        <v>148</v>
      </c>
      <c r="M295" s="4" t="s">
        <v>24</v>
      </c>
      <c r="N295" s="4" t="s">
        <v>45</v>
      </c>
      <c r="O295" s="4" t="s">
        <v>25</v>
      </c>
      <c r="P295" s="4" t="s">
        <v>36</v>
      </c>
      <c r="Q295" s="4" t="s">
        <v>79</v>
      </c>
      <c r="R295" s="4"/>
    </row>
    <row r="296" spans="1:18">
      <c r="A296">
        <v>295</v>
      </c>
      <c r="B296" s="3">
        <v>46188.787951388898</v>
      </c>
      <c r="C296" s="3">
        <v>46188.790104166699</v>
      </c>
      <c r="D296" s="4" t="s">
        <v>18</v>
      </c>
      <c r="E296" s="4"/>
      <c r="F296" s="1">
        <v>46188</v>
      </c>
      <c r="G296" s="4" t="s">
        <v>974</v>
      </c>
      <c r="H296" s="4" t="s">
        <v>975</v>
      </c>
      <c r="I296" s="5" t="s">
        <v>976</v>
      </c>
      <c r="J296" s="4" t="s">
        <v>977</v>
      </c>
      <c r="K296" s="4" t="s">
        <v>978</v>
      </c>
      <c r="L296" s="4" t="s">
        <v>91</v>
      </c>
      <c r="M296" s="4" t="s">
        <v>33</v>
      </c>
      <c r="N296" s="4" t="s">
        <v>117</v>
      </c>
      <c r="O296" s="4" t="s">
        <v>25</v>
      </c>
      <c r="P296" s="4" t="s">
        <v>36</v>
      </c>
      <c r="Q296" s="4" t="s">
        <v>79</v>
      </c>
      <c r="R296" s="4"/>
    </row>
    <row r="297" spans="1:18">
      <c r="A297">
        <v>296</v>
      </c>
      <c r="B297" s="3">
        <v>46188.790162037003</v>
      </c>
      <c r="C297" s="3">
        <v>46188.791666666701</v>
      </c>
      <c r="D297" s="4" t="s">
        <v>18</v>
      </c>
      <c r="E297" s="4"/>
      <c r="F297" s="1">
        <v>46188</v>
      </c>
      <c r="G297" s="4" t="s">
        <v>979</v>
      </c>
      <c r="H297" s="4" t="s">
        <v>445</v>
      </c>
      <c r="I297" s="5" t="s">
        <v>980</v>
      </c>
      <c r="J297" s="4" t="s">
        <v>981</v>
      </c>
      <c r="K297" s="4" t="s">
        <v>982</v>
      </c>
      <c r="L297" s="4" t="s">
        <v>91</v>
      </c>
      <c r="M297" s="4" t="s">
        <v>117</v>
      </c>
      <c r="N297" s="4" t="s">
        <v>33</v>
      </c>
      <c r="O297" s="4" t="s">
        <v>25</v>
      </c>
      <c r="P297" s="4" t="s">
        <v>69</v>
      </c>
      <c r="Q297" s="4" t="s">
        <v>27</v>
      </c>
      <c r="R297" s="4"/>
    </row>
    <row r="298" spans="1:18">
      <c r="A298">
        <v>297</v>
      </c>
      <c r="B298" s="3">
        <v>46188.7917592593</v>
      </c>
      <c r="C298" s="3">
        <v>46188.793391203697</v>
      </c>
      <c r="D298" s="4" t="s">
        <v>18</v>
      </c>
      <c r="E298" s="4"/>
      <c r="F298" s="1">
        <v>46188</v>
      </c>
      <c r="G298" s="4" t="s">
        <v>442</v>
      </c>
      <c r="H298" s="4" t="s">
        <v>434</v>
      </c>
      <c r="I298" s="5" t="s">
        <v>983</v>
      </c>
      <c r="J298" s="4" t="s">
        <v>984</v>
      </c>
      <c r="K298" s="4" t="s">
        <v>942</v>
      </c>
      <c r="L298" s="4" t="s">
        <v>91</v>
      </c>
      <c r="M298" s="4" t="s">
        <v>33</v>
      </c>
      <c r="N298" s="4" t="s">
        <v>45</v>
      </c>
      <c r="O298" s="4" t="s">
        <v>25</v>
      </c>
      <c r="P298" s="4" t="s">
        <v>50</v>
      </c>
      <c r="Q298" s="4" t="s">
        <v>79</v>
      </c>
      <c r="R298" s="4"/>
    </row>
    <row r="299" spans="1:18">
      <c r="A299">
        <v>298</v>
      </c>
      <c r="B299" s="3">
        <v>46188.804895833302</v>
      </c>
      <c r="C299" s="3">
        <v>46188.808993055602</v>
      </c>
      <c r="D299" s="4" t="s">
        <v>18</v>
      </c>
      <c r="E299" s="4"/>
      <c r="F299" s="1">
        <v>46188</v>
      </c>
      <c r="G299" s="4" t="s">
        <v>985</v>
      </c>
      <c r="H299" s="4" t="s">
        <v>986</v>
      </c>
      <c r="I299" s="5" t="s">
        <v>987</v>
      </c>
      <c r="J299" s="4" t="s">
        <v>988</v>
      </c>
      <c r="K299" s="4" t="s">
        <v>356</v>
      </c>
      <c r="L299" s="4" t="s">
        <v>32</v>
      </c>
      <c r="M299" s="4" t="s">
        <v>33</v>
      </c>
      <c r="N299" s="4" t="s">
        <v>117</v>
      </c>
      <c r="O299" s="4" t="s">
        <v>35</v>
      </c>
      <c r="P299" s="4" t="s">
        <v>69</v>
      </c>
      <c r="Q299" s="4" t="s">
        <v>27</v>
      </c>
      <c r="R299" s="4"/>
    </row>
    <row r="300" spans="1:18">
      <c r="A300">
        <v>299</v>
      </c>
      <c r="B300" s="3">
        <v>46188.812199074098</v>
      </c>
      <c r="C300" s="3">
        <v>46188.816284722197</v>
      </c>
      <c r="D300" s="4" t="s">
        <v>18</v>
      </c>
      <c r="E300" s="4"/>
      <c r="F300" s="1">
        <v>46188</v>
      </c>
      <c r="G300" s="4" t="s">
        <v>989</v>
      </c>
      <c r="H300" s="4" t="s">
        <v>989</v>
      </c>
      <c r="I300" s="5" t="s">
        <v>990</v>
      </c>
      <c r="J300" s="4" t="s">
        <v>991</v>
      </c>
      <c r="K300" s="4" t="s">
        <v>356</v>
      </c>
      <c r="L300" s="4" t="s">
        <v>98</v>
      </c>
      <c r="M300" s="4" t="s">
        <v>825</v>
      </c>
      <c r="N300" s="4" t="s">
        <v>45</v>
      </c>
      <c r="O300" s="4" t="s">
        <v>35</v>
      </c>
      <c r="P300" s="4" t="s">
        <v>835</v>
      </c>
      <c r="Q300" s="4" t="s">
        <v>79</v>
      </c>
      <c r="R300" s="4"/>
    </row>
    <row r="301" spans="1:18">
      <c r="A301">
        <v>300</v>
      </c>
      <c r="B301" s="3">
        <v>46188.853333333303</v>
      </c>
      <c r="C301" s="3">
        <v>46188.855358796303</v>
      </c>
      <c r="D301" s="4" t="s">
        <v>18</v>
      </c>
      <c r="E301" s="4"/>
      <c r="F301" s="1">
        <v>46188</v>
      </c>
      <c r="G301" s="4" t="s">
        <v>458</v>
      </c>
      <c r="H301" s="4" t="s">
        <v>134</v>
      </c>
      <c r="I301" s="5" t="s">
        <v>992</v>
      </c>
      <c r="J301" s="4" t="s">
        <v>993</v>
      </c>
      <c r="K301" s="4" t="s">
        <v>31</v>
      </c>
      <c r="L301" s="4" t="s">
        <v>44</v>
      </c>
      <c r="M301" s="4" t="s">
        <v>825</v>
      </c>
      <c r="N301" s="4" t="s">
        <v>33</v>
      </c>
      <c r="O301" s="4" t="s">
        <v>25</v>
      </c>
      <c r="P301" s="4" t="s">
        <v>347</v>
      </c>
      <c r="Q301" s="4" t="s">
        <v>27</v>
      </c>
      <c r="R301" s="4"/>
    </row>
    <row r="302" spans="1:18">
      <c r="A302">
        <v>301</v>
      </c>
      <c r="B302" s="3">
        <v>46188.855428240699</v>
      </c>
      <c r="C302" s="3">
        <v>46188.8581134259</v>
      </c>
      <c r="D302" s="4" t="s">
        <v>18</v>
      </c>
      <c r="E302" s="4"/>
      <c r="F302" s="1">
        <v>46188</v>
      </c>
      <c r="G302" s="4" t="s">
        <v>994</v>
      </c>
      <c r="H302" s="4" t="s">
        <v>569</v>
      </c>
      <c r="I302" s="5" t="s">
        <v>995</v>
      </c>
      <c r="J302" s="4" t="s">
        <v>996</v>
      </c>
      <c r="K302" s="4" t="s">
        <v>108</v>
      </c>
      <c r="L302" s="4" t="s">
        <v>44</v>
      </c>
      <c r="M302" s="4" t="s">
        <v>33</v>
      </c>
      <c r="N302" s="4" t="s">
        <v>60</v>
      </c>
      <c r="O302" s="4" t="s">
        <v>25</v>
      </c>
      <c r="P302" s="4" t="s">
        <v>997</v>
      </c>
      <c r="Q302" s="4" t="s">
        <v>27</v>
      </c>
      <c r="R302" s="4"/>
    </row>
    <row r="303" spans="1:18">
      <c r="A303">
        <v>302</v>
      </c>
      <c r="B303" s="3">
        <v>46188.858171296299</v>
      </c>
      <c r="C303" s="3">
        <v>46188.859814814801</v>
      </c>
      <c r="D303" s="4" t="s">
        <v>18</v>
      </c>
      <c r="E303" s="4"/>
      <c r="F303" s="1">
        <v>46188</v>
      </c>
      <c r="G303" s="4" t="s">
        <v>458</v>
      </c>
      <c r="H303" s="4" t="s">
        <v>62</v>
      </c>
      <c r="I303" s="5" t="s">
        <v>998</v>
      </c>
      <c r="J303" s="4" t="s">
        <v>999</v>
      </c>
      <c r="K303" s="4" t="s">
        <v>31</v>
      </c>
      <c r="L303" s="4" t="s">
        <v>44</v>
      </c>
      <c r="M303" s="4" t="s">
        <v>825</v>
      </c>
      <c r="N303" s="4" t="s">
        <v>33</v>
      </c>
      <c r="O303" s="4" t="s">
        <v>25</v>
      </c>
      <c r="P303" s="4" t="s">
        <v>36</v>
      </c>
      <c r="Q303" s="4" t="s">
        <v>27</v>
      </c>
      <c r="R303" s="4"/>
    </row>
    <row r="304" spans="1:18">
      <c r="A304">
        <v>303</v>
      </c>
      <c r="B304" s="3">
        <v>46188.867662037002</v>
      </c>
      <c r="C304" s="3">
        <v>46188.868912037004</v>
      </c>
      <c r="D304" s="4" t="s">
        <v>18</v>
      </c>
      <c r="E304" s="4"/>
      <c r="F304" s="1">
        <v>46188</v>
      </c>
      <c r="G304" s="4" t="s">
        <v>288</v>
      </c>
      <c r="H304" s="4" t="s">
        <v>288</v>
      </c>
      <c r="I304" s="5" t="s">
        <v>970</v>
      </c>
      <c r="J304" s="4" t="s">
        <v>1000</v>
      </c>
      <c r="K304" s="4" t="s">
        <v>1001</v>
      </c>
      <c r="L304" s="4" t="s">
        <v>148</v>
      </c>
      <c r="M304" s="4" t="s">
        <v>33</v>
      </c>
      <c r="N304" s="4" t="s">
        <v>45</v>
      </c>
      <c r="O304" s="4" t="s">
        <v>25</v>
      </c>
      <c r="P304" s="4" t="s">
        <v>36</v>
      </c>
      <c r="Q304" s="4" t="s">
        <v>79</v>
      </c>
      <c r="R304" s="4"/>
    </row>
    <row r="305" spans="1:18">
      <c r="A305">
        <v>304</v>
      </c>
      <c r="B305" s="3">
        <v>46188.868935185201</v>
      </c>
      <c r="C305" s="3">
        <v>46188.870127314804</v>
      </c>
      <c r="D305" s="4" t="s">
        <v>18</v>
      </c>
      <c r="E305" s="4"/>
      <c r="F305" s="1">
        <v>46188</v>
      </c>
      <c r="G305" s="5" t="s">
        <v>966</v>
      </c>
      <c r="H305" s="4" t="s">
        <v>540</v>
      </c>
      <c r="I305" s="5" t="s">
        <v>966</v>
      </c>
      <c r="J305" s="4" t="s">
        <v>1002</v>
      </c>
      <c r="K305" s="4" t="s">
        <v>761</v>
      </c>
      <c r="L305" s="4" t="s">
        <v>148</v>
      </c>
      <c r="M305" s="4" t="s">
        <v>33</v>
      </c>
      <c r="N305" s="4" t="s">
        <v>45</v>
      </c>
      <c r="O305" s="4" t="s">
        <v>35</v>
      </c>
      <c r="P305" s="4" t="s">
        <v>36</v>
      </c>
      <c r="Q305" s="4" t="s">
        <v>79</v>
      </c>
      <c r="R305" s="4" t="s">
        <v>1003</v>
      </c>
    </row>
    <row r="306" spans="1:18">
      <c r="A306">
        <v>305</v>
      </c>
      <c r="B306" s="3">
        <v>46188.870428240698</v>
      </c>
      <c r="C306" s="3">
        <v>46188.871562499997</v>
      </c>
      <c r="D306" s="4" t="s">
        <v>18</v>
      </c>
      <c r="E306" s="4"/>
      <c r="F306" s="1">
        <v>46188</v>
      </c>
      <c r="G306" s="4" t="s">
        <v>62</v>
      </c>
      <c r="H306" s="4" t="s">
        <v>438</v>
      </c>
      <c r="I306" s="5" t="s">
        <v>972</v>
      </c>
      <c r="J306" s="4" t="s">
        <v>1004</v>
      </c>
      <c r="K306" s="4" t="s">
        <v>492</v>
      </c>
      <c r="L306" s="4" t="s">
        <v>148</v>
      </c>
      <c r="M306" s="4" t="s">
        <v>33</v>
      </c>
      <c r="N306" s="4" t="s">
        <v>45</v>
      </c>
      <c r="O306" s="4" t="s">
        <v>25</v>
      </c>
      <c r="P306" s="4" t="s">
        <v>36</v>
      </c>
      <c r="Q306" s="4" t="s">
        <v>79</v>
      </c>
      <c r="R306" s="4"/>
    </row>
    <row r="307" spans="1:18">
      <c r="A307">
        <v>306</v>
      </c>
      <c r="B307" s="3">
        <v>46188.885428240697</v>
      </c>
      <c r="C307" s="3">
        <v>46188.886724536998</v>
      </c>
      <c r="D307" s="4" t="s">
        <v>18</v>
      </c>
      <c r="E307" s="4"/>
      <c r="F307" s="1">
        <v>46188</v>
      </c>
      <c r="G307" s="4" t="s">
        <v>389</v>
      </c>
      <c r="H307" s="4" t="s">
        <v>705</v>
      </c>
      <c r="I307" s="5" t="s">
        <v>1005</v>
      </c>
      <c r="J307" s="4" t="s">
        <v>1006</v>
      </c>
      <c r="K307" s="4" t="s">
        <v>31</v>
      </c>
      <c r="L307" s="4" t="s">
        <v>32</v>
      </c>
      <c r="M307" s="4" t="s">
        <v>819</v>
      </c>
      <c r="N307" s="4" t="s">
        <v>34</v>
      </c>
      <c r="O307" s="4" t="s">
        <v>25</v>
      </c>
      <c r="P307" s="4" t="s">
        <v>36</v>
      </c>
      <c r="Q307" s="4" t="s">
        <v>27</v>
      </c>
      <c r="R307" s="4"/>
    </row>
    <row r="308" spans="1:18">
      <c r="A308">
        <v>307</v>
      </c>
      <c r="B308" s="3">
        <v>46189.409756944398</v>
      </c>
      <c r="C308" s="3">
        <v>46189.4116782407</v>
      </c>
      <c r="D308" s="4" t="s">
        <v>18</v>
      </c>
      <c r="E308" s="4"/>
      <c r="F308" s="1">
        <v>46189</v>
      </c>
      <c r="G308" s="4" t="s">
        <v>425</v>
      </c>
      <c r="H308" s="4" t="s">
        <v>458</v>
      </c>
      <c r="I308" s="5" t="s">
        <v>1007</v>
      </c>
      <c r="J308" s="4" t="s">
        <v>1008</v>
      </c>
      <c r="K308" s="4" t="s">
        <v>31</v>
      </c>
      <c r="L308" s="4" t="s">
        <v>44</v>
      </c>
      <c r="M308" s="4" t="s">
        <v>33</v>
      </c>
      <c r="N308" s="4" t="s">
        <v>61</v>
      </c>
      <c r="O308" s="4" t="s">
        <v>25</v>
      </c>
      <c r="P308" s="4" t="s">
        <v>36</v>
      </c>
      <c r="Q308" s="4" t="s">
        <v>27</v>
      </c>
      <c r="R308" s="4"/>
    </row>
    <row r="309" spans="1:18">
      <c r="A309">
        <v>308</v>
      </c>
      <c r="B309" s="3">
        <v>46189.411712963003</v>
      </c>
      <c r="C309" s="3">
        <v>46189.412384259304</v>
      </c>
      <c r="D309" s="4" t="s">
        <v>18</v>
      </c>
      <c r="E309" s="4"/>
      <c r="F309" s="1">
        <v>46189</v>
      </c>
      <c r="G309" s="4" t="s">
        <v>425</v>
      </c>
      <c r="H309" s="4" t="s">
        <v>458</v>
      </c>
      <c r="I309" s="5" t="s">
        <v>1009</v>
      </c>
      <c r="J309" s="4" t="s">
        <v>993</v>
      </c>
      <c r="K309" s="4" t="s">
        <v>31</v>
      </c>
      <c r="L309" s="4" t="s">
        <v>44</v>
      </c>
      <c r="M309" s="4" t="s">
        <v>33</v>
      </c>
      <c r="N309" s="4" t="s">
        <v>61</v>
      </c>
      <c r="O309" s="4" t="s">
        <v>25</v>
      </c>
      <c r="P309" s="4" t="s">
        <v>347</v>
      </c>
      <c r="Q309" s="4" t="s">
        <v>27</v>
      </c>
      <c r="R309" s="4"/>
    </row>
    <row r="310" spans="1:18">
      <c r="A310">
        <v>309</v>
      </c>
      <c r="B310" s="3">
        <v>46189.413854166698</v>
      </c>
      <c r="C310" s="3">
        <v>46189.415960648097</v>
      </c>
      <c r="D310" s="4" t="s">
        <v>18</v>
      </c>
      <c r="E310" s="4"/>
      <c r="F310" s="1">
        <v>46189</v>
      </c>
      <c r="G310" s="4" t="s">
        <v>752</v>
      </c>
      <c r="H310" s="4" t="s">
        <v>325</v>
      </c>
      <c r="I310" s="5" t="s">
        <v>1010</v>
      </c>
      <c r="J310" s="4" t="s">
        <v>1011</v>
      </c>
      <c r="K310" s="4" t="s">
        <v>1012</v>
      </c>
      <c r="L310" s="4" t="s">
        <v>32</v>
      </c>
      <c r="M310" s="4" t="s">
        <v>33</v>
      </c>
      <c r="N310" s="4" t="s">
        <v>61</v>
      </c>
      <c r="O310" s="4" t="s">
        <v>25</v>
      </c>
      <c r="P310" s="4" t="s">
        <v>69</v>
      </c>
      <c r="Q310" s="4" t="s">
        <v>27</v>
      </c>
      <c r="R310" s="4"/>
    </row>
    <row r="311" spans="1:18">
      <c r="A311">
        <v>310</v>
      </c>
      <c r="B311" s="3">
        <v>46189.452777777798</v>
      </c>
      <c r="C311" s="3">
        <v>46189.454398148097</v>
      </c>
      <c r="D311" s="4" t="s">
        <v>18</v>
      </c>
      <c r="E311" s="4"/>
      <c r="F311" s="1">
        <v>46189</v>
      </c>
      <c r="G311" s="4" t="s">
        <v>62</v>
      </c>
      <c r="H311" s="4" t="s">
        <v>1013</v>
      </c>
      <c r="I311" s="5" t="s">
        <v>1014</v>
      </c>
      <c r="J311" s="4" t="s">
        <v>1015</v>
      </c>
      <c r="K311" s="4" t="s">
        <v>346</v>
      </c>
      <c r="L311" s="4" t="s">
        <v>98</v>
      </c>
      <c r="M311" s="4" t="s">
        <v>33</v>
      </c>
      <c r="N311" s="4" t="s">
        <v>61</v>
      </c>
      <c r="O311" s="4" t="s">
        <v>35</v>
      </c>
      <c r="P311" s="4" t="s">
        <v>166</v>
      </c>
      <c r="Q311" s="4" t="s">
        <v>79</v>
      </c>
      <c r="R311" s="4"/>
    </row>
    <row r="312" spans="1:18">
      <c r="A312">
        <v>311</v>
      </c>
      <c r="B312" s="3">
        <v>46189.454560185201</v>
      </c>
      <c r="C312" s="3">
        <v>46189.455798611103</v>
      </c>
      <c r="D312" s="4" t="s">
        <v>18</v>
      </c>
      <c r="E312" s="4"/>
      <c r="F312" s="1">
        <v>46189</v>
      </c>
      <c r="G312" s="4" t="s">
        <v>62</v>
      </c>
      <c r="H312" s="4" t="s">
        <v>442</v>
      </c>
      <c r="I312" s="5" t="s">
        <v>1016</v>
      </c>
      <c r="J312" s="4" t="s">
        <v>1017</v>
      </c>
      <c r="K312" s="4" t="s">
        <v>346</v>
      </c>
      <c r="L312" s="4" t="s">
        <v>98</v>
      </c>
      <c r="M312" s="4" t="s">
        <v>33</v>
      </c>
      <c r="N312" s="4" t="s">
        <v>61</v>
      </c>
      <c r="O312" s="4" t="s">
        <v>35</v>
      </c>
      <c r="P312" s="4" t="s">
        <v>36</v>
      </c>
      <c r="Q312" s="4" t="s">
        <v>79</v>
      </c>
      <c r="R312" s="4" t="s">
        <v>1018</v>
      </c>
    </row>
    <row r="313" spans="1:18">
      <c r="A313">
        <v>312</v>
      </c>
      <c r="B313" s="3">
        <v>46189.455891203703</v>
      </c>
      <c r="C313" s="3">
        <v>46189.458032407398</v>
      </c>
      <c r="D313" s="4" t="s">
        <v>18</v>
      </c>
      <c r="E313" s="4"/>
      <c r="F313" s="1">
        <v>46189</v>
      </c>
      <c r="G313" s="4" t="s">
        <v>62</v>
      </c>
      <c r="H313" s="4" t="s">
        <v>438</v>
      </c>
      <c r="I313" s="5" t="s">
        <v>1019</v>
      </c>
      <c r="J313" s="4" t="s">
        <v>1020</v>
      </c>
      <c r="K313" s="4" t="s">
        <v>356</v>
      </c>
      <c r="L313" s="4" t="s">
        <v>98</v>
      </c>
      <c r="M313" s="4" t="s">
        <v>33</v>
      </c>
      <c r="N313" s="4" t="s">
        <v>61</v>
      </c>
      <c r="O313" s="4" t="s">
        <v>25</v>
      </c>
      <c r="P313" s="4" t="s">
        <v>36</v>
      </c>
      <c r="Q313" s="4" t="s">
        <v>27</v>
      </c>
      <c r="R313" s="4" t="s">
        <v>1021</v>
      </c>
    </row>
    <row r="314" spans="1:18">
      <c r="A314">
        <v>313</v>
      </c>
      <c r="B314" s="3">
        <v>46189.482118055603</v>
      </c>
      <c r="C314" s="3">
        <v>46189.483599537001</v>
      </c>
      <c r="D314" s="4" t="s">
        <v>18</v>
      </c>
      <c r="E314" s="4"/>
      <c r="F314" s="1">
        <v>46189</v>
      </c>
      <c r="G314" s="4" t="s">
        <v>1022</v>
      </c>
      <c r="H314" s="4" t="s">
        <v>569</v>
      </c>
      <c r="I314" s="5" t="s">
        <v>1023</v>
      </c>
      <c r="J314" s="4" t="s">
        <v>1024</v>
      </c>
      <c r="K314" s="4" t="s">
        <v>783</v>
      </c>
      <c r="L314" s="4" t="s">
        <v>266</v>
      </c>
      <c r="M314" s="4" t="s">
        <v>117</v>
      </c>
      <c r="N314" s="4" t="s">
        <v>33</v>
      </c>
      <c r="O314" s="4" t="s">
        <v>25</v>
      </c>
      <c r="P314" s="4" t="s">
        <v>36</v>
      </c>
      <c r="Q314" s="4" t="s">
        <v>27</v>
      </c>
      <c r="R314" s="4"/>
    </row>
    <row r="315" spans="1:18">
      <c r="A315">
        <v>314</v>
      </c>
      <c r="B315" s="3">
        <v>46189.486388888901</v>
      </c>
      <c r="C315" s="3">
        <v>46189.488310185203</v>
      </c>
      <c r="D315" s="4" t="s">
        <v>18</v>
      </c>
      <c r="E315" s="4"/>
      <c r="F315" s="1">
        <v>46189</v>
      </c>
      <c r="G315" s="4" t="s">
        <v>965</v>
      </c>
      <c r="H315" s="4" t="s">
        <v>569</v>
      </c>
      <c r="I315" s="5" t="s">
        <v>1025</v>
      </c>
      <c r="J315" s="4" t="s">
        <v>1026</v>
      </c>
      <c r="K315" s="4" t="s">
        <v>1027</v>
      </c>
      <c r="L315" s="4" t="s">
        <v>266</v>
      </c>
      <c r="M315" s="4" t="s">
        <v>117</v>
      </c>
      <c r="N315" s="4" t="s">
        <v>33</v>
      </c>
      <c r="O315" s="4" t="s">
        <v>25</v>
      </c>
      <c r="P315" s="4" t="s">
        <v>92</v>
      </c>
      <c r="Q315" s="4" t="s">
        <v>27</v>
      </c>
      <c r="R315" s="4"/>
    </row>
    <row r="316" spans="1:18">
      <c r="A316">
        <v>315</v>
      </c>
      <c r="B316" s="3">
        <v>46189.617199074099</v>
      </c>
      <c r="C316" s="3">
        <v>46189.620162036997</v>
      </c>
      <c r="D316" s="4" t="s">
        <v>18</v>
      </c>
      <c r="E316" s="4"/>
      <c r="F316" s="1">
        <v>46189</v>
      </c>
      <c r="G316" s="4" t="s">
        <v>1028</v>
      </c>
      <c r="H316" s="4" t="s">
        <v>666</v>
      </c>
      <c r="I316" s="5" t="s">
        <v>1029</v>
      </c>
      <c r="J316" s="4" t="s">
        <v>1030</v>
      </c>
      <c r="K316" s="4" t="s">
        <v>492</v>
      </c>
      <c r="L316" s="4" t="s">
        <v>148</v>
      </c>
      <c r="M316" s="4" t="s">
        <v>33</v>
      </c>
      <c r="N316" s="4" t="s">
        <v>896</v>
      </c>
      <c r="O316" s="4" t="s">
        <v>35</v>
      </c>
      <c r="P316" s="4" t="s">
        <v>36</v>
      </c>
      <c r="Q316" s="4" t="s">
        <v>27</v>
      </c>
      <c r="R316" s="4"/>
    </row>
    <row r="317" spans="1:18">
      <c r="A317">
        <v>316</v>
      </c>
      <c r="B317" s="3">
        <v>46189.620324074102</v>
      </c>
      <c r="C317" s="3">
        <v>46189.622430555602</v>
      </c>
      <c r="D317" s="4" t="s">
        <v>18</v>
      </c>
      <c r="E317" s="4"/>
      <c r="F317" s="1">
        <v>46189</v>
      </c>
      <c r="G317" s="4" t="s">
        <v>1031</v>
      </c>
      <c r="H317" s="4" t="s">
        <v>1032</v>
      </c>
      <c r="I317" s="5" t="s">
        <v>1033</v>
      </c>
      <c r="J317" s="4" t="s">
        <v>1034</v>
      </c>
      <c r="K317" s="4" t="s">
        <v>665</v>
      </c>
      <c r="L317" s="4" t="s">
        <v>148</v>
      </c>
      <c r="M317" s="4" t="s">
        <v>33</v>
      </c>
      <c r="N317" s="4" t="s">
        <v>896</v>
      </c>
      <c r="O317" s="4" t="s">
        <v>35</v>
      </c>
      <c r="P317" s="4" t="s">
        <v>36</v>
      </c>
      <c r="Q317" s="4" t="s">
        <v>93</v>
      </c>
      <c r="R317" s="4"/>
    </row>
    <row r="318" spans="1:18">
      <c r="A318">
        <v>317</v>
      </c>
      <c r="B318" s="3">
        <v>46189.657662037003</v>
      </c>
      <c r="C318" s="3">
        <v>46189.6629861111</v>
      </c>
      <c r="D318" s="4" t="s">
        <v>18</v>
      </c>
      <c r="E318" s="4"/>
      <c r="F318" s="1">
        <v>46189</v>
      </c>
      <c r="G318" s="4" t="s">
        <v>1035</v>
      </c>
      <c r="H318" s="4" t="s">
        <v>1036</v>
      </c>
      <c r="I318" s="5" t="s">
        <v>1037</v>
      </c>
      <c r="J318" s="4" t="s">
        <v>1038</v>
      </c>
      <c r="K318" s="4" t="s">
        <v>1039</v>
      </c>
      <c r="L318" s="4" t="s">
        <v>91</v>
      </c>
      <c r="M318" s="4" t="s">
        <v>117</v>
      </c>
      <c r="N318" s="4" t="s">
        <v>33</v>
      </c>
      <c r="O318" s="4" t="s">
        <v>25</v>
      </c>
      <c r="P318" s="4" t="s">
        <v>69</v>
      </c>
      <c r="Q318" s="4" t="s">
        <v>27</v>
      </c>
      <c r="R318" s="4"/>
    </row>
    <row r="319" spans="1:18">
      <c r="A319">
        <v>318</v>
      </c>
      <c r="B319" s="3">
        <v>46189.6641087963</v>
      </c>
      <c r="C319" s="3">
        <v>46189.667326388902</v>
      </c>
      <c r="D319" s="4" t="s">
        <v>18</v>
      </c>
      <c r="E319" s="4"/>
      <c r="F319" s="1">
        <v>46189</v>
      </c>
      <c r="G319" s="4" t="s">
        <v>680</v>
      </c>
      <c r="H319" s="4" t="s">
        <v>343</v>
      </c>
      <c r="I319" s="5" t="s">
        <v>1040</v>
      </c>
      <c r="J319" s="4" t="s">
        <v>1041</v>
      </c>
      <c r="K319" s="4" t="s">
        <v>1042</v>
      </c>
      <c r="L319" s="4" t="s">
        <v>91</v>
      </c>
      <c r="M319" s="4" t="s">
        <v>24</v>
      </c>
      <c r="N319" s="4" t="s">
        <v>33</v>
      </c>
      <c r="O319" s="4" t="s">
        <v>25</v>
      </c>
      <c r="P319" s="4" t="s">
        <v>69</v>
      </c>
      <c r="Q319" s="4" t="s">
        <v>27</v>
      </c>
      <c r="R319" s="4"/>
    </row>
    <row r="320" spans="1:18">
      <c r="A320">
        <v>319</v>
      </c>
      <c r="B320" s="3">
        <v>46189.667407407404</v>
      </c>
      <c r="C320" s="3">
        <v>46189.670983796299</v>
      </c>
      <c r="D320" s="4" t="s">
        <v>18</v>
      </c>
      <c r="E320" s="4"/>
      <c r="F320" s="1">
        <v>46189</v>
      </c>
      <c r="G320" s="4" t="s">
        <v>680</v>
      </c>
      <c r="H320" s="4" t="s">
        <v>1043</v>
      </c>
      <c r="I320" s="5" t="s">
        <v>1044</v>
      </c>
      <c r="J320" s="4" t="s">
        <v>1045</v>
      </c>
      <c r="K320" s="4" t="s">
        <v>90</v>
      </c>
      <c r="L320" s="4" t="s">
        <v>91</v>
      </c>
      <c r="M320" s="4" t="s">
        <v>33</v>
      </c>
      <c r="N320" s="4" t="s">
        <v>61</v>
      </c>
      <c r="O320" s="4" t="s">
        <v>25</v>
      </c>
      <c r="P320" s="4" t="s">
        <v>36</v>
      </c>
      <c r="Q320" s="4" t="s">
        <v>79</v>
      </c>
      <c r="R320" s="4"/>
    </row>
    <row r="321" spans="1:18">
      <c r="A321">
        <v>320</v>
      </c>
      <c r="B321" s="3">
        <v>46189.715590277803</v>
      </c>
      <c r="C321" s="3">
        <v>46189.7187962963</v>
      </c>
      <c r="D321" s="4" t="s">
        <v>18</v>
      </c>
      <c r="E321" s="4"/>
      <c r="F321" s="1">
        <v>46189</v>
      </c>
      <c r="G321" s="4" t="s">
        <v>123</v>
      </c>
      <c r="H321" s="4" t="s">
        <v>123</v>
      </c>
      <c r="I321" s="5" t="s">
        <v>1046</v>
      </c>
      <c r="J321" s="4" t="s">
        <v>1047</v>
      </c>
      <c r="K321" s="4" t="s">
        <v>1048</v>
      </c>
      <c r="L321" s="4" t="s">
        <v>23</v>
      </c>
      <c r="M321" s="4" t="s">
        <v>33</v>
      </c>
      <c r="N321" s="4" t="s">
        <v>896</v>
      </c>
      <c r="O321" s="4" t="s">
        <v>25</v>
      </c>
      <c r="P321" s="4" t="s">
        <v>92</v>
      </c>
      <c r="Q321" s="4" t="s">
        <v>79</v>
      </c>
      <c r="R321" s="4"/>
    </row>
    <row r="322" spans="1:18">
      <c r="A322">
        <v>321</v>
      </c>
      <c r="B322" s="3">
        <v>46189.719131944403</v>
      </c>
      <c r="C322" s="3">
        <v>46189.722361111097</v>
      </c>
      <c r="D322" s="4" t="s">
        <v>18</v>
      </c>
      <c r="E322" s="4"/>
      <c r="F322" s="1">
        <v>46189</v>
      </c>
      <c r="G322" s="4" t="s">
        <v>123</v>
      </c>
      <c r="H322" s="4" t="s">
        <v>123</v>
      </c>
      <c r="I322" s="5" t="s">
        <v>1049</v>
      </c>
      <c r="J322" s="4" t="s">
        <v>1050</v>
      </c>
      <c r="K322" s="4" t="s">
        <v>22</v>
      </c>
      <c r="L322" s="4" t="s">
        <v>23</v>
      </c>
      <c r="M322" s="4" t="s">
        <v>24</v>
      </c>
      <c r="N322" s="4" t="s">
        <v>112</v>
      </c>
      <c r="O322" s="4" t="s">
        <v>25</v>
      </c>
      <c r="P322" s="4" t="s">
        <v>36</v>
      </c>
      <c r="Q322" s="4" t="s">
        <v>27</v>
      </c>
      <c r="R322" s="4"/>
    </row>
    <row r="323" spans="1:18">
      <c r="A323">
        <v>322</v>
      </c>
      <c r="B323" s="3">
        <v>46189.754999999997</v>
      </c>
      <c r="C323" s="3">
        <v>46189.757511574098</v>
      </c>
      <c r="D323" s="4" t="s">
        <v>18</v>
      </c>
      <c r="E323" s="4"/>
      <c r="F323" s="1">
        <v>46189</v>
      </c>
      <c r="G323" s="4" t="s">
        <v>1051</v>
      </c>
      <c r="H323" s="4" t="s">
        <v>1051</v>
      </c>
      <c r="I323" s="5" t="s">
        <v>1052</v>
      </c>
      <c r="J323" s="4" t="s">
        <v>1053</v>
      </c>
      <c r="K323" s="4" t="s">
        <v>212</v>
      </c>
      <c r="L323" s="4" t="s">
        <v>98</v>
      </c>
      <c r="M323" s="4" t="s">
        <v>117</v>
      </c>
      <c r="N323" s="4" t="s">
        <v>61</v>
      </c>
      <c r="O323" s="4" t="s">
        <v>25</v>
      </c>
      <c r="P323" s="4" t="s">
        <v>347</v>
      </c>
      <c r="Q323" s="4" t="s">
        <v>79</v>
      </c>
      <c r="R323" s="4"/>
    </row>
    <row r="324" spans="1:18">
      <c r="A324">
        <v>323</v>
      </c>
      <c r="B324" s="3">
        <v>46189.780914351897</v>
      </c>
      <c r="C324" s="3">
        <v>46189.783287036997</v>
      </c>
      <c r="D324" s="4" t="s">
        <v>18</v>
      </c>
      <c r="E324" s="4"/>
      <c r="F324" s="1">
        <v>46189</v>
      </c>
      <c r="G324" s="4" t="s">
        <v>1054</v>
      </c>
      <c r="H324" s="4" t="s">
        <v>1055</v>
      </c>
      <c r="I324" s="5" t="s">
        <v>1056</v>
      </c>
      <c r="J324" s="4" t="s">
        <v>1057</v>
      </c>
      <c r="K324" s="4" t="s">
        <v>1058</v>
      </c>
      <c r="L324" s="4" t="s">
        <v>148</v>
      </c>
      <c r="M324" s="4" t="s">
        <v>33</v>
      </c>
      <c r="N324" s="4" t="s">
        <v>896</v>
      </c>
      <c r="O324" s="4" t="s">
        <v>25</v>
      </c>
      <c r="P324" s="4" t="s">
        <v>36</v>
      </c>
      <c r="Q324" s="4" t="s">
        <v>79</v>
      </c>
      <c r="R324" s="4"/>
    </row>
    <row r="325" spans="1:18">
      <c r="A325">
        <v>324</v>
      </c>
      <c r="B325" s="3">
        <v>46189.7833217593</v>
      </c>
      <c r="C325" s="3">
        <v>46189.785439814797</v>
      </c>
      <c r="D325" s="4" t="s">
        <v>18</v>
      </c>
      <c r="E325" s="4"/>
      <c r="F325" s="1">
        <v>46189</v>
      </c>
      <c r="G325" s="4" t="s">
        <v>134</v>
      </c>
      <c r="H325" s="4" t="s">
        <v>134</v>
      </c>
      <c r="I325" s="5" t="s">
        <v>1059</v>
      </c>
      <c r="J325" s="4" t="s">
        <v>1060</v>
      </c>
      <c r="K325" s="4" t="s">
        <v>803</v>
      </c>
      <c r="L325" s="4" t="s">
        <v>148</v>
      </c>
      <c r="M325" s="4" t="s">
        <v>112</v>
      </c>
      <c r="N325" s="4" t="s">
        <v>896</v>
      </c>
      <c r="O325" s="4" t="s">
        <v>25</v>
      </c>
      <c r="P325" s="4" t="s">
        <v>50</v>
      </c>
      <c r="Q325" s="4" t="s">
        <v>79</v>
      </c>
      <c r="R325" s="4"/>
    </row>
    <row r="326" spans="1:18">
      <c r="A326">
        <v>325</v>
      </c>
      <c r="B326" s="3">
        <v>46189.817581018498</v>
      </c>
      <c r="C326" s="3">
        <v>46189.8191898148</v>
      </c>
      <c r="D326" s="4" t="s">
        <v>18</v>
      </c>
      <c r="E326" s="4"/>
      <c r="F326" s="1">
        <v>46189</v>
      </c>
      <c r="G326" s="4" t="s">
        <v>1061</v>
      </c>
      <c r="H326" s="4" t="s">
        <v>1062</v>
      </c>
      <c r="I326" s="5" t="s">
        <v>1063</v>
      </c>
      <c r="J326" s="4" t="s">
        <v>1064</v>
      </c>
      <c r="K326" s="4" t="s">
        <v>359</v>
      </c>
      <c r="L326" s="4" t="s">
        <v>32</v>
      </c>
      <c r="M326" s="4" t="s">
        <v>33</v>
      </c>
      <c r="N326" s="4" t="s">
        <v>117</v>
      </c>
      <c r="O326" s="4" t="s">
        <v>35</v>
      </c>
      <c r="P326" s="4" t="s">
        <v>92</v>
      </c>
      <c r="Q326" s="4" t="s">
        <v>27</v>
      </c>
      <c r="R326" s="4"/>
    </row>
    <row r="327" spans="1:18">
      <c r="A327">
        <v>326</v>
      </c>
      <c r="B327" s="3">
        <v>46189.812569444402</v>
      </c>
      <c r="C327" s="3">
        <v>46189.824166666702</v>
      </c>
      <c r="D327" s="4" t="s">
        <v>18</v>
      </c>
      <c r="E327" s="4"/>
      <c r="F327" s="1">
        <v>46189</v>
      </c>
      <c r="G327" s="4" t="s">
        <v>1065</v>
      </c>
      <c r="H327" s="4" t="s">
        <v>1065</v>
      </c>
      <c r="I327" s="5" t="s">
        <v>1066</v>
      </c>
      <c r="J327" s="4" t="s">
        <v>1067</v>
      </c>
      <c r="K327" s="4" t="s">
        <v>1068</v>
      </c>
      <c r="L327" s="4" t="s">
        <v>23</v>
      </c>
      <c r="M327" s="4" t="s">
        <v>24</v>
      </c>
      <c r="N327" s="4" t="s">
        <v>117</v>
      </c>
      <c r="O327" s="4" t="s">
        <v>25</v>
      </c>
      <c r="P327" s="4" t="s">
        <v>347</v>
      </c>
      <c r="Q327" s="4" t="s">
        <v>79</v>
      </c>
      <c r="R327" s="4"/>
    </row>
    <row r="328" spans="1:18">
      <c r="A328">
        <v>327</v>
      </c>
      <c r="B328" s="3">
        <v>46189.824386574102</v>
      </c>
      <c r="C328" s="3">
        <v>46189.826342592598</v>
      </c>
      <c r="D328" s="4" t="s">
        <v>18</v>
      </c>
      <c r="E328" s="4"/>
      <c r="F328" s="1">
        <v>46189</v>
      </c>
      <c r="G328" s="4" t="s">
        <v>123</v>
      </c>
      <c r="H328" s="4" t="s">
        <v>123</v>
      </c>
      <c r="I328" s="5" t="s">
        <v>1069</v>
      </c>
      <c r="J328" s="4" t="s">
        <v>1070</v>
      </c>
      <c r="K328" s="4" t="s">
        <v>22</v>
      </c>
      <c r="L328" s="4" t="s">
        <v>23</v>
      </c>
      <c r="M328" s="4" t="s">
        <v>24</v>
      </c>
      <c r="N328" s="4" t="s">
        <v>112</v>
      </c>
      <c r="O328" s="4" t="s">
        <v>25</v>
      </c>
      <c r="P328" s="4" t="s">
        <v>347</v>
      </c>
      <c r="Q328" s="4" t="s">
        <v>79</v>
      </c>
      <c r="R328" s="4"/>
    </row>
    <row r="329" spans="1:18">
      <c r="A329">
        <v>328</v>
      </c>
      <c r="B329" s="3">
        <v>46190.409479166701</v>
      </c>
      <c r="C329" s="3">
        <v>46190.411481481497</v>
      </c>
      <c r="D329" s="4" t="s">
        <v>18</v>
      </c>
      <c r="E329" s="4"/>
      <c r="F329" s="1">
        <v>46190</v>
      </c>
      <c r="G329" s="4" t="s">
        <v>1071</v>
      </c>
      <c r="H329" s="4" t="s">
        <v>1071</v>
      </c>
      <c r="I329" s="5" t="s">
        <v>1072</v>
      </c>
      <c r="J329" s="4" t="s">
        <v>1073</v>
      </c>
      <c r="K329" s="4" t="s">
        <v>356</v>
      </c>
      <c r="L329" s="4" t="s">
        <v>98</v>
      </c>
      <c r="M329" s="4" t="s">
        <v>226</v>
      </c>
      <c r="N329" s="4" t="s">
        <v>61</v>
      </c>
      <c r="O329" s="4" t="s">
        <v>25</v>
      </c>
      <c r="P329" s="4" t="s">
        <v>36</v>
      </c>
      <c r="Q329" s="4" t="s">
        <v>27</v>
      </c>
      <c r="R329" s="4"/>
    </row>
    <row r="330" spans="1:18">
      <c r="A330">
        <v>329</v>
      </c>
      <c r="B330" s="3">
        <v>46190.411608796298</v>
      </c>
      <c r="C330" s="3">
        <v>46190.415983796302</v>
      </c>
      <c r="D330" s="4" t="s">
        <v>18</v>
      </c>
      <c r="E330" s="4"/>
      <c r="F330" s="1">
        <v>46190</v>
      </c>
      <c r="G330" s="4" t="s">
        <v>1071</v>
      </c>
      <c r="H330" s="4" t="s">
        <v>1071</v>
      </c>
      <c r="I330" s="5" t="s">
        <v>1074</v>
      </c>
      <c r="J330" s="4" t="s">
        <v>1075</v>
      </c>
      <c r="K330" s="4" t="s">
        <v>212</v>
      </c>
      <c r="L330" s="4" t="s">
        <v>98</v>
      </c>
      <c r="M330" s="4" t="s">
        <v>226</v>
      </c>
      <c r="N330" s="4" t="s">
        <v>61</v>
      </c>
      <c r="O330" s="4" t="s">
        <v>35</v>
      </c>
      <c r="P330" s="4" t="s">
        <v>166</v>
      </c>
      <c r="Q330" s="4" t="s">
        <v>79</v>
      </c>
      <c r="R330" s="4"/>
    </row>
    <row r="331" spans="1:18">
      <c r="A331">
        <v>330</v>
      </c>
      <c r="B331" s="3">
        <v>46190.416064814803</v>
      </c>
      <c r="C331" s="3">
        <v>46190.422627314802</v>
      </c>
      <c r="D331" s="4" t="s">
        <v>18</v>
      </c>
      <c r="E331" s="4"/>
      <c r="F331" s="1">
        <v>46190</v>
      </c>
      <c r="G331" s="4" t="s">
        <v>1076</v>
      </c>
      <c r="H331" s="4" t="s">
        <v>405</v>
      </c>
      <c r="I331" s="5" t="s">
        <v>1077</v>
      </c>
      <c r="J331" s="4" t="s">
        <v>1078</v>
      </c>
      <c r="K331" s="4" t="s">
        <v>143</v>
      </c>
      <c r="L331" s="4" t="s">
        <v>98</v>
      </c>
      <c r="M331" s="4" t="s">
        <v>226</v>
      </c>
      <c r="N331" s="4" t="s">
        <v>61</v>
      </c>
      <c r="O331" s="4" t="s">
        <v>25</v>
      </c>
      <c r="P331" s="4" t="s">
        <v>50</v>
      </c>
      <c r="Q331" s="4" t="s">
        <v>93</v>
      </c>
      <c r="R331" s="4"/>
    </row>
    <row r="332" spans="1:18">
      <c r="A332">
        <v>331</v>
      </c>
      <c r="B332" s="3">
        <v>46190.438020833302</v>
      </c>
      <c r="C332" s="3">
        <v>46190.441712963002</v>
      </c>
      <c r="D332" s="4" t="s">
        <v>18</v>
      </c>
      <c r="E332" s="4"/>
      <c r="F332" s="1">
        <v>46190</v>
      </c>
      <c r="G332" s="4" t="s">
        <v>626</v>
      </c>
      <c r="H332" s="4" t="s">
        <v>1079</v>
      </c>
      <c r="I332" s="5" t="s">
        <v>1080</v>
      </c>
      <c r="J332" s="4" t="s">
        <v>1081</v>
      </c>
      <c r="K332" s="4" t="s">
        <v>359</v>
      </c>
      <c r="L332" s="4" t="s">
        <v>32</v>
      </c>
      <c r="M332" s="4" t="s">
        <v>33</v>
      </c>
      <c r="N332" s="4" t="s">
        <v>117</v>
      </c>
      <c r="O332" s="4" t="s">
        <v>25</v>
      </c>
      <c r="P332" s="4" t="s">
        <v>26</v>
      </c>
      <c r="Q332" s="4" t="s">
        <v>27</v>
      </c>
      <c r="R332" s="4"/>
    </row>
    <row r="333" spans="1:18">
      <c r="A333">
        <v>332</v>
      </c>
      <c r="B333" s="3">
        <v>46190.443611111099</v>
      </c>
      <c r="C333" s="3">
        <v>46190.4454513889</v>
      </c>
      <c r="D333" s="4" t="s">
        <v>18</v>
      </c>
      <c r="E333" s="4"/>
      <c r="F333" s="1">
        <v>46190</v>
      </c>
      <c r="G333" s="4" t="s">
        <v>1082</v>
      </c>
      <c r="H333" s="4" t="s">
        <v>185</v>
      </c>
      <c r="I333" s="5" t="s">
        <v>1083</v>
      </c>
      <c r="J333" s="4" t="s">
        <v>1084</v>
      </c>
      <c r="K333" s="4" t="s">
        <v>1085</v>
      </c>
      <c r="L333" s="4" t="s">
        <v>266</v>
      </c>
      <c r="M333" s="4" t="s">
        <v>33</v>
      </c>
      <c r="N333" s="4" t="s">
        <v>896</v>
      </c>
      <c r="O333" s="4" t="s">
        <v>25</v>
      </c>
      <c r="P333" s="4" t="s">
        <v>36</v>
      </c>
      <c r="Q333" s="4" t="s">
        <v>27</v>
      </c>
      <c r="R333" s="4"/>
    </row>
    <row r="334" spans="1:18">
      <c r="A334">
        <v>333</v>
      </c>
      <c r="B334" s="3">
        <v>46190.464027777802</v>
      </c>
      <c r="C334" s="3">
        <v>46190.465497685203</v>
      </c>
      <c r="D334" s="4" t="s">
        <v>18</v>
      </c>
      <c r="E334" s="4"/>
      <c r="F334" s="1">
        <v>46190</v>
      </c>
      <c r="G334" s="4" t="s">
        <v>83</v>
      </c>
      <c r="H334" s="4" t="s">
        <v>83</v>
      </c>
      <c r="I334" s="5" t="s">
        <v>1086</v>
      </c>
      <c r="J334" s="4" t="s">
        <v>1087</v>
      </c>
      <c r="K334" s="4" t="s">
        <v>1088</v>
      </c>
      <c r="L334" s="4" t="s">
        <v>266</v>
      </c>
      <c r="M334" s="4" t="s">
        <v>24</v>
      </c>
      <c r="N334" s="4" t="s">
        <v>33</v>
      </c>
      <c r="O334" s="4" t="s">
        <v>25</v>
      </c>
      <c r="P334" s="4" t="s">
        <v>36</v>
      </c>
      <c r="Q334" s="4" t="s">
        <v>27</v>
      </c>
      <c r="R334" s="4"/>
    </row>
    <row r="335" spans="1:18">
      <c r="A335">
        <v>334</v>
      </c>
      <c r="B335" s="3">
        <v>46190.573634259301</v>
      </c>
      <c r="C335" s="3">
        <v>46190.581574074102</v>
      </c>
      <c r="D335" s="4" t="s">
        <v>18</v>
      </c>
      <c r="E335" s="4"/>
      <c r="F335" s="1">
        <v>46190</v>
      </c>
      <c r="G335" s="4" t="s">
        <v>1089</v>
      </c>
      <c r="H335" s="4" t="s">
        <v>1090</v>
      </c>
      <c r="I335" s="5" t="s">
        <v>1091</v>
      </c>
      <c r="J335" s="4" t="s">
        <v>1092</v>
      </c>
      <c r="K335" s="4" t="s">
        <v>1093</v>
      </c>
      <c r="L335" s="4" t="s">
        <v>148</v>
      </c>
      <c r="M335" s="4" t="s">
        <v>33</v>
      </c>
      <c r="N335" s="4" t="s">
        <v>896</v>
      </c>
      <c r="O335" s="4" t="s">
        <v>25</v>
      </c>
      <c r="P335" s="4" t="s">
        <v>36</v>
      </c>
      <c r="Q335" s="4" t="s">
        <v>79</v>
      </c>
      <c r="R335" s="4"/>
    </row>
    <row r="336" spans="1:18">
      <c r="A336">
        <v>335</v>
      </c>
      <c r="B336" s="3">
        <v>46190.713449074101</v>
      </c>
      <c r="C336" s="3">
        <v>46190.715486111098</v>
      </c>
      <c r="D336" s="4" t="s">
        <v>18</v>
      </c>
      <c r="E336" s="4"/>
      <c r="F336" s="1">
        <v>46190</v>
      </c>
      <c r="G336" s="4" t="s">
        <v>1094</v>
      </c>
      <c r="H336" s="4" t="s">
        <v>1095</v>
      </c>
      <c r="I336" s="5" t="s">
        <v>1096</v>
      </c>
      <c r="J336" s="4" t="s">
        <v>1097</v>
      </c>
      <c r="K336" s="4" t="s">
        <v>1098</v>
      </c>
      <c r="L336" s="4" t="s">
        <v>91</v>
      </c>
      <c r="M336" s="4" t="s">
        <v>33</v>
      </c>
      <c r="N336" s="4" t="s">
        <v>117</v>
      </c>
      <c r="O336" s="4" t="s">
        <v>25</v>
      </c>
      <c r="P336" s="4" t="s">
        <v>36</v>
      </c>
      <c r="Q336" s="4" t="s">
        <v>79</v>
      </c>
      <c r="R336" s="4"/>
    </row>
    <row r="337" spans="1:18">
      <c r="A337">
        <v>336</v>
      </c>
      <c r="B337" s="3">
        <v>46190.730243055601</v>
      </c>
      <c r="C337" s="3">
        <v>46190.730810185203</v>
      </c>
      <c r="D337" s="4" t="s">
        <v>18</v>
      </c>
      <c r="E337" s="4"/>
      <c r="F337" s="1">
        <v>46190</v>
      </c>
      <c r="G337" s="4" t="s">
        <v>680</v>
      </c>
      <c r="H337" s="4" t="s">
        <v>771</v>
      </c>
      <c r="I337" s="5" t="s">
        <v>1099</v>
      </c>
      <c r="J337" s="4" t="s">
        <v>1100</v>
      </c>
      <c r="K337" s="4" t="s">
        <v>1101</v>
      </c>
      <c r="L337" s="4" t="s">
        <v>91</v>
      </c>
      <c r="M337" s="4" t="s">
        <v>60</v>
      </c>
      <c r="N337" s="4" t="s">
        <v>33</v>
      </c>
      <c r="O337" s="4" t="s">
        <v>25</v>
      </c>
      <c r="P337" s="4" t="s">
        <v>50</v>
      </c>
      <c r="Q337" s="4" t="s">
        <v>79</v>
      </c>
      <c r="R337" s="4"/>
    </row>
    <row r="338" spans="1:18">
      <c r="A338">
        <v>337</v>
      </c>
      <c r="B338" s="3">
        <v>46190.730925925898</v>
      </c>
      <c r="C338" s="3">
        <v>46190.733310185198</v>
      </c>
      <c r="D338" s="4" t="s">
        <v>18</v>
      </c>
      <c r="E338" s="4"/>
      <c r="F338" s="1">
        <v>46190</v>
      </c>
      <c r="G338" s="4" t="s">
        <v>771</v>
      </c>
      <c r="H338" s="4" t="s">
        <v>1102</v>
      </c>
      <c r="I338" s="5" t="s">
        <v>1103</v>
      </c>
      <c r="J338" s="4" t="s">
        <v>1104</v>
      </c>
      <c r="K338" s="4" t="s">
        <v>90</v>
      </c>
      <c r="L338" s="4" t="s">
        <v>91</v>
      </c>
      <c r="M338" s="4" t="s">
        <v>112</v>
      </c>
      <c r="N338" s="4" t="s">
        <v>61</v>
      </c>
      <c r="O338" s="4" t="s">
        <v>25</v>
      </c>
      <c r="P338" s="4" t="s">
        <v>36</v>
      </c>
      <c r="Q338" s="4" t="s">
        <v>79</v>
      </c>
      <c r="R338" s="4"/>
    </row>
    <row r="339" spans="1:18">
      <c r="A339">
        <v>338</v>
      </c>
      <c r="B339" s="3">
        <v>46190.760046296302</v>
      </c>
      <c r="C339" s="3">
        <v>46190.763344907398</v>
      </c>
      <c r="D339" s="4" t="s">
        <v>18</v>
      </c>
      <c r="E339" s="4"/>
      <c r="F339" s="1">
        <v>46190</v>
      </c>
      <c r="G339" s="4" t="s">
        <v>1105</v>
      </c>
      <c r="H339" s="4" t="s">
        <v>1106</v>
      </c>
      <c r="I339" s="5" t="s">
        <v>1107</v>
      </c>
      <c r="J339" s="4" t="s">
        <v>1108</v>
      </c>
      <c r="K339" s="4" t="s">
        <v>473</v>
      </c>
      <c r="L339" s="4" t="s">
        <v>91</v>
      </c>
      <c r="M339" s="4" t="s">
        <v>34</v>
      </c>
      <c r="N339" s="4" t="s">
        <v>819</v>
      </c>
      <c r="O339" s="4" t="s">
        <v>25</v>
      </c>
      <c r="P339" s="4" t="s">
        <v>69</v>
      </c>
      <c r="Q339" s="4" t="s">
        <v>79</v>
      </c>
      <c r="R339" s="4"/>
    </row>
    <row r="340" spans="1:18">
      <c r="A340">
        <v>339</v>
      </c>
      <c r="B340" s="3">
        <v>46190.819606481498</v>
      </c>
      <c r="C340" s="3">
        <v>46190.821643518502</v>
      </c>
      <c r="D340" s="4" t="s">
        <v>18</v>
      </c>
      <c r="E340" s="4"/>
      <c r="F340" s="1">
        <v>46190</v>
      </c>
      <c r="G340" s="4" t="s">
        <v>123</v>
      </c>
      <c r="H340" s="4" t="s">
        <v>123</v>
      </c>
      <c r="I340" s="5" t="s">
        <v>1109</v>
      </c>
      <c r="J340" s="4" t="s">
        <v>1110</v>
      </c>
      <c r="K340" s="4" t="s">
        <v>1111</v>
      </c>
      <c r="L340" s="4" t="s">
        <v>23</v>
      </c>
      <c r="M340" s="4" t="s">
        <v>24</v>
      </c>
      <c r="N340" s="4" t="s">
        <v>33</v>
      </c>
      <c r="O340" s="4" t="s">
        <v>25</v>
      </c>
      <c r="P340" s="4" t="s">
        <v>36</v>
      </c>
      <c r="Q340" s="4" t="s">
        <v>27</v>
      </c>
      <c r="R340" s="4"/>
    </row>
    <row r="341" spans="1:18">
      <c r="A341">
        <v>340</v>
      </c>
      <c r="B341" s="3">
        <v>46190.824074074102</v>
      </c>
      <c r="C341" s="3">
        <v>46190.825081018498</v>
      </c>
      <c r="D341" s="4" t="s">
        <v>18</v>
      </c>
      <c r="E341" s="4"/>
      <c r="F341" s="1">
        <v>46190</v>
      </c>
      <c r="G341" s="4" t="s">
        <v>123</v>
      </c>
      <c r="H341" s="4" t="s">
        <v>123</v>
      </c>
      <c r="I341" s="5" t="s">
        <v>1112</v>
      </c>
      <c r="J341" s="4" t="s">
        <v>1113</v>
      </c>
      <c r="K341" s="4" t="s">
        <v>22</v>
      </c>
      <c r="L341" s="4" t="s">
        <v>23</v>
      </c>
      <c r="M341" s="4" t="s">
        <v>24</v>
      </c>
      <c r="N341" s="4" t="s">
        <v>33</v>
      </c>
      <c r="O341" s="4" t="s">
        <v>25</v>
      </c>
      <c r="P341" s="4" t="s">
        <v>347</v>
      </c>
      <c r="Q341" s="4" t="s">
        <v>79</v>
      </c>
      <c r="R341" s="4"/>
    </row>
    <row r="342" spans="1:18">
      <c r="A342">
        <v>341</v>
      </c>
      <c r="B342" s="3">
        <v>46190.831689814797</v>
      </c>
      <c r="C342" s="3">
        <v>46190.833171296297</v>
      </c>
      <c r="D342" s="4" t="s">
        <v>18</v>
      </c>
      <c r="E342" s="4"/>
      <c r="F342" s="1">
        <v>46190</v>
      </c>
      <c r="G342" s="4" t="s">
        <v>1028</v>
      </c>
      <c r="H342" s="4" t="s">
        <v>666</v>
      </c>
      <c r="I342" s="5" t="s">
        <v>1114</v>
      </c>
      <c r="J342" s="4" t="s">
        <v>1115</v>
      </c>
      <c r="K342" s="4" t="s">
        <v>492</v>
      </c>
      <c r="L342" s="4" t="s">
        <v>148</v>
      </c>
      <c r="M342" s="4" t="s">
        <v>33</v>
      </c>
      <c r="N342" s="4" t="s">
        <v>896</v>
      </c>
      <c r="O342" s="4" t="s">
        <v>25</v>
      </c>
      <c r="P342" s="4" t="s">
        <v>36</v>
      </c>
      <c r="Q342" s="4" t="s">
        <v>79</v>
      </c>
      <c r="R342" s="4"/>
    </row>
    <row r="343" spans="1:18">
      <c r="A343">
        <v>342</v>
      </c>
      <c r="B343" s="3">
        <v>46190.8331944444</v>
      </c>
      <c r="C343" s="3">
        <v>46190.8354861111</v>
      </c>
      <c r="D343" s="4" t="s">
        <v>18</v>
      </c>
      <c r="E343" s="4"/>
      <c r="F343" s="1">
        <v>46190</v>
      </c>
      <c r="G343" s="4" t="s">
        <v>714</v>
      </c>
      <c r="H343" s="4" t="s">
        <v>458</v>
      </c>
      <c r="I343" s="5" t="s">
        <v>1116</v>
      </c>
      <c r="J343" s="4" t="s">
        <v>1117</v>
      </c>
      <c r="K343" s="4" t="s">
        <v>1118</v>
      </c>
      <c r="L343" s="4" t="s">
        <v>148</v>
      </c>
      <c r="M343" s="4" t="s">
        <v>33</v>
      </c>
      <c r="N343" s="4" t="s">
        <v>896</v>
      </c>
      <c r="O343" s="4" t="s">
        <v>25</v>
      </c>
      <c r="P343" s="4" t="s">
        <v>36</v>
      </c>
      <c r="Q343" s="4" t="s">
        <v>79</v>
      </c>
      <c r="R343" s="4"/>
    </row>
    <row r="344" spans="1:18">
      <c r="A344">
        <v>343</v>
      </c>
      <c r="B344" s="3">
        <v>46190.835520833301</v>
      </c>
      <c r="C344" s="3">
        <v>46190.839340277802</v>
      </c>
      <c r="D344" s="4" t="s">
        <v>18</v>
      </c>
      <c r="E344" s="4"/>
      <c r="F344" s="1">
        <v>46190</v>
      </c>
      <c r="G344" s="4" t="s">
        <v>1119</v>
      </c>
      <c r="H344" s="4" t="s">
        <v>1120</v>
      </c>
      <c r="I344" s="5" t="s">
        <v>1121</v>
      </c>
      <c r="J344" s="4" t="s">
        <v>1122</v>
      </c>
      <c r="K344" s="4" t="s">
        <v>727</v>
      </c>
      <c r="L344" s="4" t="s">
        <v>148</v>
      </c>
      <c r="M344" s="4" t="s">
        <v>45</v>
      </c>
      <c r="N344" s="4" t="s">
        <v>33</v>
      </c>
      <c r="O344" s="4" t="s">
        <v>25</v>
      </c>
      <c r="P344" s="4" t="s">
        <v>92</v>
      </c>
      <c r="Q344" s="4" t="s">
        <v>79</v>
      </c>
      <c r="R344" s="4"/>
    </row>
    <row r="345" spans="1:18">
      <c r="A345">
        <v>344</v>
      </c>
      <c r="B345" s="3">
        <v>46190.839490740698</v>
      </c>
      <c r="C345" s="3">
        <v>46190.840613425898</v>
      </c>
      <c r="D345" s="4" t="s">
        <v>18</v>
      </c>
      <c r="E345" s="4"/>
      <c r="F345" s="1">
        <v>46190</v>
      </c>
      <c r="G345" s="4" t="s">
        <v>761</v>
      </c>
      <c r="H345" s="4" t="s">
        <v>816</v>
      </c>
      <c r="I345" s="5" t="s">
        <v>1091</v>
      </c>
      <c r="J345" s="4" t="s">
        <v>1123</v>
      </c>
      <c r="K345" s="4" t="s">
        <v>761</v>
      </c>
      <c r="L345" s="4" t="s">
        <v>148</v>
      </c>
      <c r="M345" s="4" t="s">
        <v>33</v>
      </c>
      <c r="N345" s="4" t="s">
        <v>896</v>
      </c>
      <c r="O345" s="4" t="s">
        <v>25</v>
      </c>
      <c r="P345" s="4" t="s">
        <v>36</v>
      </c>
      <c r="Q345" s="4" t="s">
        <v>79</v>
      </c>
      <c r="R345" s="4"/>
    </row>
    <row r="346" spans="1:18">
      <c r="A346">
        <v>345</v>
      </c>
      <c r="B346" s="3">
        <v>46191.358645833301</v>
      </c>
      <c r="C346" s="3">
        <v>46191.360439814802</v>
      </c>
      <c r="D346" s="4" t="s">
        <v>18</v>
      </c>
      <c r="E346" s="4"/>
      <c r="F346" s="1">
        <v>46191</v>
      </c>
      <c r="G346" s="4" t="s">
        <v>1124</v>
      </c>
      <c r="H346" s="4" t="s">
        <v>1124</v>
      </c>
      <c r="I346" s="5" t="s">
        <v>1125</v>
      </c>
      <c r="J346" s="4" t="s">
        <v>1126</v>
      </c>
      <c r="K346" s="4" t="s">
        <v>212</v>
      </c>
      <c r="L346" s="4" t="s">
        <v>98</v>
      </c>
      <c r="M346" s="4" t="s">
        <v>33</v>
      </c>
      <c r="N346" s="4" t="s">
        <v>45</v>
      </c>
      <c r="O346" s="4" t="s">
        <v>25</v>
      </c>
      <c r="P346" s="4" t="s">
        <v>36</v>
      </c>
      <c r="Q346" s="4" t="s">
        <v>27</v>
      </c>
      <c r="R346" s="4"/>
    </row>
    <row r="347" spans="1:18">
      <c r="A347">
        <v>346</v>
      </c>
      <c r="B347" s="3">
        <v>46191.358032407399</v>
      </c>
      <c r="C347" s="3">
        <v>46191.3620717593</v>
      </c>
      <c r="D347" s="4" t="s">
        <v>18</v>
      </c>
      <c r="E347" s="4"/>
      <c r="F347" s="1">
        <v>46191</v>
      </c>
      <c r="G347" s="4" t="s">
        <v>1127</v>
      </c>
      <c r="H347" s="4" t="s">
        <v>1128</v>
      </c>
      <c r="I347" s="5" t="s">
        <v>1129</v>
      </c>
      <c r="J347" s="4" t="s">
        <v>1130</v>
      </c>
      <c r="K347" s="4" t="s">
        <v>1131</v>
      </c>
      <c r="L347" s="4" t="s">
        <v>98</v>
      </c>
      <c r="M347" s="4" t="s">
        <v>33</v>
      </c>
      <c r="N347" s="4" t="s">
        <v>45</v>
      </c>
      <c r="O347" s="4" t="s">
        <v>25</v>
      </c>
      <c r="P347" s="4" t="s">
        <v>36</v>
      </c>
      <c r="Q347" s="4" t="s">
        <v>27</v>
      </c>
      <c r="R347" s="4"/>
    </row>
    <row r="348" spans="1:18">
      <c r="A348">
        <v>347</v>
      </c>
      <c r="B348" s="3">
        <v>46191.362222222197</v>
      </c>
      <c r="C348" s="3">
        <v>46191.364421296297</v>
      </c>
      <c r="D348" s="4" t="s">
        <v>18</v>
      </c>
      <c r="E348" s="4"/>
      <c r="F348" s="1">
        <v>46191</v>
      </c>
      <c r="G348" s="4" t="s">
        <v>1132</v>
      </c>
      <c r="H348" s="4" t="s">
        <v>1132</v>
      </c>
      <c r="I348" s="5" t="s">
        <v>1133</v>
      </c>
      <c r="J348" s="4" t="s">
        <v>1134</v>
      </c>
      <c r="K348" s="4" t="s">
        <v>359</v>
      </c>
      <c r="L348" s="4" t="s">
        <v>98</v>
      </c>
      <c r="M348" s="4" t="s">
        <v>33</v>
      </c>
      <c r="N348" s="4" t="s">
        <v>45</v>
      </c>
      <c r="O348" s="4" t="s">
        <v>25</v>
      </c>
      <c r="P348" s="4" t="s">
        <v>50</v>
      </c>
      <c r="Q348" s="4" t="s">
        <v>93</v>
      </c>
      <c r="R348" s="4"/>
    </row>
    <row r="349" spans="1:18">
      <c r="A349">
        <v>348</v>
      </c>
      <c r="B349" s="3">
        <v>46191.400960648098</v>
      </c>
      <c r="C349" s="3">
        <v>46191.402384259301</v>
      </c>
      <c r="D349" s="4" t="s">
        <v>18</v>
      </c>
      <c r="E349" s="4"/>
      <c r="F349" s="1">
        <v>46191</v>
      </c>
      <c r="G349" s="4" t="s">
        <v>947</v>
      </c>
      <c r="H349" s="4" t="s">
        <v>519</v>
      </c>
      <c r="I349" s="5" t="s">
        <v>1135</v>
      </c>
      <c r="J349" s="4" t="s">
        <v>1136</v>
      </c>
      <c r="K349" s="4" t="s">
        <v>1137</v>
      </c>
      <c r="L349" s="4" t="s">
        <v>266</v>
      </c>
      <c r="M349" s="4" t="s">
        <v>45</v>
      </c>
      <c r="N349" s="4" t="s">
        <v>33</v>
      </c>
      <c r="O349" s="4" t="s">
        <v>25</v>
      </c>
      <c r="P349" s="4" t="s">
        <v>36</v>
      </c>
      <c r="Q349" s="4" t="s">
        <v>27</v>
      </c>
      <c r="R349" s="4"/>
    </row>
    <row r="350" spans="1:18">
      <c r="A350">
        <v>349</v>
      </c>
      <c r="B350" s="3">
        <v>46191.430659722202</v>
      </c>
      <c r="C350" s="3">
        <v>46191.434016203697</v>
      </c>
      <c r="D350" s="4" t="s">
        <v>18</v>
      </c>
      <c r="E350" s="4"/>
      <c r="F350" s="1">
        <v>46191</v>
      </c>
      <c r="G350" s="4" t="s">
        <v>1138</v>
      </c>
      <c r="H350" s="4" t="s">
        <v>1139</v>
      </c>
      <c r="I350" s="5" t="s">
        <v>1140</v>
      </c>
      <c r="J350" s="4" t="s">
        <v>1141</v>
      </c>
      <c r="K350" s="4" t="s">
        <v>1142</v>
      </c>
      <c r="L350" s="4" t="s">
        <v>148</v>
      </c>
      <c r="M350" s="4" t="s">
        <v>33</v>
      </c>
      <c r="N350" s="4" t="s">
        <v>45</v>
      </c>
      <c r="O350" s="4" t="s">
        <v>25</v>
      </c>
      <c r="P350" s="4" t="s">
        <v>36</v>
      </c>
      <c r="Q350" s="4" t="s">
        <v>79</v>
      </c>
      <c r="R350" s="4"/>
    </row>
    <row r="351" spans="1:18">
      <c r="A351">
        <v>350</v>
      </c>
      <c r="B351" s="3">
        <v>46191.459664351903</v>
      </c>
      <c r="C351" s="3">
        <v>46191.460787037002</v>
      </c>
      <c r="D351" s="4" t="s">
        <v>18</v>
      </c>
      <c r="E351" s="4"/>
      <c r="F351" s="1">
        <v>46191</v>
      </c>
      <c r="G351" s="4" t="s">
        <v>458</v>
      </c>
      <c r="H351" s="4" t="s">
        <v>134</v>
      </c>
      <c r="I351" s="5" t="s">
        <v>1143</v>
      </c>
      <c r="J351" s="4" t="s">
        <v>1144</v>
      </c>
      <c r="K351" s="4" t="s">
        <v>31</v>
      </c>
      <c r="L351" s="4" t="s">
        <v>44</v>
      </c>
      <c r="M351" s="4" t="s">
        <v>226</v>
      </c>
      <c r="N351" s="4" t="s">
        <v>61</v>
      </c>
      <c r="O351" s="4" t="s">
        <v>25</v>
      </c>
      <c r="P351" s="4" t="s">
        <v>36</v>
      </c>
      <c r="Q351" s="4" t="s">
        <v>27</v>
      </c>
      <c r="R351" s="4"/>
    </row>
    <row r="352" spans="1:18">
      <c r="A352">
        <v>351</v>
      </c>
      <c r="B352" s="3">
        <v>46191.460949074099</v>
      </c>
      <c r="C352" s="3">
        <v>46191.461643518502</v>
      </c>
      <c r="D352" s="4" t="s">
        <v>18</v>
      </c>
      <c r="E352" s="4"/>
      <c r="F352" s="1">
        <v>46191</v>
      </c>
      <c r="G352" s="4" t="s">
        <v>458</v>
      </c>
      <c r="H352" s="4" t="s">
        <v>134</v>
      </c>
      <c r="I352" s="5" t="s">
        <v>1145</v>
      </c>
      <c r="J352" s="4" t="s">
        <v>993</v>
      </c>
      <c r="K352" s="4" t="s">
        <v>31</v>
      </c>
      <c r="L352" s="4" t="s">
        <v>44</v>
      </c>
      <c r="M352" s="4" t="s">
        <v>226</v>
      </c>
      <c r="N352" s="4" t="s">
        <v>61</v>
      </c>
      <c r="O352" s="4" t="s">
        <v>25</v>
      </c>
      <c r="P352" s="4" t="s">
        <v>347</v>
      </c>
      <c r="Q352" s="4" t="s">
        <v>27</v>
      </c>
      <c r="R352" s="4"/>
    </row>
    <row r="353" spans="1:18">
      <c r="A353">
        <v>352</v>
      </c>
      <c r="B353" s="3">
        <v>46191.453680555598</v>
      </c>
      <c r="C353" s="3">
        <v>46191.4762962963</v>
      </c>
      <c r="D353" s="4" t="s">
        <v>18</v>
      </c>
      <c r="E353" s="4"/>
      <c r="F353" s="1">
        <v>46191</v>
      </c>
      <c r="G353" s="4" t="s">
        <v>569</v>
      </c>
      <c r="H353" s="4" t="s">
        <v>569</v>
      </c>
      <c r="I353" s="5" t="s">
        <v>1146</v>
      </c>
      <c r="J353" s="4" t="s">
        <v>1147</v>
      </c>
      <c r="K353" s="4" t="s">
        <v>59</v>
      </c>
      <c r="L353" s="4" t="s">
        <v>32</v>
      </c>
      <c r="M353" s="4" t="s">
        <v>61</v>
      </c>
      <c r="N353" s="4" t="s">
        <v>117</v>
      </c>
      <c r="O353" s="4" t="s">
        <v>25</v>
      </c>
      <c r="P353" s="4" t="s">
        <v>36</v>
      </c>
      <c r="Q353" s="4" t="s">
        <v>27</v>
      </c>
      <c r="R353" s="4"/>
    </row>
    <row r="354" spans="1:18">
      <c r="A354">
        <v>353</v>
      </c>
      <c r="B354" s="3">
        <v>46191.609814814801</v>
      </c>
      <c r="C354" s="3">
        <v>46191.611956018503</v>
      </c>
      <c r="D354" s="4" t="s">
        <v>18</v>
      </c>
      <c r="E354" s="4"/>
      <c r="F354" s="1">
        <v>46191</v>
      </c>
      <c r="G354" s="4" t="s">
        <v>1148</v>
      </c>
      <c r="H354" s="4" t="s">
        <v>177</v>
      </c>
      <c r="I354" s="5" t="s">
        <v>1149</v>
      </c>
      <c r="J354" s="4" t="s">
        <v>1150</v>
      </c>
      <c r="K354" s="4" t="s">
        <v>473</v>
      </c>
      <c r="L354" s="4" t="s">
        <v>91</v>
      </c>
      <c r="M354" s="4" t="s">
        <v>33</v>
      </c>
      <c r="N354" s="4" t="s">
        <v>117</v>
      </c>
      <c r="O354" s="4" t="s">
        <v>25</v>
      </c>
      <c r="P354" s="4" t="s">
        <v>69</v>
      </c>
      <c r="Q354" s="4" t="s">
        <v>27</v>
      </c>
      <c r="R354" s="4"/>
    </row>
    <row r="355" spans="1:18">
      <c r="A355">
        <v>354</v>
      </c>
      <c r="B355" s="3">
        <v>46191.612152777801</v>
      </c>
      <c r="C355" s="3">
        <v>46191.617164351803</v>
      </c>
      <c r="D355" s="4" t="s">
        <v>18</v>
      </c>
      <c r="E355" s="4"/>
      <c r="F355" s="1">
        <v>46191</v>
      </c>
      <c r="G355" s="4" t="s">
        <v>1151</v>
      </c>
      <c r="H355" s="4" t="s">
        <v>1094</v>
      </c>
      <c r="I355" s="5" t="s">
        <v>1152</v>
      </c>
      <c r="J355" s="4" t="s">
        <v>1153</v>
      </c>
      <c r="K355" s="4" t="s">
        <v>1154</v>
      </c>
      <c r="L355" s="4" t="s">
        <v>91</v>
      </c>
      <c r="M355" s="4" t="s">
        <v>33</v>
      </c>
      <c r="N355" s="4" t="s">
        <v>45</v>
      </c>
      <c r="O355" s="4" t="s">
        <v>25</v>
      </c>
      <c r="P355" s="4" t="s">
        <v>50</v>
      </c>
      <c r="Q355" s="4" t="s">
        <v>79</v>
      </c>
      <c r="R355" s="4"/>
    </row>
    <row r="356" spans="1:18">
      <c r="A356">
        <v>355</v>
      </c>
      <c r="B356" s="3">
        <v>46191.617418981499</v>
      </c>
      <c r="C356" s="3">
        <v>46191.619675925896</v>
      </c>
      <c r="D356" s="4" t="s">
        <v>18</v>
      </c>
      <c r="E356" s="4"/>
      <c r="F356" s="1">
        <v>46191</v>
      </c>
      <c r="G356" s="4" t="s">
        <v>1094</v>
      </c>
      <c r="H356" s="4" t="s">
        <v>1095</v>
      </c>
      <c r="I356" s="5" t="s">
        <v>1155</v>
      </c>
      <c r="J356" s="4" t="s">
        <v>1156</v>
      </c>
      <c r="K356" s="4" t="s">
        <v>1157</v>
      </c>
      <c r="L356" s="4" t="s">
        <v>91</v>
      </c>
      <c r="M356" s="4" t="s">
        <v>33</v>
      </c>
      <c r="N356" s="4" t="s">
        <v>45</v>
      </c>
      <c r="O356" s="4" t="s">
        <v>25</v>
      </c>
      <c r="P356" s="4" t="s">
        <v>50</v>
      </c>
      <c r="Q356" s="4" t="s">
        <v>79</v>
      </c>
      <c r="R356" s="4"/>
    </row>
    <row r="357" spans="1:18">
      <c r="A357">
        <v>356</v>
      </c>
      <c r="B357" s="3">
        <v>46191.619907407403</v>
      </c>
      <c r="C357" s="3">
        <v>46191.622094907398</v>
      </c>
      <c r="D357" s="4" t="s">
        <v>18</v>
      </c>
      <c r="E357" s="4"/>
      <c r="F357" s="1">
        <v>46191</v>
      </c>
      <c r="G357" s="4" t="s">
        <v>758</v>
      </c>
      <c r="H357" s="4" t="s">
        <v>1158</v>
      </c>
      <c r="I357" s="5" t="s">
        <v>1159</v>
      </c>
      <c r="J357" s="4" t="s">
        <v>1160</v>
      </c>
      <c r="K357" s="4" t="s">
        <v>843</v>
      </c>
      <c r="L357" s="4" t="s">
        <v>91</v>
      </c>
      <c r="M357" s="4" t="s">
        <v>226</v>
      </c>
      <c r="N357" s="4" t="s">
        <v>112</v>
      </c>
      <c r="O357" s="4" t="s">
        <v>25</v>
      </c>
      <c r="P357" s="4" t="s">
        <v>36</v>
      </c>
      <c r="Q357" s="4" t="s">
        <v>79</v>
      </c>
      <c r="R357" s="4"/>
    </row>
    <row r="358" spans="1:18">
      <c r="A358">
        <v>357</v>
      </c>
      <c r="B358" s="3">
        <v>46191.622164351902</v>
      </c>
      <c r="C358" s="3">
        <v>46191.626377314802</v>
      </c>
      <c r="D358" s="4" t="s">
        <v>18</v>
      </c>
      <c r="E358" s="4"/>
      <c r="F358" s="1">
        <v>46191</v>
      </c>
      <c r="G358" s="4" t="s">
        <v>1161</v>
      </c>
      <c r="H358" s="4" t="s">
        <v>576</v>
      </c>
      <c r="I358" s="5" t="s">
        <v>1162</v>
      </c>
      <c r="J358" s="4" t="s">
        <v>1163</v>
      </c>
      <c r="K358" s="4" t="s">
        <v>938</v>
      </c>
      <c r="L358" s="4" t="s">
        <v>91</v>
      </c>
      <c r="M358" s="4" t="s">
        <v>60</v>
      </c>
      <c r="N358" s="4" t="s">
        <v>117</v>
      </c>
      <c r="O358" s="4" t="s">
        <v>25</v>
      </c>
      <c r="P358" s="4" t="s">
        <v>92</v>
      </c>
      <c r="Q358" s="4" t="s">
        <v>79</v>
      </c>
      <c r="R358" s="4"/>
    </row>
    <row r="359" spans="1:18">
      <c r="A359">
        <v>358</v>
      </c>
      <c r="B359" s="3">
        <v>46191.699930555602</v>
      </c>
      <c r="C359" s="3">
        <v>46191.7028125</v>
      </c>
      <c r="D359" s="4" t="s">
        <v>18</v>
      </c>
      <c r="E359" s="4"/>
      <c r="F359" s="1">
        <v>46191</v>
      </c>
      <c r="G359" s="4" t="s">
        <v>123</v>
      </c>
      <c r="H359" s="4" t="s">
        <v>123</v>
      </c>
      <c r="I359" s="5" t="s">
        <v>1164</v>
      </c>
      <c r="J359" s="4" t="s">
        <v>1165</v>
      </c>
      <c r="K359" s="4" t="s">
        <v>1166</v>
      </c>
      <c r="L359" s="4" t="s">
        <v>23</v>
      </c>
      <c r="M359" s="4" t="s">
        <v>45</v>
      </c>
      <c r="N359" s="4" t="s">
        <v>33</v>
      </c>
      <c r="O359" s="4" t="s">
        <v>25</v>
      </c>
      <c r="P359" s="4" t="s">
        <v>92</v>
      </c>
      <c r="Q359" s="4" t="s">
        <v>79</v>
      </c>
      <c r="R359" s="4"/>
    </row>
    <row r="360" spans="1:18">
      <c r="A360">
        <v>359</v>
      </c>
      <c r="B360" s="3">
        <v>46191.703043981499</v>
      </c>
      <c r="C360" s="3">
        <v>46191.7055092593</v>
      </c>
      <c r="D360" s="4" t="s">
        <v>18</v>
      </c>
      <c r="E360" s="4"/>
      <c r="F360" s="1">
        <v>46191</v>
      </c>
      <c r="G360" s="4" t="s">
        <v>123</v>
      </c>
      <c r="H360" s="4" t="s">
        <v>123</v>
      </c>
      <c r="I360" s="5" t="s">
        <v>1167</v>
      </c>
      <c r="J360" s="4" t="s">
        <v>1168</v>
      </c>
      <c r="K360" s="4" t="s">
        <v>22</v>
      </c>
      <c r="L360" s="4" t="s">
        <v>23</v>
      </c>
      <c r="M360" s="4" t="s">
        <v>45</v>
      </c>
      <c r="N360" s="4" t="s">
        <v>33</v>
      </c>
      <c r="O360" s="4" t="s">
        <v>25</v>
      </c>
      <c r="P360" s="4" t="s">
        <v>36</v>
      </c>
      <c r="Q360" s="4" t="s">
        <v>79</v>
      </c>
      <c r="R360" s="4"/>
    </row>
    <row r="361" spans="1:18">
      <c r="A361">
        <v>360</v>
      </c>
      <c r="B361" s="3">
        <v>46191.725578703699</v>
      </c>
      <c r="C361" s="3">
        <v>46191.728240740696</v>
      </c>
      <c r="D361" s="4" t="s">
        <v>18</v>
      </c>
      <c r="E361" s="4"/>
      <c r="F361" s="1">
        <v>46191</v>
      </c>
      <c r="G361" s="4" t="s">
        <v>1169</v>
      </c>
      <c r="H361" s="4" t="s">
        <v>1170</v>
      </c>
      <c r="I361" s="5" t="s">
        <v>1171</v>
      </c>
      <c r="J361" s="4" t="s">
        <v>1172</v>
      </c>
      <c r="K361" s="4" t="s">
        <v>359</v>
      </c>
      <c r="L361" s="4" t="s">
        <v>32</v>
      </c>
      <c r="M361" s="4" t="s">
        <v>33</v>
      </c>
      <c r="N361" s="4" t="s">
        <v>117</v>
      </c>
      <c r="O361" s="4" t="s">
        <v>35</v>
      </c>
      <c r="P361" s="4" t="s">
        <v>86</v>
      </c>
      <c r="Q361" s="4" t="s">
        <v>27</v>
      </c>
      <c r="R361" s="4"/>
    </row>
    <row r="362" spans="1:18">
      <c r="A362">
        <v>361</v>
      </c>
      <c r="B362" s="3">
        <v>46192.394293981502</v>
      </c>
      <c r="C362" s="3">
        <v>46192.397002314799</v>
      </c>
      <c r="D362" s="4" t="s">
        <v>18</v>
      </c>
      <c r="E362" s="4"/>
      <c r="F362" s="1">
        <v>46192</v>
      </c>
      <c r="G362" s="4" t="s">
        <v>514</v>
      </c>
      <c r="H362" s="4" t="s">
        <v>1173</v>
      </c>
      <c r="I362" s="5" t="s">
        <v>1174</v>
      </c>
      <c r="J362" s="4" t="s">
        <v>1175</v>
      </c>
      <c r="K362" s="4" t="s">
        <v>1176</v>
      </c>
      <c r="L362" s="4" t="s">
        <v>23</v>
      </c>
      <c r="M362" s="4" t="s">
        <v>33</v>
      </c>
      <c r="N362" s="4" t="s">
        <v>819</v>
      </c>
      <c r="O362" s="4" t="s">
        <v>25</v>
      </c>
      <c r="P362" s="4" t="s">
        <v>36</v>
      </c>
      <c r="Q362" s="4" t="s">
        <v>27</v>
      </c>
      <c r="R362" s="4" t="s">
        <v>877</v>
      </c>
    </row>
    <row r="363" spans="1:18">
      <c r="A363">
        <v>362</v>
      </c>
      <c r="B363" s="3">
        <v>46192.406886574099</v>
      </c>
      <c r="C363" s="3">
        <v>46192.408333333296</v>
      </c>
      <c r="D363" s="4" t="s">
        <v>18</v>
      </c>
      <c r="E363" s="4"/>
      <c r="F363" s="1">
        <v>46192</v>
      </c>
      <c r="G363" s="4" t="s">
        <v>1177</v>
      </c>
      <c r="H363" s="4" t="s">
        <v>1178</v>
      </c>
      <c r="I363" s="5" t="s">
        <v>1179</v>
      </c>
      <c r="J363" s="4" t="s">
        <v>1180</v>
      </c>
      <c r="K363" s="4" t="s">
        <v>1181</v>
      </c>
      <c r="L363" s="4" t="s">
        <v>266</v>
      </c>
      <c r="M363" s="4" t="s">
        <v>45</v>
      </c>
      <c r="N363" s="4" t="s">
        <v>819</v>
      </c>
      <c r="O363" s="4" t="s">
        <v>25</v>
      </c>
      <c r="P363" s="4" t="s">
        <v>36</v>
      </c>
      <c r="Q363" s="4" t="s">
        <v>79</v>
      </c>
      <c r="R363" s="4"/>
    </row>
    <row r="364" spans="1:18">
      <c r="A364">
        <v>363</v>
      </c>
      <c r="B364" s="3">
        <v>46192.4083680556</v>
      </c>
      <c r="C364" s="3">
        <v>46192.409942129598</v>
      </c>
      <c r="D364" s="4" t="s">
        <v>18</v>
      </c>
      <c r="E364" s="4"/>
      <c r="F364" s="1">
        <v>46192</v>
      </c>
      <c r="G364" s="4" t="s">
        <v>1178</v>
      </c>
      <c r="H364" s="4" t="s">
        <v>1182</v>
      </c>
      <c r="I364" s="5" t="s">
        <v>1183</v>
      </c>
      <c r="J364" s="4" t="s">
        <v>1184</v>
      </c>
      <c r="K364" s="4" t="s">
        <v>1185</v>
      </c>
      <c r="L364" s="4" t="s">
        <v>266</v>
      </c>
      <c r="M364" s="4" t="s">
        <v>45</v>
      </c>
      <c r="N364" s="4" t="s">
        <v>819</v>
      </c>
      <c r="O364" s="4" t="s">
        <v>25</v>
      </c>
      <c r="P364" s="4" t="s">
        <v>36</v>
      </c>
      <c r="Q364" s="4" t="s">
        <v>27</v>
      </c>
      <c r="R364" s="4"/>
    </row>
    <row r="365" spans="1:18">
      <c r="A365">
        <v>364</v>
      </c>
      <c r="B365" s="3">
        <v>46192.412476851903</v>
      </c>
      <c r="C365" s="3">
        <v>46192.414884259299</v>
      </c>
      <c r="D365" s="4" t="s">
        <v>18</v>
      </c>
      <c r="E365" s="4"/>
      <c r="F365" s="1">
        <v>46192</v>
      </c>
      <c r="G365" s="4" t="s">
        <v>87</v>
      </c>
      <c r="H365" s="4" t="s">
        <v>1186</v>
      </c>
      <c r="I365" s="5" t="s">
        <v>1187</v>
      </c>
      <c r="J365" s="4" t="s">
        <v>1188</v>
      </c>
      <c r="K365" s="4" t="s">
        <v>31</v>
      </c>
      <c r="L365" s="4" t="s">
        <v>32</v>
      </c>
      <c r="M365" s="4" t="s">
        <v>45</v>
      </c>
      <c r="N365" s="4" t="s">
        <v>61</v>
      </c>
      <c r="O365" s="4" t="s">
        <v>25</v>
      </c>
      <c r="P365" s="4" t="s">
        <v>69</v>
      </c>
      <c r="Q365" s="4" t="s">
        <v>93</v>
      </c>
      <c r="R365" s="4"/>
    </row>
    <row r="366" spans="1:18">
      <c r="A366">
        <v>365</v>
      </c>
      <c r="B366" s="3">
        <v>46192.415613425903</v>
      </c>
      <c r="C366" s="3">
        <v>46192.419328703698</v>
      </c>
      <c r="D366" s="4" t="s">
        <v>18</v>
      </c>
      <c r="E366" s="4"/>
      <c r="F366" s="1">
        <v>46192</v>
      </c>
      <c r="G366" s="4" t="s">
        <v>293</v>
      </c>
      <c r="H366" s="4" t="s">
        <v>293</v>
      </c>
      <c r="I366" s="5" t="s">
        <v>1189</v>
      </c>
      <c r="J366" s="4" t="s">
        <v>1190</v>
      </c>
      <c r="K366" s="4" t="s">
        <v>212</v>
      </c>
      <c r="L366" s="4" t="s">
        <v>98</v>
      </c>
      <c r="M366" s="4" t="s">
        <v>819</v>
      </c>
      <c r="N366" s="4" t="s">
        <v>61</v>
      </c>
      <c r="O366" s="4" t="s">
        <v>25</v>
      </c>
      <c r="P366" s="4" t="s">
        <v>36</v>
      </c>
      <c r="Q366" s="4" t="s">
        <v>27</v>
      </c>
      <c r="R366" s="4"/>
    </row>
    <row r="367" spans="1:18">
      <c r="A367">
        <v>366</v>
      </c>
      <c r="B367" s="3">
        <v>46192.432569444398</v>
      </c>
      <c r="C367" s="3">
        <v>46192.434247685203</v>
      </c>
      <c r="D367" s="4" t="s">
        <v>18</v>
      </c>
      <c r="E367" s="4"/>
      <c r="F367" s="1">
        <v>46192</v>
      </c>
      <c r="G367" s="4" t="s">
        <v>1191</v>
      </c>
      <c r="H367" s="4" t="s">
        <v>1192</v>
      </c>
      <c r="I367" s="5" t="s">
        <v>1193</v>
      </c>
      <c r="J367" s="4" t="s">
        <v>1194</v>
      </c>
      <c r="K367" s="4" t="s">
        <v>359</v>
      </c>
      <c r="L367" s="4" t="s">
        <v>32</v>
      </c>
      <c r="M367" s="4" t="s">
        <v>33</v>
      </c>
      <c r="N367" s="4" t="s">
        <v>117</v>
      </c>
      <c r="O367" s="4" t="s">
        <v>35</v>
      </c>
      <c r="P367" s="4" t="s">
        <v>86</v>
      </c>
      <c r="Q367" s="4" t="s">
        <v>27</v>
      </c>
      <c r="R367" s="4"/>
    </row>
    <row r="368" spans="1:18">
      <c r="A368">
        <v>367</v>
      </c>
      <c r="B368" s="3">
        <v>46192.523564814801</v>
      </c>
      <c r="C368" s="3">
        <v>46192.524224537003</v>
      </c>
      <c r="D368" s="4" t="s">
        <v>18</v>
      </c>
      <c r="E368" s="4"/>
      <c r="F368" s="1">
        <v>46192</v>
      </c>
      <c r="G368" s="4" t="s">
        <v>569</v>
      </c>
      <c r="H368" s="4" t="s">
        <v>431</v>
      </c>
      <c r="I368" s="5" t="s">
        <v>1195</v>
      </c>
      <c r="J368" s="4" t="s">
        <v>993</v>
      </c>
      <c r="K368" s="4" t="s">
        <v>31</v>
      </c>
      <c r="L368" s="4" t="s">
        <v>44</v>
      </c>
      <c r="M368" s="4" t="s">
        <v>226</v>
      </c>
      <c r="N368" s="4" t="s">
        <v>61</v>
      </c>
      <c r="O368" s="4" t="s">
        <v>25</v>
      </c>
      <c r="P368" s="4" t="s">
        <v>347</v>
      </c>
      <c r="Q368" s="4" t="s">
        <v>27</v>
      </c>
      <c r="R368" s="4"/>
    </row>
    <row r="369" spans="1:18">
      <c r="A369">
        <v>368</v>
      </c>
      <c r="B369" s="3">
        <v>46192.5242476852</v>
      </c>
      <c r="C369" s="3">
        <v>46192.525740740697</v>
      </c>
      <c r="D369" s="4" t="s">
        <v>18</v>
      </c>
      <c r="E369" s="4"/>
      <c r="F369" s="1">
        <v>46192</v>
      </c>
      <c r="G369" s="4" t="s">
        <v>569</v>
      </c>
      <c r="H369" s="4" t="s">
        <v>431</v>
      </c>
      <c r="I369" s="5" t="s">
        <v>1196</v>
      </c>
      <c r="J369" s="4" t="s">
        <v>1197</v>
      </c>
      <c r="K369" s="4" t="s">
        <v>767</v>
      </c>
      <c r="L369" s="4" t="s">
        <v>44</v>
      </c>
      <c r="M369" s="4" t="s">
        <v>226</v>
      </c>
      <c r="N369" s="4" t="s">
        <v>61</v>
      </c>
      <c r="O369" s="4" t="s">
        <v>25</v>
      </c>
      <c r="P369" s="4" t="s">
        <v>347</v>
      </c>
      <c r="Q369" s="4" t="s">
        <v>27</v>
      </c>
      <c r="R369" s="4"/>
    </row>
    <row r="370" spans="1:18">
      <c r="A370">
        <v>369</v>
      </c>
      <c r="B370" s="3">
        <v>46192.525763888902</v>
      </c>
      <c r="C370" s="3">
        <v>46192.526956018497</v>
      </c>
      <c r="D370" s="4" t="s">
        <v>18</v>
      </c>
      <c r="E370" s="4"/>
      <c r="F370" s="1">
        <v>46192</v>
      </c>
      <c r="G370" s="4" t="s">
        <v>569</v>
      </c>
      <c r="H370" s="4" t="s">
        <v>1198</v>
      </c>
      <c r="I370" s="5" t="s">
        <v>1199</v>
      </c>
      <c r="J370" s="4" t="s">
        <v>1200</v>
      </c>
      <c r="K370" s="4" t="s">
        <v>31</v>
      </c>
      <c r="L370" s="4" t="s">
        <v>44</v>
      </c>
      <c r="M370" s="4" t="s">
        <v>226</v>
      </c>
      <c r="N370" s="4" t="s">
        <v>61</v>
      </c>
      <c r="O370" s="4" t="s">
        <v>25</v>
      </c>
      <c r="P370" s="4" t="s">
        <v>36</v>
      </c>
      <c r="Q370" s="4" t="s">
        <v>27</v>
      </c>
      <c r="R370" s="4"/>
    </row>
    <row r="371" spans="1:18">
      <c r="A371">
        <v>370</v>
      </c>
      <c r="B371" s="3">
        <v>46192.526990740698</v>
      </c>
      <c r="C371" s="3">
        <v>46192.528032407397</v>
      </c>
      <c r="D371" s="4" t="s">
        <v>18</v>
      </c>
      <c r="E371" s="4"/>
      <c r="F371" s="1">
        <v>46192</v>
      </c>
      <c r="G371" s="4" t="s">
        <v>1201</v>
      </c>
      <c r="H371" s="4" t="s">
        <v>1198</v>
      </c>
      <c r="I371" s="5" t="s">
        <v>1202</v>
      </c>
      <c r="J371" s="4" t="s">
        <v>1197</v>
      </c>
      <c r="K371" s="4" t="s">
        <v>767</v>
      </c>
      <c r="L371" s="4" t="s">
        <v>44</v>
      </c>
      <c r="M371" s="4" t="s">
        <v>226</v>
      </c>
      <c r="N371" s="4" t="s">
        <v>61</v>
      </c>
      <c r="O371" s="4" t="s">
        <v>35</v>
      </c>
      <c r="P371" s="4" t="s">
        <v>36</v>
      </c>
      <c r="Q371" s="4" t="s">
        <v>27</v>
      </c>
      <c r="R371" s="4"/>
    </row>
    <row r="372" spans="1:18">
      <c r="A372">
        <v>371</v>
      </c>
      <c r="B372" s="3">
        <v>46192.888518518499</v>
      </c>
      <c r="C372" s="3">
        <v>46192.893090277801</v>
      </c>
      <c r="D372" s="4" t="s">
        <v>18</v>
      </c>
      <c r="E372" s="4"/>
      <c r="F372" s="1">
        <v>46192</v>
      </c>
      <c r="G372" s="4" t="s">
        <v>1203</v>
      </c>
      <c r="H372" s="4" t="s">
        <v>619</v>
      </c>
      <c r="I372" s="5" t="s">
        <v>1204</v>
      </c>
      <c r="J372" s="4" t="s">
        <v>1205</v>
      </c>
      <c r="K372" s="4" t="s">
        <v>1206</v>
      </c>
      <c r="L372" s="4" t="s">
        <v>91</v>
      </c>
      <c r="M372" s="4" t="s">
        <v>819</v>
      </c>
      <c r="N372" s="4" t="s">
        <v>45</v>
      </c>
      <c r="O372" s="4" t="s">
        <v>25</v>
      </c>
      <c r="P372" s="4" t="s">
        <v>92</v>
      </c>
      <c r="Q372" s="4" t="s">
        <v>79</v>
      </c>
      <c r="R372" s="4"/>
    </row>
    <row r="373" spans="1:18">
      <c r="A373">
        <v>372</v>
      </c>
      <c r="B373" s="3">
        <v>46192.899664351797</v>
      </c>
      <c r="C373" s="3">
        <v>46192.901516203703</v>
      </c>
      <c r="D373" s="4" t="s">
        <v>18</v>
      </c>
      <c r="E373" s="4"/>
      <c r="F373" s="1">
        <v>46193</v>
      </c>
      <c r="G373" s="4" t="s">
        <v>1207</v>
      </c>
      <c r="H373" s="4" t="s">
        <v>1207</v>
      </c>
      <c r="I373" s="5" t="s">
        <v>1208</v>
      </c>
      <c r="J373" s="4" t="s">
        <v>1209</v>
      </c>
      <c r="K373" s="4" t="s">
        <v>938</v>
      </c>
      <c r="L373" s="4" t="s">
        <v>91</v>
      </c>
      <c r="M373" s="4" t="s">
        <v>819</v>
      </c>
      <c r="N373" s="4" t="s">
        <v>45</v>
      </c>
      <c r="O373" s="4" t="s">
        <v>25</v>
      </c>
      <c r="P373" s="4" t="s">
        <v>36</v>
      </c>
      <c r="Q373" s="4" t="s">
        <v>79</v>
      </c>
      <c r="R373" s="4"/>
    </row>
    <row r="374" spans="1:18">
      <c r="A374">
        <v>373</v>
      </c>
      <c r="B374" s="3">
        <v>46192.901898148099</v>
      </c>
      <c r="C374" s="3">
        <v>46192.903842592597</v>
      </c>
      <c r="D374" s="4" t="s">
        <v>18</v>
      </c>
      <c r="E374" s="4"/>
      <c r="F374" s="1">
        <v>46192</v>
      </c>
      <c r="G374" s="4" t="s">
        <v>564</v>
      </c>
      <c r="H374" s="4" t="s">
        <v>554</v>
      </c>
      <c r="I374" s="5" t="s">
        <v>1210</v>
      </c>
      <c r="J374" s="4" t="s">
        <v>1211</v>
      </c>
      <c r="K374" s="4" t="s">
        <v>1212</v>
      </c>
      <c r="L374" s="4" t="s">
        <v>91</v>
      </c>
      <c r="M374" s="4" t="s">
        <v>819</v>
      </c>
      <c r="N374" s="4" t="s">
        <v>61</v>
      </c>
      <c r="O374" s="4" t="s">
        <v>25</v>
      </c>
      <c r="P374" s="4" t="s">
        <v>69</v>
      </c>
      <c r="Q374" s="4" t="s">
        <v>27</v>
      </c>
      <c r="R374" s="4"/>
    </row>
    <row r="375" spans="1:18">
      <c r="A375">
        <v>374</v>
      </c>
      <c r="B375" s="3">
        <v>46192.905451388899</v>
      </c>
      <c r="C375" s="3">
        <v>46192.906168981499</v>
      </c>
      <c r="D375" s="4" t="s">
        <v>18</v>
      </c>
      <c r="E375" s="4"/>
      <c r="F375" s="1">
        <v>46192</v>
      </c>
      <c r="G375" s="5" t="s">
        <v>1213</v>
      </c>
      <c r="H375" s="4" t="s">
        <v>454</v>
      </c>
      <c r="I375" s="5" t="s">
        <v>454</v>
      </c>
      <c r="J375" s="4" t="s">
        <v>1214</v>
      </c>
      <c r="K375" s="4" t="s">
        <v>1215</v>
      </c>
      <c r="L375" s="4" t="s">
        <v>91</v>
      </c>
      <c r="M375" s="4" t="s">
        <v>819</v>
      </c>
      <c r="N375" s="4" t="s">
        <v>61</v>
      </c>
      <c r="O375" s="4" t="s">
        <v>25</v>
      </c>
      <c r="P375" s="4" t="s">
        <v>69</v>
      </c>
      <c r="Q375" s="4" t="s">
        <v>27</v>
      </c>
      <c r="R375" s="4"/>
    </row>
    <row r="376" spans="1:18">
      <c r="A376">
        <v>375</v>
      </c>
      <c r="B376" s="3">
        <v>46192.906828703701</v>
      </c>
      <c r="C376" s="3">
        <v>46192.9086805556</v>
      </c>
      <c r="D376" s="4" t="s">
        <v>18</v>
      </c>
      <c r="E376" s="4"/>
      <c r="F376" s="1">
        <v>46192</v>
      </c>
      <c r="G376" s="4" t="s">
        <v>1216</v>
      </c>
      <c r="H376" s="4" t="s">
        <v>1217</v>
      </c>
      <c r="I376" s="5" t="s">
        <v>1218</v>
      </c>
      <c r="J376" s="4" t="s">
        <v>910</v>
      </c>
      <c r="K376" s="4" t="s">
        <v>911</v>
      </c>
      <c r="L376" s="4" t="s">
        <v>91</v>
      </c>
      <c r="M376" s="4" t="s">
        <v>45</v>
      </c>
      <c r="N376" s="4" t="s">
        <v>45</v>
      </c>
      <c r="O376" s="4" t="s">
        <v>25</v>
      </c>
      <c r="P376" s="4" t="s">
        <v>69</v>
      </c>
      <c r="Q376" s="4" t="s">
        <v>27</v>
      </c>
      <c r="R376" s="4"/>
    </row>
    <row r="377" spans="1:18">
      <c r="A377">
        <v>376</v>
      </c>
      <c r="B377" s="3">
        <v>46192.910115740699</v>
      </c>
      <c r="C377" s="3">
        <v>46192.912164351903</v>
      </c>
      <c r="D377" s="4" t="s">
        <v>18</v>
      </c>
      <c r="E377" s="4"/>
      <c r="F377" s="1">
        <v>46192</v>
      </c>
      <c r="G377" s="4" t="s">
        <v>1219</v>
      </c>
      <c r="H377" s="4" t="s">
        <v>1220</v>
      </c>
      <c r="I377" s="5" t="s">
        <v>1221</v>
      </c>
      <c r="J377" s="4" t="s">
        <v>1222</v>
      </c>
      <c r="K377" s="4" t="s">
        <v>1223</v>
      </c>
      <c r="L377" s="4" t="s">
        <v>91</v>
      </c>
      <c r="M377" s="4" t="s">
        <v>34</v>
      </c>
      <c r="N377" s="4" t="s">
        <v>117</v>
      </c>
      <c r="O377" s="4" t="s">
        <v>25</v>
      </c>
      <c r="P377" s="4" t="s">
        <v>50</v>
      </c>
      <c r="Q377" s="4" t="s">
        <v>79</v>
      </c>
      <c r="R377" s="4"/>
    </row>
    <row r="378" spans="1:18">
      <c r="A378">
        <v>377</v>
      </c>
      <c r="B378" s="3">
        <v>46193.400393518503</v>
      </c>
      <c r="C378" s="3">
        <v>46193.410057870402</v>
      </c>
      <c r="D378" s="4" t="s">
        <v>18</v>
      </c>
      <c r="E378" s="4"/>
      <c r="F378" s="1">
        <v>46193</v>
      </c>
      <c r="G378" s="4" t="s">
        <v>1224</v>
      </c>
      <c r="H378" s="4" t="s">
        <v>1224</v>
      </c>
      <c r="I378" s="5" t="s">
        <v>1225</v>
      </c>
      <c r="J378" s="4" t="s">
        <v>1226</v>
      </c>
      <c r="K378" s="4" t="s">
        <v>31</v>
      </c>
      <c r="L378" s="4" t="s">
        <v>32</v>
      </c>
      <c r="M378" s="4" t="s">
        <v>33</v>
      </c>
      <c r="N378" s="4" t="s">
        <v>117</v>
      </c>
      <c r="O378" s="4" t="s">
        <v>25</v>
      </c>
      <c r="P378" s="4" t="s">
        <v>69</v>
      </c>
      <c r="Q378" s="4" t="s">
        <v>93</v>
      </c>
      <c r="R378" s="4"/>
    </row>
    <row r="379" spans="1:18">
      <c r="A379">
        <v>378</v>
      </c>
      <c r="B379" s="3">
        <v>46193.409004629597</v>
      </c>
      <c r="C379" s="3">
        <v>46193.413148148102</v>
      </c>
      <c r="D379" s="4" t="s">
        <v>18</v>
      </c>
      <c r="E379" s="4"/>
      <c r="F379" s="1">
        <v>46193</v>
      </c>
      <c r="G379" s="4" t="s">
        <v>1227</v>
      </c>
      <c r="H379" s="4" t="s">
        <v>1227</v>
      </c>
      <c r="I379" s="5" t="s">
        <v>1228</v>
      </c>
      <c r="J379" s="4" t="s">
        <v>1229</v>
      </c>
      <c r="K379" s="4" t="s">
        <v>1230</v>
      </c>
      <c r="L379" s="4" t="s">
        <v>98</v>
      </c>
      <c r="M379" s="4" t="s">
        <v>226</v>
      </c>
      <c r="N379" s="4" t="s">
        <v>61</v>
      </c>
      <c r="O379" s="4" t="s">
        <v>25</v>
      </c>
      <c r="P379" s="4" t="s">
        <v>36</v>
      </c>
      <c r="Q379" s="4" t="s">
        <v>79</v>
      </c>
      <c r="R379" s="4"/>
    </row>
    <row r="380" spans="1:18">
      <c r="A380">
        <v>379</v>
      </c>
      <c r="B380" s="3">
        <v>46193.426458333299</v>
      </c>
      <c r="C380" s="3">
        <v>46193.432106481501</v>
      </c>
      <c r="D380" s="4" t="s">
        <v>18</v>
      </c>
      <c r="E380" s="4"/>
      <c r="F380" s="1">
        <v>46193</v>
      </c>
      <c r="G380" s="4" t="s">
        <v>458</v>
      </c>
      <c r="H380" s="4" t="s">
        <v>1231</v>
      </c>
      <c r="I380" s="5" t="s">
        <v>1232</v>
      </c>
      <c r="J380" s="4" t="s">
        <v>1233</v>
      </c>
      <c r="K380" s="4" t="s">
        <v>1234</v>
      </c>
      <c r="L380" s="4" t="s">
        <v>266</v>
      </c>
      <c r="M380" s="4" t="s">
        <v>117</v>
      </c>
      <c r="N380" s="4" t="s">
        <v>33</v>
      </c>
      <c r="O380" s="4" t="s">
        <v>25</v>
      </c>
      <c r="P380" s="4" t="s">
        <v>36</v>
      </c>
      <c r="Q380" s="4" t="s">
        <v>27</v>
      </c>
      <c r="R380" s="4"/>
    </row>
    <row r="381" spans="1:18">
      <c r="A381">
        <v>380</v>
      </c>
      <c r="B381" s="3">
        <v>46193.432141203702</v>
      </c>
      <c r="C381" s="3">
        <v>46193.433009259301</v>
      </c>
      <c r="D381" s="4" t="s">
        <v>18</v>
      </c>
      <c r="E381" s="4"/>
      <c r="F381" s="1">
        <v>46193</v>
      </c>
      <c r="G381" s="4" t="s">
        <v>458</v>
      </c>
      <c r="H381" s="4" t="s">
        <v>83</v>
      </c>
      <c r="I381" s="5" t="s">
        <v>1235</v>
      </c>
      <c r="J381" s="4" t="s">
        <v>1236</v>
      </c>
      <c r="K381" s="4" t="s">
        <v>324</v>
      </c>
      <c r="L381" s="4" t="s">
        <v>266</v>
      </c>
      <c r="M381" s="4" t="s">
        <v>117</v>
      </c>
      <c r="N381" s="4" t="s">
        <v>33</v>
      </c>
      <c r="O381" s="4" t="s">
        <v>25</v>
      </c>
      <c r="P381" s="4" t="s">
        <v>36</v>
      </c>
      <c r="Q381" s="4" t="s">
        <v>27</v>
      </c>
      <c r="R381" s="4"/>
    </row>
    <row r="382" spans="1:18">
      <c r="A382">
        <v>381</v>
      </c>
      <c r="B382" s="3">
        <v>46193.431226851899</v>
      </c>
      <c r="C382" s="3">
        <v>46193.4350694444</v>
      </c>
      <c r="D382" s="4" t="s">
        <v>18</v>
      </c>
      <c r="E382" s="4"/>
      <c r="F382" s="1">
        <v>46193</v>
      </c>
      <c r="G382" s="4" t="s">
        <v>1237</v>
      </c>
      <c r="H382" s="4" t="s">
        <v>1238</v>
      </c>
      <c r="I382" s="5" t="s">
        <v>1239</v>
      </c>
      <c r="J382" s="4" t="s">
        <v>1240</v>
      </c>
      <c r="K382" s="4" t="s">
        <v>1241</v>
      </c>
      <c r="L382" s="4" t="s">
        <v>98</v>
      </c>
      <c r="M382" s="4" t="s">
        <v>226</v>
      </c>
      <c r="N382" s="4" t="s">
        <v>61</v>
      </c>
      <c r="O382" s="4" t="s">
        <v>25</v>
      </c>
      <c r="P382" s="4" t="s">
        <v>36</v>
      </c>
      <c r="Q382" s="4" t="s">
        <v>27</v>
      </c>
      <c r="R382" s="4"/>
    </row>
    <row r="383" spans="1:18">
      <c r="A383">
        <v>382</v>
      </c>
      <c r="B383" s="3">
        <v>46193.465798611098</v>
      </c>
      <c r="C383" s="3">
        <v>46193.467025462996</v>
      </c>
      <c r="D383" s="4" t="s">
        <v>18</v>
      </c>
      <c r="E383" s="4"/>
      <c r="F383" s="1">
        <v>46193</v>
      </c>
      <c r="G383" s="4" t="s">
        <v>1242</v>
      </c>
      <c r="H383" s="4" t="s">
        <v>1242</v>
      </c>
      <c r="I383" s="5" t="s">
        <v>1243</v>
      </c>
      <c r="J383" s="4" t="s">
        <v>1244</v>
      </c>
      <c r="K383" s="4" t="s">
        <v>212</v>
      </c>
      <c r="L383" s="4" t="s">
        <v>98</v>
      </c>
      <c r="M383" s="4" t="s">
        <v>33</v>
      </c>
      <c r="N383" s="4" t="s">
        <v>61</v>
      </c>
      <c r="O383" s="4" t="s">
        <v>25</v>
      </c>
      <c r="P383" s="4" t="s">
        <v>347</v>
      </c>
      <c r="Q383" s="4" t="s">
        <v>79</v>
      </c>
      <c r="R383" s="4"/>
    </row>
    <row r="384" spans="1:18">
      <c r="A384">
        <v>383</v>
      </c>
      <c r="B384" s="3">
        <v>46193.4678472222</v>
      </c>
      <c r="C384" s="3">
        <v>46193.469317129602</v>
      </c>
      <c r="D384" s="4" t="s">
        <v>18</v>
      </c>
      <c r="E384" s="4"/>
      <c r="F384" s="1">
        <v>46193</v>
      </c>
      <c r="G384" s="4" t="s">
        <v>752</v>
      </c>
      <c r="H384" s="4" t="s">
        <v>1245</v>
      </c>
      <c r="I384" s="5" t="s">
        <v>1246</v>
      </c>
      <c r="J384" s="4" t="s">
        <v>1247</v>
      </c>
      <c r="K384" s="4" t="s">
        <v>359</v>
      </c>
      <c r="L384" s="4" t="s">
        <v>32</v>
      </c>
      <c r="M384" s="4" t="s">
        <v>33</v>
      </c>
      <c r="N384" s="4" t="s">
        <v>117</v>
      </c>
      <c r="O384" s="4" t="s">
        <v>25</v>
      </c>
      <c r="P384" s="4" t="s">
        <v>86</v>
      </c>
      <c r="Q384" s="4" t="s">
        <v>27</v>
      </c>
      <c r="R384" s="4"/>
    </row>
    <row r="385" spans="1:18">
      <c r="A385">
        <v>384</v>
      </c>
      <c r="B385" s="3">
        <v>46193.474710648203</v>
      </c>
      <c r="C385" s="3">
        <v>46193.479004629597</v>
      </c>
      <c r="D385" s="4" t="s">
        <v>18</v>
      </c>
      <c r="E385" s="4"/>
      <c r="F385" s="1">
        <v>46193</v>
      </c>
      <c r="G385" s="4" t="s">
        <v>714</v>
      </c>
      <c r="H385" s="4" t="s">
        <v>458</v>
      </c>
      <c r="I385" s="5" t="s">
        <v>1248</v>
      </c>
      <c r="J385" s="4" t="s">
        <v>1249</v>
      </c>
      <c r="K385" s="4" t="s">
        <v>665</v>
      </c>
      <c r="L385" s="4" t="s">
        <v>148</v>
      </c>
      <c r="M385" s="4" t="s">
        <v>33</v>
      </c>
      <c r="N385" s="4" t="s">
        <v>819</v>
      </c>
      <c r="O385" s="4" t="s">
        <v>35</v>
      </c>
      <c r="P385" s="4" t="s">
        <v>36</v>
      </c>
      <c r="Q385" s="4" t="s">
        <v>27</v>
      </c>
      <c r="R385" s="4"/>
    </row>
    <row r="386" spans="1:18">
      <c r="A386">
        <v>385</v>
      </c>
      <c r="B386" s="3">
        <v>46193.4786805556</v>
      </c>
      <c r="C386" s="3">
        <v>46193.479895833298</v>
      </c>
      <c r="D386" s="4" t="s">
        <v>18</v>
      </c>
      <c r="E386" s="4"/>
      <c r="F386" s="1">
        <v>46193</v>
      </c>
      <c r="G386" s="4" t="s">
        <v>714</v>
      </c>
      <c r="H386" s="4" t="s">
        <v>714</v>
      </c>
      <c r="I386" s="5" t="s">
        <v>1250</v>
      </c>
      <c r="J386" s="4" t="s">
        <v>1251</v>
      </c>
      <c r="K386" s="4" t="s">
        <v>761</v>
      </c>
      <c r="L386" s="4" t="s">
        <v>148</v>
      </c>
      <c r="M386" s="4" t="s">
        <v>33</v>
      </c>
      <c r="N386" s="4" t="s">
        <v>819</v>
      </c>
      <c r="O386" s="4" t="s">
        <v>35</v>
      </c>
      <c r="P386" s="4" t="s">
        <v>36</v>
      </c>
      <c r="Q386" s="4" t="s">
        <v>79</v>
      </c>
      <c r="R386" s="4" t="s">
        <v>1252</v>
      </c>
    </row>
    <row r="387" spans="1:18">
      <c r="A387">
        <v>386</v>
      </c>
      <c r="B387" s="3">
        <v>46193.479062500002</v>
      </c>
      <c r="C387" s="3">
        <v>46193.480937499997</v>
      </c>
      <c r="D387" s="4" t="s">
        <v>18</v>
      </c>
      <c r="E387" s="4"/>
      <c r="F387" s="1">
        <v>46193</v>
      </c>
      <c r="G387" s="4" t="s">
        <v>1253</v>
      </c>
      <c r="H387" s="4" t="s">
        <v>1254</v>
      </c>
      <c r="I387" s="5" t="s">
        <v>1255</v>
      </c>
      <c r="J387" s="4" t="s">
        <v>1256</v>
      </c>
      <c r="K387" s="4" t="s">
        <v>492</v>
      </c>
      <c r="L387" s="4" t="s">
        <v>148</v>
      </c>
      <c r="M387" s="4" t="s">
        <v>33</v>
      </c>
      <c r="N387" s="4" t="s">
        <v>819</v>
      </c>
      <c r="O387" s="4" t="s">
        <v>35</v>
      </c>
      <c r="P387" s="4" t="s">
        <v>36</v>
      </c>
      <c r="Q387" s="4" t="s">
        <v>27</v>
      </c>
      <c r="R387" s="4"/>
    </row>
    <row r="388" spans="1:18">
      <c r="A388">
        <v>387</v>
      </c>
      <c r="B388" s="3">
        <v>46193.481979166703</v>
      </c>
      <c r="C388" s="3">
        <v>46193.482673611099</v>
      </c>
      <c r="D388" s="4" t="s">
        <v>18</v>
      </c>
      <c r="E388" s="4"/>
      <c r="F388" s="1">
        <v>46193</v>
      </c>
      <c r="G388" s="4" t="s">
        <v>62</v>
      </c>
      <c r="H388" s="4" t="s">
        <v>62</v>
      </c>
      <c r="I388" s="5" t="s">
        <v>1257</v>
      </c>
      <c r="J388" s="4" t="s">
        <v>1258</v>
      </c>
      <c r="K388" s="4" t="s">
        <v>1259</v>
      </c>
      <c r="L388" s="4" t="s">
        <v>148</v>
      </c>
      <c r="M388" s="4" t="s">
        <v>33</v>
      </c>
      <c r="N388" s="4" t="s">
        <v>112</v>
      </c>
      <c r="O388" s="4" t="s">
        <v>25</v>
      </c>
      <c r="P388" s="4" t="s">
        <v>36</v>
      </c>
      <c r="Q388" s="4" t="s">
        <v>79</v>
      </c>
      <c r="R388" s="4"/>
    </row>
    <row r="389" spans="1:18">
      <c r="A389">
        <v>388</v>
      </c>
      <c r="B389" s="3">
        <v>46193.516620370399</v>
      </c>
      <c r="C389" s="3">
        <v>46193.518634259301</v>
      </c>
      <c r="D389" s="4" t="s">
        <v>18</v>
      </c>
      <c r="E389" s="4"/>
      <c r="F389" s="1">
        <v>46193</v>
      </c>
      <c r="G389" s="4" t="s">
        <v>1260</v>
      </c>
      <c r="H389" s="4" t="s">
        <v>1260</v>
      </c>
      <c r="I389" s="5" t="s">
        <v>1261</v>
      </c>
      <c r="J389" s="4" t="s">
        <v>1262</v>
      </c>
      <c r="K389" s="4" t="s">
        <v>1263</v>
      </c>
      <c r="L389" s="4" t="s">
        <v>91</v>
      </c>
      <c r="M389" s="4" t="s">
        <v>112</v>
      </c>
      <c r="N389" s="4" t="s">
        <v>117</v>
      </c>
      <c r="O389" s="4" t="s">
        <v>25</v>
      </c>
      <c r="P389" s="4" t="s">
        <v>50</v>
      </c>
      <c r="Q389" s="4" t="s">
        <v>79</v>
      </c>
      <c r="R389" s="4"/>
    </row>
    <row r="390" spans="1:18">
      <c r="A390">
        <v>389</v>
      </c>
      <c r="B390" s="3">
        <v>46193.518726851798</v>
      </c>
      <c r="C390" s="3">
        <v>46193.520231481503</v>
      </c>
      <c r="D390" s="4" t="s">
        <v>18</v>
      </c>
      <c r="E390" s="4"/>
      <c r="F390" s="1">
        <v>46193</v>
      </c>
      <c r="G390" s="4" t="s">
        <v>680</v>
      </c>
      <c r="H390" s="4" t="s">
        <v>1102</v>
      </c>
      <c r="I390" s="5" t="s">
        <v>1264</v>
      </c>
      <c r="J390" s="4" t="s">
        <v>1265</v>
      </c>
      <c r="K390" s="4" t="s">
        <v>1266</v>
      </c>
      <c r="L390" s="4" t="s">
        <v>91</v>
      </c>
      <c r="M390" s="4" t="s">
        <v>112</v>
      </c>
      <c r="N390" s="4" t="s">
        <v>117</v>
      </c>
      <c r="O390" s="4" t="s">
        <v>25</v>
      </c>
      <c r="P390" s="4" t="s">
        <v>69</v>
      </c>
      <c r="Q390" s="4" t="s">
        <v>27</v>
      </c>
      <c r="R390" s="4"/>
    </row>
    <row r="391" spans="1:18">
      <c r="A391">
        <v>390</v>
      </c>
      <c r="B391" s="3">
        <v>46193.520312499997</v>
      </c>
      <c r="C391" s="3">
        <v>46193.521446759303</v>
      </c>
      <c r="D391" s="4" t="s">
        <v>18</v>
      </c>
      <c r="E391" s="4"/>
      <c r="F391" s="1">
        <v>46193</v>
      </c>
      <c r="G391" s="4" t="s">
        <v>680</v>
      </c>
      <c r="H391" s="4" t="s">
        <v>1043</v>
      </c>
      <c r="I391" s="5" t="s">
        <v>1267</v>
      </c>
      <c r="J391" s="4" t="s">
        <v>1268</v>
      </c>
      <c r="K391" s="4" t="s">
        <v>1269</v>
      </c>
      <c r="L391" s="4" t="s">
        <v>91</v>
      </c>
      <c r="M391" s="4" t="s">
        <v>112</v>
      </c>
      <c r="N391" s="4" t="s">
        <v>117</v>
      </c>
      <c r="O391" s="4" t="s">
        <v>25</v>
      </c>
      <c r="P391" s="4" t="s">
        <v>69</v>
      </c>
      <c r="Q391" s="4" t="s">
        <v>27</v>
      </c>
      <c r="R391" s="4"/>
    </row>
    <row r="392" spans="1:18">
      <c r="A392">
        <v>391</v>
      </c>
      <c r="B392" s="3">
        <v>46193.521574074097</v>
      </c>
      <c r="C392" s="3">
        <v>46193.523854166699</v>
      </c>
      <c r="D392" s="4" t="s">
        <v>18</v>
      </c>
      <c r="E392" s="4"/>
      <c r="F392" s="1">
        <v>46193</v>
      </c>
      <c r="G392" s="4" t="s">
        <v>1270</v>
      </c>
      <c r="H392" s="4" t="s">
        <v>1271</v>
      </c>
      <c r="I392" s="5" t="s">
        <v>1272</v>
      </c>
      <c r="J392" s="4" t="s">
        <v>1273</v>
      </c>
      <c r="K392" s="4" t="s">
        <v>477</v>
      </c>
      <c r="L392" s="4" t="s">
        <v>91</v>
      </c>
      <c r="M392" s="4" t="s">
        <v>33</v>
      </c>
      <c r="N392" s="4" t="s">
        <v>819</v>
      </c>
      <c r="O392" s="4" t="s">
        <v>25</v>
      </c>
      <c r="P392" s="4" t="s">
        <v>36</v>
      </c>
      <c r="Q392" s="4" t="s">
        <v>79</v>
      </c>
      <c r="R392" s="4"/>
    </row>
    <row r="393" spans="1:18">
      <c r="A393">
        <v>392</v>
      </c>
      <c r="B393" s="3">
        <v>46193.589479166701</v>
      </c>
      <c r="C393" s="3">
        <v>46193.5910532407</v>
      </c>
      <c r="D393" s="4" t="s">
        <v>18</v>
      </c>
      <c r="E393" s="4"/>
      <c r="F393" s="1">
        <v>46193</v>
      </c>
      <c r="G393" s="4" t="s">
        <v>134</v>
      </c>
      <c r="H393" s="4" t="s">
        <v>62</v>
      </c>
      <c r="I393" s="5" t="s">
        <v>1274</v>
      </c>
      <c r="J393" s="4" t="s">
        <v>1275</v>
      </c>
      <c r="K393" s="4" t="s">
        <v>31</v>
      </c>
      <c r="L393" s="4" t="s">
        <v>44</v>
      </c>
      <c r="M393" s="4" t="s">
        <v>226</v>
      </c>
      <c r="N393" s="4" t="s">
        <v>61</v>
      </c>
      <c r="O393" s="4" t="s">
        <v>25</v>
      </c>
      <c r="P393" s="4" t="s">
        <v>36</v>
      </c>
      <c r="Q393" s="4" t="s">
        <v>27</v>
      </c>
      <c r="R393" s="4"/>
    </row>
    <row r="394" spans="1:18">
      <c r="A394">
        <v>393</v>
      </c>
      <c r="B394" s="3">
        <v>46193.591342592597</v>
      </c>
      <c r="C394" s="3">
        <v>46193.5928472222</v>
      </c>
      <c r="D394" s="4" t="s">
        <v>18</v>
      </c>
      <c r="E394" s="4"/>
      <c r="F394" s="1">
        <v>46193</v>
      </c>
      <c r="G394" s="4" t="s">
        <v>134</v>
      </c>
      <c r="H394" s="4" t="s">
        <v>438</v>
      </c>
      <c r="I394" s="5" t="s">
        <v>1276</v>
      </c>
      <c r="J394" s="4" t="s">
        <v>1277</v>
      </c>
      <c r="K394" s="4" t="s">
        <v>883</v>
      </c>
      <c r="L394" s="4" t="s">
        <v>44</v>
      </c>
      <c r="M394" s="4" t="s">
        <v>226</v>
      </c>
      <c r="N394" s="4" t="s">
        <v>61</v>
      </c>
      <c r="O394" s="4" t="s">
        <v>25</v>
      </c>
      <c r="P394" s="4" t="s">
        <v>69</v>
      </c>
      <c r="Q394" s="4" t="s">
        <v>27</v>
      </c>
      <c r="R394" s="4"/>
    </row>
    <row r="395" spans="1:18">
      <c r="A395">
        <v>394</v>
      </c>
      <c r="B395" s="3">
        <v>46193.5929398148</v>
      </c>
      <c r="C395" s="3">
        <v>46193.594768518502</v>
      </c>
      <c r="D395" s="4" t="s">
        <v>18</v>
      </c>
      <c r="E395" s="4"/>
      <c r="F395" s="1">
        <v>46193</v>
      </c>
      <c r="G395" s="4" t="s">
        <v>134</v>
      </c>
      <c r="H395" s="4" t="s">
        <v>438</v>
      </c>
      <c r="I395" s="5" t="s">
        <v>1278</v>
      </c>
      <c r="J395" s="4" t="s">
        <v>993</v>
      </c>
      <c r="K395" s="4" t="s">
        <v>31</v>
      </c>
      <c r="L395" s="4" t="s">
        <v>44</v>
      </c>
      <c r="M395" s="4" t="s">
        <v>226</v>
      </c>
      <c r="N395" s="4" t="s">
        <v>61</v>
      </c>
      <c r="O395" s="4" t="s">
        <v>25</v>
      </c>
      <c r="P395" s="4" t="s">
        <v>347</v>
      </c>
      <c r="Q395" s="4" t="s">
        <v>27</v>
      </c>
      <c r="R395" s="4"/>
    </row>
    <row r="396" spans="1:18">
      <c r="A396">
        <v>395</v>
      </c>
      <c r="B396" s="3">
        <v>46193.595023148097</v>
      </c>
      <c r="C396" s="3">
        <v>46193.595613425903</v>
      </c>
      <c r="D396" s="4" t="s">
        <v>18</v>
      </c>
      <c r="E396" s="4"/>
      <c r="F396" s="1">
        <v>46193</v>
      </c>
      <c r="G396" s="4" t="s">
        <v>134</v>
      </c>
      <c r="H396" s="4" t="s">
        <v>1182</v>
      </c>
      <c r="I396" s="5" t="s">
        <v>1279</v>
      </c>
      <c r="J396" s="4" t="s">
        <v>1280</v>
      </c>
      <c r="K396" s="4" t="s">
        <v>767</v>
      </c>
      <c r="L396" s="4" t="s">
        <v>44</v>
      </c>
      <c r="M396" s="4" t="s">
        <v>226</v>
      </c>
      <c r="N396" s="4" t="s">
        <v>61</v>
      </c>
      <c r="O396" s="4" t="s">
        <v>25</v>
      </c>
      <c r="P396" s="4" t="s">
        <v>347</v>
      </c>
      <c r="Q396" s="4" t="s">
        <v>27</v>
      </c>
      <c r="R396" s="4"/>
    </row>
    <row r="397" spans="1:18">
      <c r="A397">
        <v>396</v>
      </c>
      <c r="B397" s="3">
        <v>46194.356284722198</v>
      </c>
      <c r="C397" s="3">
        <v>46194.358356481498</v>
      </c>
      <c r="D397" s="4" t="s">
        <v>18</v>
      </c>
      <c r="E397" s="4"/>
      <c r="F397" s="1">
        <v>46193</v>
      </c>
      <c r="G397" s="4" t="s">
        <v>123</v>
      </c>
      <c r="H397" s="4" t="s">
        <v>123</v>
      </c>
      <c r="I397" s="5" t="s">
        <v>1281</v>
      </c>
      <c r="J397" s="4" t="s">
        <v>1282</v>
      </c>
      <c r="K397" s="4" t="s">
        <v>128</v>
      </c>
      <c r="L397" s="4" t="s">
        <v>23</v>
      </c>
      <c r="M397" s="4" t="s">
        <v>117</v>
      </c>
      <c r="N397" s="4" t="s">
        <v>33</v>
      </c>
      <c r="O397" s="4" t="s">
        <v>25</v>
      </c>
      <c r="P397" s="4" t="s">
        <v>92</v>
      </c>
      <c r="Q397" s="4" t="s">
        <v>27</v>
      </c>
      <c r="R397" s="4"/>
    </row>
    <row r="398" spans="1:18">
      <c r="A398">
        <v>397</v>
      </c>
      <c r="B398" s="3">
        <v>46194.358541666697</v>
      </c>
      <c r="C398" s="3">
        <v>46194.360763888901</v>
      </c>
      <c r="D398" s="4" t="s">
        <v>18</v>
      </c>
      <c r="E398" s="4"/>
      <c r="F398" s="1">
        <v>46193</v>
      </c>
      <c r="G398" s="4" t="s">
        <v>123</v>
      </c>
      <c r="H398" s="4" t="s">
        <v>123</v>
      </c>
      <c r="I398" s="5" t="s">
        <v>1283</v>
      </c>
      <c r="J398" s="4" t="s">
        <v>1284</v>
      </c>
      <c r="K398" s="4" t="s">
        <v>1111</v>
      </c>
      <c r="L398" s="4" t="s">
        <v>23</v>
      </c>
      <c r="M398" s="4" t="s">
        <v>33</v>
      </c>
      <c r="N398" s="4" t="s">
        <v>117</v>
      </c>
      <c r="O398" s="4" t="s">
        <v>25</v>
      </c>
      <c r="P398" s="4" t="s">
        <v>92</v>
      </c>
      <c r="Q398" s="4" t="s">
        <v>27</v>
      </c>
      <c r="R398" s="4"/>
    </row>
    <row r="399" spans="1:18">
      <c r="A399">
        <v>398</v>
      </c>
      <c r="B399" s="3">
        <v>46194.361064814802</v>
      </c>
      <c r="C399" s="3">
        <v>46194.362754629597</v>
      </c>
      <c r="D399" s="4" t="s">
        <v>18</v>
      </c>
      <c r="E399" s="4"/>
      <c r="F399" s="1">
        <v>46193</v>
      </c>
      <c r="G399" s="4" t="s">
        <v>123</v>
      </c>
      <c r="H399" s="4" t="s">
        <v>123</v>
      </c>
      <c r="I399" s="5" t="s">
        <v>1285</v>
      </c>
      <c r="J399" s="4" t="s">
        <v>1286</v>
      </c>
      <c r="K399" s="4" t="s">
        <v>22</v>
      </c>
      <c r="L399" s="4" t="s">
        <v>23</v>
      </c>
      <c r="M399" s="4" t="s">
        <v>819</v>
      </c>
      <c r="N399" s="4" t="s">
        <v>112</v>
      </c>
      <c r="O399" s="4" t="s">
        <v>25</v>
      </c>
      <c r="P399" s="4" t="s">
        <v>347</v>
      </c>
      <c r="Q399" s="4" t="s">
        <v>79</v>
      </c>
      <c r="R399" s="4"/>
    </row>
    <row r="400" spans="1:18">
      <c r="A400">
        <v>399</v>
      </c>
      <c r="B400" s="3">
        <v>46194.509629629603</v>
      </c>
      <c r="C400" s="3">
        <v>46194.510671296302</v>
      </c>
      <c r="D400" s="4" t="s">
        <v>18</v>
      </c>
      <c r="E400" s="4"/>
      <c r="F400" s="1">
        <v>46194</v>
      </c>
      <c r="G400" s="4" t="s">
        <v>1287</v>
      </c>
      <c r="H400" s="4" t="s">
        <v>619</v>
      </c>
      <c r="I400" s="5" t="s">
        <v>1288</v>
      </c>
      <c r="J400" s="4" t="s">
        <v>1289</v>
      </c>
      <c r="K400" s="4" t="s">
        <v>761</v>
      </c>
      <c r="L400" s="4" t="s">
        <v>148</v>
      </c>
      <c r="M400" s="4" t="s">
        <v>112</v>
      </c>
      <c r="N400" s="4" t="s">
        <v>45</v>
      </c>
      <c r="O400" s="4" t="s">
        <v>35</v>
      </c>
      <c r="P400" s="4" t="s">
        <v>36</v>
      </c>
      <c r="Q400" s="4" t="s">
        <v>79</v>
      </c>
      <c r="R400" s="4"/>
    </row>
    <row r="401" spans="1:18">
      <c r="A401">
        <v>400</v>
      </c>
      <c r="B401" s="3">
        <v>46194.510694444398</v>
      </c>
      <c r="C401" s="3">
        <v>46194.512407407397</v>
      </c>
      <c r="D401" s="4" t="s">
        <v>18</v>
      </c>
      <c r="E401" s="4"/>
      <c r="F401" s="1">
        <v>46194</v>
      </c>
      <c r="G401" s="4" t="s">
        <v>137</v>
      </c>
      <c r="H401" s="4" t="s">
        <v>137</v>
      </c>
      <c r="I401" s="5" t="s">
        <v>1290</v>
      </c>
      <c r="J401" s="4" t="s">
        <v>1291</v>
      </c>
      <c r="K401" s="4" t="s">
        <v>1259</v>
      </c>
      <c r="L401" s="4" t="s">
        <v>148</v>
      </c>
      <c r="M401" s="4" t="s">
        <v>112</v>
      </c>
      <c r="N401" s="4" t="s">
        <v>45</v>
      </c>
      <c r="O401" s="4" t="s">
        <v>25</v>
      </c>
      <c r="P401" s="4" t="s">
        <v>50</v>
      </c>
      <c r="Q401" s="4" t="s">
        <v>79</v>
      </c>
      <c r="R401" s="4"/>
    </row>
    <row r="402" spans="1:18">
      <c r="A402">
        <v>401</v>
      </c>
      <c r="B402" s="3">
        <v>46194.512430555602</v>
      </c>
      <c r="C402" s="3">
        <v>46194.513518518499</v>
      </c>
      <c r="D402" s="4" t="s">
        <v>18</v>
      </c>
      <c r="E402" s="4"/>
      <c r="F402" s="1">
        <v>46194</v>
      </c>
      <c r="G402" s="4" t="s">
        <v>454</v>
      </c>
      <c r="H402" s="4" t="s">
        <v>454</v>
      </c>
      <c r="I402" s="5" t="s">
        <v>1292</v>
      </c>
      <c r="J402" s="4" t="s">
        <v>1293</v>
      </c>
      <c r="K402" s="4" t="s">
        <v>665</v>
      </c>
      <c r="L402" s="4" t="s">
        <v>148</v>
      </c>
      <c r="M402" s="4" t="s">
        <v>112</v>
      </c>
      <c r="N402" s="4" t="s">
        <v>45</v>
      </c>
      <c r="O402" s="4" t="s">
        <v>25</v>
      </c>
      <c r="P402" s="4" t="s">
        <v>50</v>
      </c>
      <c r="Q402" s="4" t="s">
        <v>79</v>
      </c>
      <c r="R402" s="4"/>
    </row>
    <row r="403" spans="1:18">
      <c r="A403">
        <v>402</v>
      </c>
      <c r="B403" s="3">
        <v>46194.674097222203</v>
      </c>
      <c r="C403" s="3">
        <v>46194.675833333298</v>
      </c>
      <c r="D403" s="4" t="s">
        <v>18</v>
      </c>
      <c r="E403" s="4"/>
      <c r="F403" s="1">
        <v>46194</v>
      </c>
      <c r="G403" s="4" t="s">
        <v>1094</v>
      </c>
      <c r="H403" s="4" t="s">
        <v>140</v>
      </c>
      <c r="I403" s="5" t="s">
        <v>1294</v>
      </c>
      <c r="J403" s="4" t="s">
        <v>1295</v>
      </c>
      <c r="K403" s="4" t="s">
        <v>1157</v>
      </c>
      <c r="L403" s="4" t="s">
        <v>91</v>
      </c>
      <c r="M403" s="4" t="s">
        <v>117</v>
      </c>
      <c r="N403" s="4" t="s">
        <v>112</v>
      </c>
      <c r="O403" s="4" t="s">
        <v>25</v>
      </c>
      <c r="P403" s="4" t="s">
        <v>50</v>
      </c>
      <c r="Q403" s="4" t="s">
        <v>79</v>
      </c>
      <c r="R403" s="4"/>
    </row>
    <row r="404" spans="1:18">
      <c r="A404">
        <v>403</v>
      </c>
      <c r="B404" s="3">
        <v>46194.675937499997</v>
      </c>
      <c r="C404" s="3">
        <v>46194.677453703698</v>
      </c>
      <c r="D404" s="4" t="s">
        <v>18</v>
      </c>
      <c r="E404" s="4"/>
      <c r="F404" s="1">
        <v>46194</v>
      </c>
      <c r="G404" s="4" t="s">
        <v>961</v>
      </c>
      <c r="H404" s="4" t="s">
        <v>1296</v>
      </c>
      <c r="I404" s="5" t="s">
        <v>1297</v>
      </c>
      <c r="J404" s="4" t="s">
        <v>1298</v>
      </c>
      <c r="K404" s="4" t="s">
        <v>1299</v>
      </c>
      <c r="L404" s="4" t="s">
        <v>91</v>
      </c>
      <c r="M404" s="4" t="s">
        <v>112</v>
      </c>
      <c r="N404" s="4" t="s">
        <v>117</v>
      </c>
      <c r="O404" s="4" t="s">
        <v>25</v>
      </c>
      <c r="P404" s="4" t="s">
        <v>69</v>
      </c>
      <c r="Q404" s="4" t="s">
        <v>27</v>
      </c>
      <c r="R404" s="4"/>
    </row>
    <row r="405" spans="1:18">
      <c r="A405">
        <v>404</v>
      </c>
      <c r="B405" s="3">
        <v>46194.677592592598</v>
      </c>
      <c r="C405" s="3">
        <v>46194.679259259297</v>
      </c>
      <c r="D405" s="4" t="s">
        <v>18</v>
      </c>
      <c r="E405" s="4"/>
      <c r="F405" s="1">
        <v>46194</v>
      </c>
      <c r="G405" s="4" t="s">
        <v>1300</v>
      </c>
      <c r="H405" s="4" t="s">
        <v>51</v>
      </c>
      <c r="I405" s="5" t="s">
        <v>1301</v>
      </c>
      <c r="J405" s="4" t="s">
        <v>1302</v>
      </c>
      <c r="K405" s="4" t="s">
        <v>1303</v>
      </c>
      <c r="L405" s="4" t="s">
        <v>91</v>
      </c>
      <c r="M405" s="4" t="s">
        <v>117</v>
      </c>
      <c r="N405" s="4" t="s">
        <v>45</v>
      </c>
      <c r="O405" s="4" t="s">
        <v>25</v>
      </c>
      <c r="P405" s="4" t="s">
        <v>36</v>
      </c>
      <c r="Q405" s="4" t="s">
        <v>79</v>
      </c>
      <c r="R405" s="4"/>
    </row>
    <row r="406" spans="1:18">
      <c r="A406">
        <v>405</v>
      </c>
      <c r="B406" s="3">
        <v>46194.6793287037</v>
      </c>
      <c r="C406" s="3">
        <v>46194.685023148202</v>
      </c>
      <c r="D406" s="4" t="s">
        <v>18</v>
      </c>
      <c r="E406" s="4"/>
      <c r="F406" s="1">
        <v>46194</v>
      </c>
      <c r="G406" s="4" t="s">
        <v>1304</v>
      </c>
      <c r="H406" s="4" t="s">
        <v>1304</v>
      </c>
      <c r="I406" s="5" t="s">
        <v>1305</v>
      </c>
      <c r="J406" s="4" t="s">
        <v>1306</v>
      </c>
      <c r="K406" s="4" t="s">
        <v>1307</v>
      </c>
      <c r="L406" s="4" t="s">
        <v>91</v>
      </c>
      <c r="M406" s="4" t="s">
        <v>112</v>
      </c>
      <c r="N406" s="4" t="s">
        <v>45</v>
      </c>
      <c r="O406" s="4" t="s">
        <v>25</v>
      </c>
      <c r="P406" s="4" t="s">
        <v>50</v>
      </c>
      <c r="Q406" s="4" t="s">
        <v>79</v>
      </c>
      <c r="R406" s="4"/>
    </row>
    <row r="407" spans="1:18">
      <c r="A407">
        <v>406</v>
      </c>
      <c r="B407" s="3">
        <v>46195.403587963003</v>
      </c>
      <c r="C407" s="3">
        <v>46195.405740740702</v>
      </c>
      <c r="D407" s="4" t="s">
        <v>18</v>
      </c>
      <c r="E407" s="4"/>
      <c r="F407" s="1">
        <v>46195</v>
      </c>
      <c r="G407" s="4" t="s">
        <v>1238</v>
      </c>
      <c r="H407" s="4" t="s">
        <v>1238</v>
      </c>
      <c r="I407" s="5" t="s">
        <v>1308</v>
      </c>
      <c r="J407" s="4" t="s">
        <v>1309</v>
      </c>
      <c r="K407" s="4" t="s">
        <v>1310</v>
      </c>
      <c r="L407" s="4" t="s">
        <v>98</v>
      </c>
      <c r="M407" s="4" t="s">
        <v>34</v>
      </c>
      <c r="N407" s="4" t="s">
        <v>226</v>
      </c>
      <c r="O407" s="4" t="s">
        <v>25</v>
      </c>
      <c r="P407" s="4" t="s">
        <v>36</v>
      </c>
      <c r="Q407" s="4" t="s">
        <v>27</v>
      </c>
      <c r="R407" s="4"/>
    </row>
    <row r="408" spans="1:18">
      <c r="A408">
        <v>407</v>
      </c>
      <c r="B408" s="3">
        <v>46195.410833333299</v>
      </c>
      <c r="C408" s="3">
        <v>46195.414143518501</v>
      </c>
      <c r="D408" s="4" t="s">
        <v>18</v>
      </c>
      <c r="E408" s="4"/>
      <c r="F408" s="1">
        <v>46195</v>
      </c>
      <c r="G408" s="4" t="s">
        <v>1311</v>
      </c>
      <c r="H408" s="4" t="s">
        <v>207</v>
      </c>
      <c r="I408" s="5" t="s">
        <v>1312</v>
      </c>
      <c r="J408" s="4" t="s">
        <v>1313</v>
      </c>
      <c r="K408" s="4" t="s">
        <v>212</v>
      </c>
      <c r="L408" s="4" t="s">
        <v>98</v>
      </c>
      <c r="M408" s="4" t="s">
        <v>34</v>
      </c>
      <c r="N408" s="4" t="s">
        <v>226</v>
      </c>
      <c r="O408" s="4" t="s">
        <v>25</v>
      </c>
      <c r="P408" s="4" t="s">
        <v>36</v>
      </c>
      <c r="Q408" s="4" t="s">
        <v>27</v>
      </c>
      <c r="R408" s="4"/>
    </row>
    <row r="409" spans="1:18">
      <c r="A409">
        <v>408</v>
      </c>
      <c r="B409" s="3">
        <v>46195.424085648097</v>
      </c>
      <c r="C409" s="3">
        <v>46195.428738425901</v>
      </c>
      <c r="D409" s="4" t="s">
        <v>18</v>
      </c>
      <c r="E409" s="4"/>
      <c r="F409" s="1">
        <v>46195</v>
      </c>
      <c r="G409" s="4" t="s">
        <v>397</v>
      </c>
      <c r="H409" s="4" t="s">
        <v>343</v>
      </c>
      <c r="I409" s="5" t="s">
        <v>1314</v>
      </c>
      <c r="J409" s="4" t="s">
        <v>1315</v>
      </c>
      <c r="K409" s="4" t="s">
        <v>1316</v>
      </c>
      <c r="L409" s="4" t="s">
        <v>23</v>
      </c>
      <c r="M409" s="4" t="s">
        <v>60</v>
      </c>
      <c r="N409" s="4" t="s">
        <v>34</v>
      </c>
      <c r="O409" s="4" t="s">
        <v>25</v>
      </c>
      <c r="P409" s="4" t="s">
        <v>26</v>
      </c>
      <c r="Q409" s="4" t="s">
        <v>27</v>
      </c>
      <c r="R409" s="4" t="s">
        <v>1317</v>
      </c>
    </row>
    <row r="410" spans="1:18">
      <c r="A410">
        <v>409</v>
      </c>
      <c r="B410" s="3">
        <v>46195.429745370398</v>
      </c>
      <c r="C410" s="3">
        <v>46195.431527777801</v>
      </c>
      <c r="D410" s="4" t="s">
        <v>18</v>
      </c>
      <c r="E410" s="4"/>
      <c r="F410" s="1">
        <v>46195</v>
      </c>
      <c r="G410" s="4" t="s">
        <v>397</v>
      </c>
      <c r="H410" s="4" t="s">
        <v>343</v>
      </c>
      <c r="I410" s="5" t="s">
        <v>1318</v>
      </c>
      <c r="J410" s="4" t="s">
        <v>1319</v>
      </c>
      <c r="K410" s="4" t="s">
        <v>128</v>
      </c>
      <c r="L410" s="4" t="s">
        <v>23</v>
      </c>
      <c r="M410" s="4" t="s">
        <v>34</v>
      </c>
      <c r="N410" s="4" t="s">
        <v>45</v>
      </c>
      <c r="O410" s="4" t="s">
        <v>25</v>
      </c>
      <c r="P410" s="4" t="s">
        <v>347</v>
      </c>
      <c r="Q410" s="4" t="s">
        <v>27</v>
      </c>
      <c r="R410" s="4" t="s">
        <v>1320</v>
      </c>
    </row>
    <row r="411" spans="1:18">
      <c r="A411">
        <v>410</v>
      </c>
      <c r="B411" s="3">
        <v>46195.432534722197</v>
      </c>
      <c r="C411" s="3">
        <v>46195.4344444444</v>
      </c>
      <c r="D411" s="4" t="s">
        <v>18</v>
      </c>
      <c r="E411" s="4"/>
      <c r="F411" s="1">
        <v>46195</v>
      </c>
      <c r="G411" s="4" t="s">
        <v>1321</v>
      </c>
      <c r="H411" s="4" t="s">
        <v>1322</v>
      </c>
      <c r="I411" s="5" t="s">
        <v>1323</v>
      </c>
      <c r="J411" s="4" t="s">
        <v>1324</v>
      </c>
      <c r="K411" s="4" t="s">
        <v>359</v>
      </c>
      <c r="L411" s="4" t="s">
        <v>32</v>
      </c>
      <c r="M411" s="4" t="s">
        <v>45</v>
      </c>
      <c r="N411" s="4" t="s">
        <v>34</v>
      </c>
      <c r="O411" s="4" t="s">
        <v>35</v>
      </c>
      <c r="P411" s="4" t="s">
        <v>86</v>
      </c>
      <c r="Q411" s="4" t="s">
        <v>27</v>
      </c>
      <c r="R411" s="4"/>
    </row>
    <row r="412" spans="1:18">
      <c r="A412">
        <v>411</v>
      </c>
      <c r="B412" s="3">
        <v>46195.453287037002</v>
      </c>
      <c r="C412" s="3">
        <v>46195.454571759299</v>
      </c>
      <c r="D412" s="4" t="s">
        <v>18</v>
      </c>
      <c r="E412" s="4"/>
      <c r="F412" s="1">
        <v>46195</v>
      </c>
      <c r="G412" s="4" t="s">
        <v>1325</v>
      </c>
      <c r="H412" s="4" t="s">
        <v>1326</v>
      </c>
      <c r="I412" s="5" t="s">
        <v>1327</v>
      </c>
      <c r="J412" s="4" t="s">
        <v>1328</v>
      </c>
      <c r="K412" s="4" t="s">
        <v>324</v>
      </c>
      <c r="L412" s="4" t="s">
        <v>266</v>
      </c>
      <c r="M412" s="4" t="s">
        <v>45</v>
      </c>
      <c r="N412" s="4" t="s">
        <v>226</v>
      </c>
      <c r="O412" s="4" t="s">
        <v>25</v>
      </c>
      <c r="P412" s="4" t="s">
        <v>36</v>
      </c>
      <c r="Q412" s="4" t="s">
        <v>27</v>
      </c>
      <c r="R412" s="4"/>
    </row>
    <row r="413" spans="1:18">
      <c r="A413">
        <v>412</v>
      </c>
      <c r="B413" s="3">
        <v>46195.476678240702</v>
      </c>
      <c r="C413" s="3">
        <v>46195.478402777801</v>
      </c>
      <c r="D413" s="4" t="s">
        <v>18</v>
      </c>
      <c r="E413" s="4"/>
      <c r="F413" s="1">
        <v>46195</v>
      </c>
      <c r="G413" s="4" t="s">
        <v>144</v>
      </c>
      <c r="H413" s="4" t="s">
        <v>1329</v>
      </c>
      <c r="I413" s="5" t="s">
        <v>1330</v>
      </c>
      <c r="J413" s="4" t="s">
        <v>1331</v>
      </c>
      <c r="K413" s="4" t="s">
        <v>1332</v>
      </c>
      <c r="L413" s="4" t="s">
        <v>266</v>
      </c>
      <c r="M413" s="4" t="s">
        <v>45</v>
      </c>
      <c r="N413" s="4" t="s">
        <v>226</v>
      </c>
      <c r="O413" s="4" t="s">
        <v>25</v>
      </c>
      <c r="P413" s="4" t="s">
        <v>36</v>
      </c>
      <c r="Q413" s="4" t="s">
        <v>27</v>
      </c>
      <c r="R413" s="4"/>
    </row>
    <row r="414" spans="1:18">
      <c r="A414">
        <v>413</v>
      </c>
      <c r="B414" s="3">
        <v>46195.477858796301</v>
      </c>
      <c r="C414" s="3">
        <v>46195.479120370401</v>
      </c>
      <c r="D414" s="4" t="s">
        <v>18</v>
      </c>
      <c r="E414" s="4"/>
      <c r="F414" s="1">
        <v>46195</v>
      </c>
      <c r="G414" s="4" t="s">
        <v>1231</v>
      </c>
      <c r="H414" s="4" t="s">
        <v>83</v>
      </c>
      <c r="I414" s="5" t="s">
        <v>1333</v>
      </c>
      <c r="J414" s="4" t="s">
        <v>1334</v>
      </c>
      <c r="K414" s="4" t="s">
        <v>31</v>
      </c>
      <c r="L414" s="4" t="s">
        <v>44</v>
      </c>
      <c r="M414" s="4" t="s">
        <v>34</v>
      </c>
      <c r="N414" s="4" t="s">
        <v>45</v>
      </c>
      <c r="O414" s="4" t="s">
        <v>25</v>
      </c>
      <c r="P414" s="4" t="s">
        <v>36</v>
      </c>
      <c r="Q414" s="4" t="s">
        <v>27</v>
      </c>
      <c r="R414" s="4"/>
    </row>
    <row r="415" spans="1:18">
      <c r="A415">
        <v>414</v>
      </c>
      <c r="B415" s="3">
        <v>46195.479178240697</v>
      </c>
      <c r="C415" s="3">
        <v>46195.479837963001</v>
      </c>
      <c r="D415" s="4" t="s">
        <v>18</v>
      </c>
      <c r="E415" s="4"/>
      <c r="F415" s="1">
        <v>46195</v>
      </c>
      <c r="G415" s="4" t="s">
        <v>46</v>
      </c>
      <c r="H415" s="4" t="s">
        <v>83</v>
      </c>
      <c r="I415" s="5" t="s">
        <v>1335</v>
      </c>
      <c r="J415" s="4" t="s">
        <v>993</v>
      </c>
      <c r="K415" s="4" t="s">
        <v>31</v>
      </c>
      <c r="L415" s="4" t="s">
        <v>44</v>
      </c>
      <c r="M415" s="4" t="s">
        <v>34</v>
      </c>
      <c r="N415" s="4" t="s">
        <v>45</v>
      </c>
      <c r="O415" s="4" t="s">
        <v>25</v>
      </c>
      <c r="P415" s="4" t="s">
        <v>347</v>
      </c>
      <c r="Q415" s="4" t="s">
        <v>27</v>
      </c>
      <c r="R415" s="4"/>
    </row>
    <row r="416" spans="1:18">
      <c r="A416">
        <v>415</v>
      </c>
      <c r="B416" s="3">
        <v>46195.618240740703</v>
      </c>
      <c r="C416" s="3">
        <v>46195.619918981502</v>
      </c>
      <c r="D416" s="4" t="s">
        <v>18</v>
      </c>
      <c r="E416" s="4"/>
      <c r="F416" s="1">
        <v>46195</v>
      </c>
      <c r="G416" s="4" t="s">
        <v>87</v>
      </c>
      <c r="H416" s="4" t="s">
        <v>267</v>
      </c>
      <c r="I416" s="5" t="s">
        <v>1336</v>
      </c>
      <c r="J416" s="4" t="s">
        <v>1337</v>
      </c>
      <c r="K416" s="4" t="s">
        <v>31</v>
      </c>
      <c r="L416" s="4" t="s">
        <v>32</v>
      </c>
      <c r="M416" s="4" t="s">
        <v>226</v>
      </c>
      <c r="N416" s="4" t="s">
        <v>34</v>
      </c>
      <c r="O416" s="4" t="s">
        <v>25</v>
      </c>
      <c r="P416" s="4" t="s">
        <v>69</v>
      </c>
      <c r="Q416" s="4" t="s">
        <v>93</v>
      </c>
      <c r="R416" s="4"/>
    </row>
    <row r="417" spans="1:18">
      <c r="A417">
        <v>416</v>
      </c>
      <c r="B417" s="3">
        <v>46195.660810185203</v>
      </c>
      <c r="C417" s="3">
        <v>46195.662928240701</v>
      </c>
      <c r="D417" s="4" t="s">
        <v>18</v>
      </c>
      <c r="E417" s="4"/>
      <c r="F417" s="1">
        <v>46195</v>
      </c>
      <c r="G417" s="4" t="s">
        <v>1260</v>
      </c>
      <c r="H417" s="4" t="s">
        <v>1151</v>
      </c>
      <c r="I417" s="5" t="s">
        <v>1338</v>
      </c>
      <c r="J417" s="4" t="s">
        <v>1339</v>
      </c>
      <c r="K417" s="4" t="s">
        <v>665</v>
      </c>
      <c r="L417" s="4" t="s">
        <v>148</v>
      </c>
      <c r="M417" s="4" t="s">
        <v>33</v>
      </c>
      <c r="N417" s="4" t="s">
        <v>45</v>
      </c>
      <c r="O417" s="4" t="s">
        <v>35</v>
      </c>
      <c r="P417" s="4" t="s">
        <v>36</v>
      </c>
      <c r="Q417" s="4" t="s">
        <v>27</v>
      </c>
      <c r="R417" s="4"/>
    </row>
    <row r="418" spans="1:18">
      <c r="A418">
        <v>417</v>
      </c>
      <c r="B418" s="3">
        <v>46195.663078703699</v>
      </c>
      <c r="C418" s="3">
        <v>46195.6660416667</v>
      </c>
      <c r="D418" s="4" t="s">
        <v>18</v>
      </c>
      <c r="E418" s="4"/>
      <c r="F418" s="1">
        <v>46195</v>
      </c>
      <c r="G418" s="4" t="s">
        <v>51</v>
      </c>
      <c r="H418" s="4" t="s">
        <v>680</v>
      </c>
      <c r="I418" s="5" t="s">
        <v>1340</v>
      </c>
      <c r="J418" s="4" t="s">
        <v>1341</v>
      </c>
      <c r="K418" s="4" t="s">
        <v>1342</v>
      </c>
      <c r="L418" s="4" t="s">
        <v>148</v>
      </c>
      <c r="M418" s="4" t="s">
        <v>226</v>
      </c>
      <c r="N418" s="4" t="s">
        <v>45</v>
      </c>
      <c r="O418" s="4" t="s">
        <v>35</v>
      </c>
      <c r="P418" s="4" t="s">
        <v>36</v>
      </c>
      <c r="Q418" s="4" t="s">
        <v>27</v>
      </c>
      <c r="R418" s="4"/>
    </row>
    <row r="419" spans="1:18">
      <c r="A419">
        <v>418</v>
      </c>
      <c r="B419" s="3">
        <v>46195.708981481497</v>
      </c>
      <c r="C419" s="3">
        <v>46195.7113888889</v>
      </c>
      <c r="D419" s="4" t="s">
        <v>18</v>
      </c>
      <c r="E419" s="4"/>
      <c r="F419" s="1">
        <v>46195</v>
      </c>
      <c r="G419" s="4" t="s">
        <v>1343</v>
      </c>
      <c r="H419" s="4" t="s">
        <v>1344</v>
      </c>
      <c r="I419" s="5" t="s">
        <v>1345</v>
      </c>
      <c r="J419" s="4" t="s">
        <v>1346</v>
      </c>
      <c r="K419" s="4" t="s">
        <v>492</v>
      </c>
      <c r="L419" s="4" t="s">
        <v>148</v>
      </c>
      <c r="M419" s="4" t="s">
        <v>45</v>
      </c>
      <c r="N419" s="4" t="s">
        <v>33</v>
      </c>
      <c r="O419" s="4" t="s">
        <v>35</v>
      </c>
      <c r="P419" s="4" t="s">
        <v>36</v>
      </c>
      <c r="Q419" s="4" t="s">
        <v>93</v>
      </c>
      <c r="R419" s="4"/>
    </row>
    <row r="420" spans="1:18">
      <c r="A420">
        <v>419</v>
      </c>
      <c r="B420" s="3">
        <v>46195.725902777798</v>
      </c>
      <c r="C420" s="3">
        <v>46195.728078703702</v>
      </c>
      <c r="D420" s="4" t="s">
        <v>18</v>
      </c>
      <c r="E420" s="4"/>
      <c r="F420" s="1">
        <v>46195</v>
      </c>
      <c r="G420" s="4" t="s">
        <v>1347</v>
      </c>
      <c r="H420" s="4" t="s">
        <v>1260</v>
      </c>
      <c r="I420" s="5" t="s">
        <v>1348</v>
      </c>
      <c r="J420" s="4" t="s">
        <v>1349</v>
      </c>
      <c r="K420" s="4" t="s">
        <v>441</v>
      </c>
      <c r="L420" s="4" t="s">
        <v>91</v>
      </c>
      <c r="M420" s="4" t="s">
        <v>33</v>
      </c>
      <c r="N420" s="4" t="s">
        <v>34</v>
      </c>
      <c r="O420" s="4" t="s">
        <v>25</v>
      </c>
      <c r="P420" s="4" t="s">
        <v>36</v>
      </c>
      <c r="Q420" s="4" t="s">
        <v>79</v>
      </c>
      <c r="R420" s="4"/>
    </row>
    <row r="421" spans="1:18">
      <c r="A421">
        <v>420</v>
      </c>
      <c r="B421" s="3">
        <v>46195.728206018503</v>
      </c>
      <c r="C421" s="3">
        <v>46195.730335648099</v>
      </c>
      <c r="D421" s="4" t="s">
        <v>18</v>
      </c>
      <c r="E421" s="4"/>
      <c r="F421" s="1">
        <v>46195</v>
      </c>
      <c r="G421" s="4" t="s">
        <v>1260</v>
      </c>
      <c r="H421" s="4" t="s">
        <v>1350</v>
      </c>
      <c r="I421" s="5" t="s">
        <v>1351</v>
      </c>
      <c r="J421" s="4" t="s">
        <v>1352</v>
      </c>
      <c r="K421" s="4" t="s">
        <v>1353</v>
      </c>
      <c r="L421" s="4" t="s">
        <v>91</v>
      </c>
      <c r="M421" s="4" t="s">
        <v>60</v>
      </c>
      <c r="N421" s="4" t="s">
        <v>34</v>
      </c>
      <c r="O421" s="4" t="s">
        <v>25</v>
      </c>
      <c r="P421" s="4" t="s">
        <v>69</v>
      </c>
      <c r="Q421" s="4" t="s">
        <v>27</v>
      </c>
      <c r="R421" s="4"/>
    </row>
    <row r="422" spans="1:18">
      <c r="A422">
        <v>421</v>
      </c>
      <c r="B422" s="3">
        <v>46195.730532407397</v>
      </c>
      <c r="C422" s="3">
        <v>46195.7321296296</v>
      </c>
      <c r="D422" s="4" t="s">
        <v>18</v>
      </c>
      <c r="E422" s="4"/>
      <c r="F422" s="1">
        <v>46195</v>
      </c>
      <c r="G422" s="4" t="s">
        <v>1354</v>
      </c>
      <c r="H422" s="4" t="s">
        <v>1347</v>
      </c>
      <c r="I422" s="5" t="s">
        <v>1355</v>
      </c>
      <c r="J422" s="4" t="s">
        <v>1356</v>
      </c>
      <c r="K422" s="4" t="s">
        <v>1157</v>
      </c>
      <c r="L422" s="4" t="s">
        <v>91</v>
      </c>
      <c r="M422" s="4" t="s">
        <v>33</v>
      </c>
      <c r="N422" s="4" t="s">
        <v>34</v>
      </c>
      <c r="O422" s="4" t="s">
        <v>25</v>
      </c>
      <c r="P422" s="4" t="s">
        <v>50</v>
      </c>
      <c r="Q422" s="4" t="s">
        <v>79</v>
      </c>
      <c r="R422" s="4"/>
    </row>
    <row r="423" spans="1:18">
      <c r="A423">
        <v>422</v>
      </c>
      <c r="B423" s="3">
        <v>46195.808055555601</v>
      </c>
      <c r="C423" s="3">
        <v>46195.808831018498</v>
      </c>
      <c r="D423" s="4" t="s">
        <v>18</v>
      </c>
      <c r="E423" s="4"/>
      <c r="F423" s="1">
        <v>46195</v>
      </c>
      <c r="G423" s="4" t="s">
        <v>1357</v>
      </c>
      <c r="H423" s="4" t="s">
        <v>1358</v>
      </c>
      <c r="I423" s="5" t="s">
        <v>1359</v>
      </c>
      <c r="J423" s="4" t="s">
        <v>1360</v>
      </c>
      <c r="K423" s="4" t="s">
        <v>49</v>
      </c>
      <c r="L423" s="4" t="s">
        <v>44</v>
      </c>
      <c r="M423" s="4" t="s">
        <v>24</v>
      </c>
      <c r="N423" s="4" t="s">
        <v>45</v>
      </c>
      <c r="O423" s="4" t="s">
        <v>25</v>
      </c>
      <c r="P423" s="4" t="s">
        <v>347</v>
      </c>
      <c r="Q423" s="4" t="s">
        <v>27</v>
      </c>
      <c r="R423" s="4"/>
    </row>
    <row r="424" spans="1:18">
      <c r="A424">
        <v>423</v>
      </c>
      <c r="B424" s="3">
        <v>46195.808993055602</v>
      </c>
      <c r="C424" s="3">
        <v>46195.810335648101</v>
      </c>
      <c r="D424" s="4" t="s">
        <v>18</v>
      </c>
      <c r="E424" s="4"/>
      <c r="F424" s="1">
        <v>46195</v>
      </c>
      <c r="G424" s="4" t="s">
        <v>1361</v>
      </c>
      <c r="H424" s="4" t="s">
        <v>1361</v>
      </c>
      <c r="I424" s="5" t="s">
        <v>1362</v>
      </c>
      <c r="J424" s="4" t="s">
        <v>1363</v>
      </c>
      <c r="K424" s="4" t="s">
        <v>1364</v>
      </c>
      <c r="L424" s="4" t="s">
        <v>44</v>
      </c>
      <c r="M424" s="4" t="s">
        <v>24</v>
      </c>
      <c r="N424" s="4" t="s">
        <v>45</v>
      </c>
      <c r="O424" s="4" t="s">
        <v>25</v>
      </c>
      <c r="P424" s="4" t="s">
        <v>69</v>
      </c>
      <c r="Q424" s="4" t="s">
        <v>27</v>
      </c>
      <c r="R424" s="4"/>
    </row>
    <row r="425" spans="1:18">
      <c r="A425">
        <v>424</v>
      </c>
      <c r="B425" s="3">
        <v>46195.809097222198</v>
      </c>
      <c r="C425" s="3">
        <v>46195.810439814799</v>
      </c>
      <c r="D425" s="4" t="s">
        <v>18</v>
      </c>
      <c r="E425" s="4"/>
      <c r="F425" s="1">
        <v>46195</v>
      </c>
      <c r="G425" s="4" t="s">
        <v>1361</v>
      </c>
      <c r="H425" s="4" t="s">
        <v>1361</v>
      </c>
      <c r="I425" s="5" t="s">
        <v>1362</v>
      </c>
      <c r="J425" s="4" t="s">
        <v>1363</v>
      </c>
      <c r="K425" s="4" t="s">
        <v>1364</v>
      </c>
      <c r="L425" s="4" t="s">
        <v>44</v>
      </c>
      <c r="M425" s="4" t="s">
        <v>24</v>
      </c>
      <c r="N425" s="4" t="s">
        <v>45</v>
      </c>
      <c r="O425" s="4" t="s">
        <v>25</v>
      </c>
      <c r="P425" s="4" t="s">
        <v>69</v>
      </c>
      <c r="Q425" s="4" t="s">
        <v>27</v>
      </c>
      <c r="R425" s="4"/>
    </row>
    <row r="426" spans="1:18">
      <c r="A426">
        <v>425</v>
      </c>
      <c r="B426" s="3">
        <v>46196.326979166697</v>
      </c>
      <c r="C426" s="3">
        <v>46196.332962963003</v>
      </c>
      <c r="D426" s="4" t="s">
        <v>18</v>
      </c>
      <c r="E426" s="4"/>
      <c r="F426" s="1">
        <v>46196</v>
      </c>
      <c r="G426" s="4" t="s">
        <v>1365</v>
      </c>
      <c r="H426" s="4" t="s">
        <v>1366</v>
      </c>
      <c r="I426" s="5" t="s">
        <v>1367</v>
      </c>
      <c r="J426" s="4" t="s">
        <v>1368</v>
      </c>
      <c r="K426" s="4" t="s">
        <v>1369</v>
      </c>
      <c r="L426" s="4" t="s">
        <v>23</v>
      </c>
      <c r="M426" s="4" t="s">
        <v>33</v>
      </c>
      <c r="N426" s="4" t="s">
        <v>896</v>
      </c>
      <c r="O426" s="4" t="s">
        <v>25</v>
      </c>
      <c r="P426" s="4" t="s">
        <v>92</v>
      </c>
      <c r="Q426" s="4" t="s">
        <v>79</v>
      </c>
      <c r="R426" s="4" t="s">
        <v>1370</v>
      </c>
    </row>
    <row r="427" spans="1:18">
      <c r="A427">
        <v>426</v>
      </c>
      <c r="B427" s="3">
        <v>46196.411828703698</v>
      </c>
      <c r="C427" s="3">
        <v>46196.414178240702</v>
      </c>
      <c r="D427" s="4" t="s">
        <v>18</v>
      </c>
      <c r="E427" s="4"/>
      <c r="F427" s="1">
        <v>46196</v>
      </c>
      <c r="G427" s="4" t="s">
        <v>1371</v>
      </c>
      <c r="H427" s="4" t="s">
        <v>1372</v>
      </c>
      <c r="I427" s="5" t="s">
        <v>1373</v>
      </c>
      <c r="J427" s="4" t="s">
        <v>1374</v>
      </c>
      <c r="K427" s="4" t="s">
        <v>1375</v>
      </c>
      <c r="L427" s="4" t="s">
        <v>23</v>
      </c>
      <c r="M427" s="4" t="s">
        <v>33</v>
      </c>
      <c r="N427" s="4" t="s">
        <v>34</v>
      </c>
      <c r="O427" s="4" t="s">
        <v>25</v>
      </c>
      <c r="P427" s="4" t="s">
        <v>26</v>
      </c>
      <c r="Q427" s="4" t="s">
        <v>27</v>
      </c>
      <c r="R427" s="4" t="s">
        <v>877</v>
      </c>
    </row>
    <row r="428" spans="1:18">
      <c r="A428">
        <v>427</v>
      </c>
      <c r="B428" s="3">
        <v>46196.427083333299</v>
      </c>
      <c r="C428" s="3">
        <v>46196.432754629597</v>
      </c>
      <c r="D428" s="4" t="s">
        <v>18</v>
      </c>
      <c r="E428" s="4"/>
      <c r="F428" s="1">
        <v>46196</v>
      </c>
      <c r="G428" s="4" t="s">
        <v>1376</v>
      </c>
      <c r="H428" s="4" t="s">
        <v>1377</v>
      </c>
      <c r="I428" s="5" t="s">
        <v>1378</v>
      </c>
      <c r="J428" s="4" t="s">
        <v>1379</v>
      </c>
      <c r="K428" s="4" t="s">
        <v>1380</v>
      </c>
      <c r="L428" s="4" t="s">
        <v>23</v>
      </c>
      <c r="M428" s="4" t="s">
        <v>33</v>
      </c>
      <c r="N428" s="4" t="s">
        <v>60</v>
      </c>
      <c r="O428" s="4" t="s">
        <v>25</v>
      </c>
      <c r="P428" s="4" t="s">
        <v>36</v>
      </c>
      <c r="Q428" s="4" t="s">
        <v>79</v>
      </c>
      <c r="R428" s="4" t="s">
        <v>856</v>
      </c>
    </row>
    <row r="429" spans="1:18">
      <c r="A429">
        <v>428</v>
      </c>
      <c r="B429" s="3">
        <v>46196.444027777798</v>
      </c>
      <c r="C429" s="3">
        <v>46196.445995370399</v>
      </c>
      <c r="D429" s="4" t="s">
        <v>18</v>
      </c>
      <c r="E429" s="4"/>
      <c r="F429" s="1">
        <v>46196</v>
      </c>
      <c r="G429" s="4" t="s">
        <v>293</v>
      </c>
      <c r="H429" s="4" t="s">
        <v>293</v>
      </c>
      <c r="I429" s="5" t="s">
        <v>1381</v>
      </c>
      <c r="J429" s="4" t="s">
        <v>1382</v>
      </c>
      <c r="K429" s="4" t="s">
        <v>356</v>
      </c>
      <c r="L429" s="4" t="s">
        <v>98</v>
      </c>
      <c r="M429" s="4" t="s">
        <v>33</v>
      </c>
      <c r="N429" s="4" t="s">
        <v>61</v>
      </c>
      <c r="O429" s="4" t="s">
        <v>25</v>
      </c>
      <c r="P429" s="4" t="s">
        <v>36</v>
      </c>
      <c r="Q429" s="4" t="s">
        <v>93</v>
      </c>
      <c r="R429" s="4"/>
    </row>
    <row r="430" spans="1:18">
      <c r="A430">
        <v>429</v>
      </c>
      <c r="B430" s="3">
        <v>46196.526006944398</v>
      </c>
      <c r="C430" s="3">
        <v>46196.528599537</v>
      </c>
      <c r="D430" s="4" t="s">
        <v>18</v>
      </c>
      <c r="E430" s="4"/>
      <c r="F430" s="1">
        <v>46196</v>
      </c>
      <c r="G430" s="4" t="s">
        <v>293</v>
      </c>
      <c r="H430" s="4" t="s">
        <v>1383</v>
      </c>
      <c r="I430" s="5" t="s">
        <v>1384</v>
      </c>
      <c r="J430" s="4" t="s">
        <v>1385</v>
      </c>
      <c r="K430" s="4" t="s">
        <v>346</v>
      </c>
      <c r="L430" s="4" t="s">
        <v>98</v>
      </c>
      <c r="M430" s="4" t="s">
        <v>33</v>
      </c>
      <c r="N430" s="4" t="s">
        <v>61</v>
      </c>
      <c r="O430" s="4" t="s">
        <v>25</v>
      </c>
      <c r="P430" s="4" t="s">
        <v>36</v>
      </c>
      <c r="Q430" s="4" t="s">
        <v>27</v>
      </c>
      <c r="R430" s="4"/>
    </row>
    <row r="431" spans="1:18">
      <c r="A431">
        <v>430</v>
      </c>
      <c r="B431" s="3">
        <v>46196.528784722199</v>
      </c>
      <c r="C431" s="3">
        <v>46196.530671296299</v>
      </c>
      <c r="D431" s="4" t="s">
        <v>18</v>
      </c>
      <c r="E431" s="4"/>
      <c r="F431" s="1">
        <v>46196</v>
      </c>
      <c r="G431" s="4" t="s">
        <v>293</v>
      </c>
      <c r="H431" s="4" t="s">
        <v>293</v>
      </c>
      <c r="I431" s="5" t="s">
        <v>1386</v>
      </c>
      <c r="J431" s="4" t="s">
        <v>1387</v>
      </c>
      <c r="K431" s="4" t="s">
        <v>359</v>
      </c>
      <c r="L431" s="4" t="s">
        <v>98</v>
      </c>
      <c r="M431" s="4" t="s">
        <v>33</v>
      </c>
      <c r="N431" s="4" t="s">
        <v>61</v>
      </c>
      <c r="O431" s="4" t="s">
        <v>25</v>
      </c>
      <c r="P431" s="4" t="s">
        <v>50</v>
      </c>
      <c r="Q431" s="4" t="s">
        <v>93</v>
      </c>
      <c r="R431" s="4"/>
    </row>
    <row r="432" spans="1:18">
      <c r="A432">
        <v>431</v>
      </c>
      <c r="B432" s="3">
        <v>46196.536458333299</v>
      </c>
      <c r="C432" s="3">
        <v>46196.537766203699</v>
      </c>
      <c r="D432" s="4" t="s">
        <v>18</v>
      </c>
      <c r="E432" s="4"/>
      <c r="F432" s="1">
        <v>46196</v>
      </c>
      <c r="G432" s="4" t="s">
        <v>83</v>
      </c>
      <c r="H432" s="4" t="s">
        <v>134</v>
      </c>
      <c r="I432" s="5" t="s">
        <v>1388</v>
      </c>
      <c r="J432" s="4" t="s">
        <v>1389</v>
      </c>
      <c r="K432" s="4" t="s">
        <v>31</v>
      </c>
      <c r="L432" s="4" t="s">
        <v>44</v>
      </c>
      <c r="M432" s="4" t="s">
        <v>33</v>
      </c>
      <c r="N432" s="4" t="s">
        <v>61</v>
      </c>
      <c r="O432" s="4" t="s">
        <v>25</v>
      </c>
      <c r="P432" s="4" t="s">
        <v>36</v>
      </c>
      <c r="Q432" s="4" t="s">
        <v>27</v>
      </c>
      <c r="R432" s="4"/>
    </row>
    <row r="433" spans="1:18">
      <c r="A433">
        <v>432</v>
      </c>
      <c r="B433" s="3">
        <v>46196.537812499999</v>
      </c>
      <c r="C433" s="3">
        <v>46196.538576388899</v>
      </c>
      <c r="D433" s="4" t="s">
        <v>18</v>
      </c>
      <c r="E433" s="4"/>
      <c r="F433" s="1">
        <v>46196</v>
      </c>
      <c r="G433" s="4" t="s">
        <v>83</v>
      </c>
      <c r="H433" s="4" t="s">
        <v>1390</v>
      </c>
      <c r="I433" s="5" t="s">
        <v>1391</v>
      </c>
      <c r="J433" s="4" t="s">
        <v>993</v>
      </c>
      <c r="K433" s="4" t="s">
        <v>31</v>
      </c>
      <c r="L433" s="4" t="s">
        <v>44</v>
      </c>
      <c r="M433" s="4" t="s">
        <v>33</v>
      </c>
      <c r="N433" s="4" t="s">
        <v>61</v>
      </c>
      <c r="O433" s="4" t="s">
        <v>25</v>
      </c>
      <c r="P433" s="4" t="s">
        <v>347</v>
      </c>
      <c r="Q433" s="4" t="s">
        <v>27</v>
      </c>
      <c r="R433" s="4"/>
    </row>
    <row r="434" spans="1:18">
      <c r="A434">
        <v>433</v>
      </c>
      <c r="B434" s="3">
        <v>46196.633333333302</v>
      </c>
      <c r="C434" s="3">
        <v>46196.637187499997</v>
      </c>
      <c r="D434" s="4" t="s">
        <v>18</v>
      </c>
      <c r="E434" s="4"/>
      <c r="F434" s="1">
        <v>46196</v>
      </c>
      <c r="G434" s="4" t="s">
        <v>1392</v>
      </c>
      <c r="H434" s="4" t="s">
        <v>1393</v>
      </c>
      <c r="I434" s="5" t="s">
        <v>1394</v>
      </c>
      <c r="J434" s="4" t="s">
        <v>1395</v>
      </c>
      <c r="K434" s="4" t="s">
        <v>1396</v>
      </c>
      <c r="L434" s="4" t="s">
        <v>91</v>
      </c>
      <c r="M434" s="4" t="s">
        <v>24</v>
      </c>
      <c r="N434" s="4" t="s">
        <v>226</v>
      </c>
      <c r="O434" s="4" t="s">
        <v>25</v>
      </c>
      <c r="P434" s="4" t="s">
        <v>50</v>
      </c>
      <c r="Q434" s="4" t="s">
        <v>79</v>
      </c>
      <c r="R434" s="4"/>
    </row>
    <row r="435" spans="1:18">
      <c r="A435">
        <v>434</v>
      </c>
      <c r="B435" s="3">
        <v>46196.637245370403</v>
      </c>
      <c r="C435" s="3">
        <v>46196.638761574097</v>
      </c>
      <c r="D435" s="4" t="s">
        <v>18</v>
      </c>
      <c r="E435" s="4"/>
      <c r="F435" s="1">
        <v>46196</v>
      </c>
      <c r="G435" s="4" t="s">
        <v>1397</v>
      </c>
      <c r="H435" s="4" t="s">
        <v>1398</v>
      </c>
      <c r="I435" s="5" t="s">
        <v>1399</v>
      </c>
      <c r="J435" s="4" t="s">
        <v>1400</v>
      </c>
      <c r="K435" s="4" t="s">
        <v>938</v>
      </c>
      <c r="L435" s="4" t="s">
        <v>91</v>
      </c>
      <c r="M435" s="4" t="s">
        <v>34</v>
      </c>
      <c r="N435" s="4" t="s">
        <v>819</v>
      </c>
      <c r="O435" s="4" t="s">
        <v>25</v>
      </c>
      <c r="P435" s="4" t="s">
        <v>92</v>
      </c>
      <c r="Q435" s="4" t="s">
        <v>79</v>
      </c>
      <c r="R435" s="4"/>
    </row>
    <row r="436" spans="1:18">
      <c r="A436">
        <v>435</v>
      </c>
      <c r="B436" s="3">
        <v>46196.638796296298</v>
      </c>
      <c r="C436" s="3">
        <v>46196.640844907401</v>
      </c>
      <c r="D436" s="4" t="s">
        <v>18</v>
      </c>
      <c r="E436" s="4"/>
      <c r="F436" s="1">
        <v>46197</v>
      </c>
      <c r="G436" s="4" t="s">
        <v>1401</v>
      </c>
      <c r="H436" s="4" t="s">
        <v>900</v>
      </c>
      <c r="I436" s="5" t="s">
        <v>1402</v>
      </c>
      <c r="J436" s="4" t="s">
        <v>1403</v>
      </c>
      <c r="K436" s="4" t="s">
        <v>978</v>
      </c>
      <c r="L436" s="4" t="s">
        <v>91</v>
      </c>
      <c r="M436" s="4" t="s">
        <v>33</v>
      </c>
      <c r="N436" s="4" t="s">
        <v>34</v>
      </c>
      <c r="O436" s="4" t="s">
        <v>25</v>
      </c>
      <c r="P436" s="4" t="s">
        <v>92</v>
      </c>
      <c r="Q436" s="4" t="s">
        <v>79</v>
      </c>
      <c r="R436" s="4"/>
    </row>
    <row r="437" spans="1:18">
      <c r="A437">
        <v>436</v>
      </c>
      <c r="B437" s="3">
        <v>46196.640879629602</v>
      </c>
      <c r="C437" s="3">
        <v>46196.641990740703</v>
      </c>
      <c r="D437" s="4" t="s">
        <v>18</v>
      </c>
      <c r="E437" s="4"/>
      <c r="F437" s="1">
        <v>46196</v>
      </c>
      <c r="G437" s="4" t="s">
        <v>1404</v>
      </c>
      <c r="H437" s="4" t="s">
        <v>458</v>
      </c>
      <c r="I437" s="5" t="s">
        <v>1405</v>
      </c>
      <c r="J437" s="4" t="s">
        <v>1406</v>
      </c>
      <c r="K437" s="4" t="s">
        <v>1407</v>
      </c>
      <c r="L437" s="4" t="s">
        <v>91</v>
      </c>
      <c r="M437" s="4" t="s">
        <v>33</v>
      </c>
      <c r="N437" s="4" t="s">
        <v>34</v>
      </c>
      <c r="O437" s="4" t="s">
        <v>25</v>
      </c>
      <c r="P437" s="4" t="s">
        <v>92</v>
      </c>
      <c r="Q437" s="4" t="s">
        <v>79</v>
      </c>
      <c r="R437" s="4"/>
    </row>
    <row r="438" spans="1:18">
      <c r="A438">
        <v>437</v>
      </c>
      <c r="B438" s="3">
        <v>46196.642048611102</v>
      </c>
      <c r="C438" s="3">
        <v>46196.643240740697</v>
      </c>
      <c r="D438" s="4" t="s">
        <v>18</v>
      </c>
      <c r="E438" s="4"/>
      <c r="F438" s="1">
        <v>46196</v>
      </c>
      <c r="G438" s="4" t="s">
        <v>1408</v>
      </c>
      <c r="H438" s="4" t="s">
        <v>1409</v>
      </c>
      <c r="I438" s="5" t="s">
        <v>1410</v>
      </c>
      <c r="J438" s="4" t="s">
        <v>1411</v>
      </c>
      <c r="K438" s="4" t="s">
        <v>1412</v>
      </c>
      <c r="L438" s="4" t="s">
        <v>91</v>
      </c>
      <c r="M438" s="4" t="s">
        <v>34</v>
      </c>
      <c r="N438" s="4" t="s">
        <v>819</v>
      </c>
      <c r="O438" s="4" t="s">
        <v>25</v>
      </c>
      <c r="P438" s="4" t="s">
        <v>69</v>
      </c>
      <c r="Q438" s="4" t="s">
        <v>27</v>
      </c>
      <c r="R438" s="4"/>
    </row>
    <row r="439" spans="1:18">
      <c r="A439">
        <v>438</v>
      </c>
      <c r="B439" s="3">
        <v>46196.643275463</v>
      </c>
      <c r="C439" s="3">
        <v>46196.644571759301</v>
      </c>
      <c r="D439" s="4" t="s">
        <v>18</v>
      </c>
      <c r="E439" s="4"/>
      <c r="F439" s="1">
        <v>46196</v>
      </c>
      <c r="G439" s="4" t="s">
        <v>714</v>
      </c>
      <c r="H439" s="4" t="s">
        <v>458</v>
      </c>
      <c r="I439" s="5" t="s">
        <v>1413</v>
      </c>
      <c r="J439" s="4" t="s">
        <v>1414</v>
      </c>
      <c r="K439" s="4" t="s">
        <v>1415</v>
      </c>
      <c r="L439" s="4" t="s">
        <v>91</v>
      </c>
      <c r="M439" s="4" t="s">
        <v>24</v>
      </c>
      <c r="N439" s="4" t="s">
        <v>34</v>
      </c>
      <c r="O439" s="4" t="s">
        <v>25</v>
      </c>
      <c r="P439" s="4" t="s">
        <v>50</v>
      </c>
      <c r="Q439" s="4" t="s">
        <v>79</v>
      </c>
      <c r="R439" s="4"/>
    </row>
    <row r="440" spans="1:18">
      <c r="A440">
        <v>439</v>
      </c>
      <c r="B440" s="3">
        <v>46196.7391319444</v>
      </c>
      <c r="C440" s="3">
        <v>46196.741597222201</v>
      </c>
      <c r="D440" s="4" t="s">
        <v>18</v>
      </c>
      <c r="E440" s="4"/>
      <c r="F440" s="1">
        <v>46195</v>
      </c>
      <c r="G440" s="4" t="s">
        <v>1416</v>
      </c>
      <c r="H440" s="4" t="s">
        <v>961</v>
      </c>
      <c r="I440" s="5" t="s">
        <v>1314</v>
      </c>
      <c r="J440" s="4" t="s">
        <v>1417</v>
      </c>
      <c r="K440" s="4" t="s">
        <v>22</v>
      </c>
      <c r="L440" s="4" t="s">
        <v>23</v>
      </c>
      <c r="M440" s="4" t="s">
        <v>60</v>
      </c>
      <c r="N440" s="4" t="s">
        <v>34</v>
      </c>
      <c r="O440" s="4" t="s">
        <v>25</v>
      </c>
      <c r="P440" s="4" t="s">
        <v>50</v>
      </c>
      <c r="Q440" s="4" t="s">
        <v>27</v>
      </c>
      <c r="R440" s="4"/>
    </row>
    <row r="441" spans="1:18">
      <c r="A441">
        <v>440</v>
      </c>
      <c r="B441" s="3">
        <v>46196.739143518498</v>
      </c>
      <c r="C441" s="3">
        <v>46196.743773148097</v>
      </c>
      <c r="D441" s="4" t="s">
        <v>18</v>
      </c>
      <c r="E441" s="4"/>
      <c r="F441" s="1">
        <v>46195</v>
      </c>
      <c r="G441" s="4" t="s">
        <v>1300</v>
      </c>
      <c r="H441" s="4" t="s">
        <v>1300</v>
      </c>
      <c r="I441" s="5" t="s">
        <v>1318</v>
      </c>
      <c r="J441" s="4" t="s">
        <v>1418</v>
      </c>
      <c r="K441" s="4" t="s">
        <v>1166</v>
      </c>
      <c r="L441" s="4" t="s">
        <v>23</v>
      </c>
      <c r="M441" s="4" t="s">
        <v>45</v>
      </c>
      <c r="N441" s="4" t="s">
        <v>34</v>
      </c>
      <c r="O441" s="4" t="s">
        <v>25</v>
      </c>
      <c r="P441" s="4" t="s">
        <v>347</v>
      </c>
      <c r="Q441" s="4" t="s">
        <v>79</v>
      </c>
      <c r="R441" s="4"/>
    </row>
    <row r="442" spans="1:18">
      <c r="A442">
        <v>441</v>
      </c>
      <c r="B442" s="3">
        <v>46196.7887037037</v>
      </c>
      <c r="C442" s="3">
        <v>46196.789976851898</v>
      </c>
      <c r="D442" s="4" t="s">
        <v>18</v>
      </c>
      <c r="E442" s="4"/>
      <c r="F442" s="1">
        <v>46196</v>
      </c>
      <c r="G442" s="4" t="s">
        <v>1419</v>
      </c>
      <c r="H442" s="4" t="s">
        <v>1420</v>
      </c>
      <c r="I442" s="5" t="s">
        <v>1421</v>
      </c>
      <c r="J442" s="4" t="s">
        <v>1422</v>
      </c>
      <c r="K442" s="4" t="s">
        <v>1423</v>
      </c>
      <c r="L442" s="4" t="s">
        <v>32</v>
      </c>
      <c r="M442" s="4" t="s">
        <v>33</v>
      </c>
      <c r="N442" s="4" t="s">
        <v>34</v>
      </c>
      <c r="O442" s="4" t="s">
        <v>35</v>
      </c>
      <c r="P442" s="4" t="s">
        <v>86</v>
      </c>
      <c r="Q442" s="4" t="s">
        <v>27</v>
      </c>
      <c r="R442" s="4"/>
    </row>
    <row r="443" spans="1:18">
      <c r="A443">
        <v>442</v>
      </c>
      <c r="B443" s="3">
        <v>46196.790034722202</v>
      </c>
      <c r="C443" s="3">
        <v>46196.790856481501</v>
      </c>
      <c r="D443" s="4" t="s">
        <v>18</v>
      </c>
      <c r="E443" s="4"/>
      <c r="F443" s="1">
        <v>46196</v>
      </c>
      <c r="G443" s="4" t="s">
        <v>1424</v>
      </c>
      <c r="H443" s="4" t="s">
        <v>1420</v>
      </c>
      <c r="I443" s="5" t="s">
        <v>1425</v>
      </c>
      <c r="J443" s="4" t="s">
        <v>1426</v>
      </c>
      <c r="K443" s="4" t="s">
        <v>359</v>
      </c>
      <c r="L443" s="4" t="s">
        <v>32</v>
      </c>
      <c r="M443" s="4" t="s">
        <v>33</v>
      </c>
      <c r="N443" s="4" t="s">
        <v>34</v>
      </c>
      <c r="O443" s="4" t="s">
        <v>35</v>
      </c>
      <c r="P443" s="4" t="s">
        <v>92</v>
      </c>
      <c r="Q443" s="4" t="s">
        <v>27</v>
      </c>
      <c r="R443" s="4"/>
    </row>
    <row r="444" spans="1:18">
      <c r="A444">
        <v>443</v>
      </c>
      <c r="B444" s="3">
        <v>46196.828067129602</v>
      </c>
      <c r="C444" s="3">
        <v>46196.829895833303</v>
      </c>
      <c r="D444" s="4" t="s">
        <v>18</v>
      </c>
      <c r="E444" s="4"/>
      <c r="F444" s="1">
        <v>46196</v>
      </c>
      <c r="G444" s="4" t="s">
        <v>1427</v>
      </c>
      <c r="H444" s="4" t="s">
        <v>579</v>
      </c>
      <c r="I444" s="5" t="s">
        <v>1428</v>
      </c>
      <c r="J444" s="4" t="s">
        <v>1429</v>
      </c>
      <c r="K444" s="4" t="s">
        <v>767</v>
      </c>
      <c r="L444" s="4" t="s">
        <v>44</v>
      </c>
      <c r="M444" s="4" t="s">
        <v>33</v>
      </c>
      <c r="N444" s="4" t="s">
        <v>61</v>
      </c>
      <c r="O444" s="4" t="s">
        <v>25</v>
      </c>
      <c r="P444" s="4" t="s">
        <v>347</v>
      </c>
      <c r="Q444" s="4" t="s">
        <v>27</v>
      </c>
      <c r="R444" s="4"/>
    </row>
    <row r="445" spans="1:18">
      <c r="A445">
        <v>444</v>
      </c>
      <c r="B445" s="3">
        <v>46196.830034722203</v>
      </c>
      <c r="C445" s="3">
        <v>46196.830960648098</v>
      </c>
      <c r="D445" s="4" t="s">
        <v>18</v>
      </c>
      <c r="E445" s="4"/>
      <c r="F445" s="1">
        <v>46196</v>
      </c>
      <c r="G445" s="4" t="s">
        <v>1430</v>
      </c>
      <c r="H445" s="4" t="s">
        <v>1431</v>
      </c>
      <c r="I445" s="5" t="s">
        <v>1432</v>
      </c>
      <c r="J445" s="4" t="s">
        <v>993</v>
      </c>
      <c r="K445" s="4" t="s">
        <v>31</v>
      </c>
      <c r="L445" s="4" t="s">
        <v>44</v>
      </c>
      <c r="M445" s="4" t="s">
        <v>61</v>
      </c>
      <c r="N445" s="4" t="s">
        <v>819</v>
      </c>
      <c r="O445" s="4" t="s">
        <v>25</v>
      </c>
      <c r="P445" s="4" t="s">
        <v>347</v>
      </c>
      <c r="Q445" s="4" t="s">
        <v>27</v>
      </c>
      <c r="R445" s="4"/>
    </row>
    <row r="446" spans="1:18">
      <c r="A446">
        <v>445</v>
      </c>
      <c r="B446" s="3">
        <v>46196.831006944398</v>
      </c>
      <c r="C446" s="3">
        <v>46196.833344907398</v>
      </c>
      <c r="D446" s="4" t="s">
        <v>18</v>
      </c>
      <c r="E446" s="4"/>
      <c r="F446" s="1">
        <v>46196</v>
      </c>
      <c r="G446" s="4" t="s">
        <v>1427</v>
      </c>
      <c r="H446" s="4" t="s">
        <v>1433</v>
      </c>
      <c r="I446" s="5" t="s">
        <v>1434</v>
      </c>
      <c r="J446" s="4" t="s">
        <v>1435</v>
      </c>
      <c r="K446" s="4" t="s">
        <v>767</v>
      </c>
      <c r="L446" s="4" t="s">
        <v>44</v>
      </c>
      <c r="M446" s="4" t="s">
        <v>33</v>
      </c>
      <c r="N446" s="4" t="s">
        <v>61</v>
      </c>
      <c r="O446" s="4" t="s">
        <v>25</v>
      </c>
      <c r="P446" s="4" t="s">
        <v>69</v>
      </c>
      <c r="Q446" s="4" t="s">
        <v>27</v>
      </c>
      <c r="R446" s="4"/>
    </row>
    <row r="447" spans="1:18">
      <c r="A447">
        <v>446</v>
      </c>
      <c r="B447" s="3">
        <v>46196.874745370398</v>
      </c>
      <c r="C447" s="3">
        <v>46196.877303240697</v>
      </c>
      <c r="D447" s="4" t="s">
        <v>18</v>
      </c>
      <c r="E447" s="4"/>
      <c r="F447" s="1">
        <v>46196</v>
      </c>
      <c r="G447" s="4" t="s">
        <v>1436</v>
      </c>
      <c r="H447" s="4" t="s">
        <v>1437</v>
      </c>
      <c r="I447" s="5" t="s">
        <v>1438</v>
      </c>
      <c r="J447" s="4" t="s">
        <v>1439</v>
      </c>
      <c r="K447" s="4" t="s">
        <v>31</v>
      </c>
      <c r="L447" s="4" t="s">
        <v>32</v>
      </c>
      <c r="M447" s="4" t="s">
        <v>819</v>
      </c>
      <c r="N447" s="4" t="s">
        <v>117</v>
      </c>
      <c r="O447" s="4" t="s">
        <v>25</v>
      </c>
      <c r="P447" s="4" t="s">
        <v>92</v>
      </c>
      <c r="Q447" s="4" t="s">
        <v>93</v>
      </c>
      <c r="R447" s="4"/>
    </row>
    <row r="448" spans="1:18">
      <c r="A448">
        <v>447</v>
      </c>
      <c r="B448" s="3">
        <v>46197.3971759259</v>
      </c>
      <c r="C448" s="3">
        <v>46197.401539351798</v>
      </c>
      <c r="D448" s="4" t="s">
        <v>18</v>
      </c>
      <c r="E448" s="4"/>
      <c r="F448" s="1">
        <v>46197</v>
      </c>
      <c r="G448" s="4" t="s">
        <v>293</v>
      </c>
      <c r="H448" s="4" t="s">
        <v>1383</v>
      </c>
      <c r="I448" s="5" t="s">
        <v>1440</v>
      </c>
      <c r="J448" s="4" t="s">
        <v>1441</v>
      </c>
      <c r="K448" s="4" t="s">
        <v>212</v>
      </c>
      <c r="L448" s="4" t="s">
        <v>98</v>
      </c>
      <c r="M448" s="4" t="s">
        <v>226</v>
      </c>
      <c r="N448" s="4" t="s">
        <v>61</v>
      </c>
      <c r="O448" s="4" t="s">
        <v>25</v>
      </c>
      <c r="P448" s="4" t="s">
        <v>36</v>
      </c>
      <c r="Q448" s="4" t="s">
        <v>27</v>
      </c>
      <c r="R448" s="4"/>
    </row>
    <row r="449" spans="1:18">
      <c r="A449">
        <v>448</v>
      </c>
      <c r="B449" s="3">
        <v>46197.401608796303</v>
      </c>
      <c r="C449" s="3">
        <v>46197.4067013889</v>
      </c>
      <c r="D449" s="4" t="s">
        <v>18</v>
      </c>
      <c r="E449" s="4"/>
      <c r="F449" s="1">
        <v>46197</v>
      </c>
      <c r="G449" s="4" t="s">
        <v>293</v>
      </c>
      <c r="H449" s="4" t="s">
        <v>293</v>
      </c>
      <c r="I449" s="5" t="s">
        <v>1442</v>
      </c>
      <c r="J449" s="4" t="s">
        <v>1443</v>
      </c>
      <c r="K449" s="4" t="s">
        <v>356</v>
      </c>
      <c r="L449" s="4" t="s">
        <v>98</v>
      </c>
      <c r="M449" s="4" t="s">
        <v>226</v>
      </c>
      <c r="N449" s="4" t="s">
        <v>61</v>
      </c>
      <c r="O449" s="4" t="s">
        <v>25</v>
      </c>
      <c r="P449" s="4" t="s">
        <v>36</v>
      </c>
      <c r="Q449" s="4" t="s">
        <v>93</v>
      </c>
      <c r="R449" s="4"/>
    </row>
    <row r="450" spans="1:18">
      <c r="A450">
        <v>449</v>
      </c>
      <c r="B450" s="3">
        <v>46197.416736111103</v>
      </c>
      <c r="C450" s="3">
        <v>46197.419687499998</v>
      </c>
      <c r="D450" s="4" t="s">
        <v>18</v>
      </c>
      <c r="E450" s="4"/>
      <c r="F450" s="1">
        <v>46197</v>
      </c>
      <c r="G450" s="4" t="s">
        <v>185</v>
      </c>
      <c r="H450" s="4" t="s">
        <v>62</v>
      </c>
      <c r="I450" s="5" t="s">
        <v>1444</v>
      </c>
      <c r="J450" s="4" t="s">
        <v>1445</v>
      </c>
      <c r="K450" s="4" t="s">
        <v>783</v>
      </c>
      <c r="L450" s="4" t="s">
        <v>266</v>
      </c>
      <c r="M450" s="4" t="s">
        <v>60</v>
      </c>
      <c r="N450" s="4" t="s">
        <v>33</v>
      </c>
      <c r="O450" s="4" t="s">
        <v>25</v>
      </c>
      <c r="P450" s="4" t="s">
        <v>36</v>
      </c>
      <c r="Q450" s="4" t="s">
        <v>27</v>
      </c>
      <c r="R450" s="4"/>
    </row>
    <row r="451" spans="1:18">
      <c r="A451">
        <v>450</v>
      </c>
      <c r="B451" s="3">
        <v>46197.427106481497</v>
      </c>
      <c r="C451" s="3">
        <v>46197.428275462997</v>
      </c>
      <c r="D451" s="4" t="s">
        <v>18</v>
      </c>
      <c r="E451" s="4"/>
      <c r="F451" s="1">
        <v>46197</v>
      </c>
      <c r="G451" s="5" t="s">
        <v>1446</v>
      </c>
      <c r="H451" s="5" t="s">
        <v>1447</v>
      </c>
      <c r="I451" s="5" t="s">
        <v>1448</v>
      </c>
      <c r="J451" s="4" t="s">
        <v>1449</v>
      </c>
      <c r="K451" s="4" t="s">
        <v>1450</v>
      </c>
      <c r="L451" s="4" t="s">
        <v>44</v>
      </c>
      <c r="M451" s="4" t="s">
        <v>226</v>
      </c>
      <c r="N451" s="4" t="s">
        <v>61</v>
      </c>
      <c r="O451" s="4" t="s">
        <v>25</v>
      </c>
      <c r="P451" s="4" t="s">
        <v>347</v>
      </c>
      <c r="Q451" s="4" t="s">
        <v>27</v>
      </c>
      <c r="R451" s="4"/>
    </row>
    <row r="452" spans="1:18">
      <c r="A452">
        <v>451</v>
      </c>
      <c r="B452" s="3">
        <v>46197.428333333301</v>
      </c>
      <c r="C452" s="3">
        <v>46197.430462962999</v>
      </c>
      <c r="D452" s="4" t="s">
        <v>18</v>
      </c>
      <c r="E452" s="4"/>
      <c r="F452" s="1">
        <v>46197</v>
      </c>
      <c r="G452" s="5" t="s">
        <v>1451</v>
      </c>
      <c r="H452" s="5" t="s">
        <v>1452</v>
      </c>
      <c r="I452" s="5" t="s">
        <v>1453</v>
      </c>
      <c r="J452" s="4" t="s">
        <v>1454</v>
      </c>
      <c r="K452" s="4" t="s">
        <v>1450</v>
      </c>
      <c r="L452" s="4" t="s">
        <v>44</v>
      </c>
      <c r="M452" s="4" t="s">
        <v>226</v>
      </c>
      <c r="N452" s="4" t="s">
        <v>61</v>
      </c>
      <c r="O452" s="4" t="s">
        <v>25</v>
      </c>
      <c r="P452" s="4" t="s">
        <v>36</v>
      </c>
      <c r="Q452" s="4" t="s">
        <v>27</v>
      </c>
      <c r="R452" s="4"/>
    </row>
    <row r="453" spans="1:18">
      <c r="A453">
        <v>452</v>
      </c>
      <c r="B453" s="3">
        <v>46197.428773148102</v>
      </c>
      <c r="C453" s="3">
        <v>46197.432187500002</v>
      </c>
      <c r="D453" s="4" t="s">
        <v>18</v>
      </c>
      <c r="E453" s="4"/>
      <c r="F453" s="1">
        <v>46197</v>
      </c>
      <c r="G453" s="4" t="s">
        <v>283</v>
      </c>
      <c r="H453" s="4" t="s">
        <v>1455</v>
      </c>
      <c r="I453" s="5" t="s">
        <v>1456</v>
      </c>
      <c r="J453" s="4" t="s">
        <v>1457</v>
      </c>
      <c r="K453" s="4" t="s">
        <v>1458</v>
      </c>
      <c r="L453" s="4" t="s">
        <v>23</v>
      </c>
      <c r="M453" s="4" t="s">
        <v>33</v>
      </c>
      <c r="N453" s="4" t="s">
        <v>896</v>
      </c>
      <c r="O453" s="4" t="s">
        <v>25</v>
      </c>
      <c r="P453" s="4" t="s">
        <v>92</v>
      </c>
      <c r="Q453" s="4" t="s">
        <v>79</v>
      </c>
      <c r="R453" s="4" t="s">
        <v>1459</v>
      </c>
    </row>
    <row r="454" spans="1:18">
      <c r="A454">
        <v>453</v>
      </c>
      <c r="B454" s="3">
        <v>46197.430752314802</v>
      </c>
      <c r="C454" s="3">
        <v>46197.432442129597</v>
      </c>
      <c r="D454" s="4" t="s">
        <v>18</v>
      </c>
      <c r="E454" s="4"/>
      <c r="F454" s="1">
        <v>46197</v>
      </c>
      <c r="G454" s="4" t="s">
        <v>1460</v>
      </c>
      <c r="H454" s="4" t="s">
        <v>1461</v>
      </c>
      <c r="I454" s="5" t="s">
        <v>1462</v>
      </c>
      <c r="J454" s="4" t="s">
        <v>1463</v>
      </c>
      <c r="K454" s="4" t="s">
        <v>1464</v>
      </c>
      <c r="L454" s="4" t="s">
        <v>44</v>
      </c>
      <c r="M454" s="4" t="s">
        <v>226</v>
      </c>
      <c r="N454" s="4" t="s">
        <v>61</v>
      </c>
      <c r="O454" s="4" t="s">
        <v>25</v>
      </c>
      <c r="P454" s="4" t="s">
        <v>50</v>
      </c>
      <c r="Q454" s="4" t="s">
        <v>27</v>
      </c>
      <c r="R454" s="4"/>
    </row>
    <row r="455" spans="1:18">
      <c r="A455">
        <v>454</v>
      </c>
      <c r="B455" s="3">
        <v>46197.432442129597</v>
      </c>
      <c r="C455" s="3">
        <v>46197.441527777803</v>
      </c>
      <c r="D455" s="4" t="s">
        <v>18</v>
      </c>
      <c r="E455" s="4"/>
      <c r="F455" s="1">
        <v>46197</v>
      </c>
      <c r="G455" s="4" t="s">
        <v>1465</v>
      </c>
      <c r="H455" s="4" t="s">
        <v>1466</v>
      </c>
      <c r="I455" s="5" t="s">
        <v>1467</v>
      </c>
      <c r="J455" s="4" t="s">
        <v>1468</v>
      </c>
      <c r="K455" s="4" t="s">
        <v>1380</v>
      </c>
      <c r="L455" s="4" t="s">
        <v>23</v>
      </c>
      <c r="M455" s="4" t="s">
        <v>33</v>
      </c>
      <c r="N455" s="4" t="s">
        <v>896</v>
      </c>
      <c r="O455" s="4" t="s">
        <v>25</v>
      </c>
      <c r="P455" s="4" t="s">
        <v>36</v>
      </c>
      <c r="Q455" s="4" t="s">
        <v>79</v>
      </c>
      <c r="R455" s="4" t="s">
        <v>1459</v>
      </c>
    </row>
    <row r="456" spans="1:18">
      <c r="A456">
        <v>455</v>
      </c>
      <c r="B456" s="3">
        <v>46197.441527777803</v>
      </c>
      <c r="C456" s="3">
        <v>46197.442442129599</v>
      </c>
      <c r="D456" s="4" t="s">
        <v>18</v>
      </c>
      <c r="E456" s="4"/>
      <c r="F456" s="1">
        <v>46197</v>
      </c>
      <c r="G456" s="4" t="s">
        <v>458</v>
      </c>
      <c r="H456" s="4" t="s">
        <v>134</v>
      </c>
      <c r="I456" s="5" t="s">
        <v>1469</v>
      </c>
      <c r="J456" s="4" t="s">
        <v>1470</v>
      </c>
      <c r="K456" s="4" t="s">
        <v>761</v>
      </c>
      <c r="L456" s="4" t="s">
        <v>148</v>
      </c>
      <c r="M456" s="4" t="s">
        <v>33</v>
      </c>
      <c r="N456" s="4" t="s">
        <v>896</v>
      </c>
      <c r="O456" s="4" t="s">
        <v>35</v>
      </c>
      <c r="P456" s="4" t="s">
        <v>36</v>
      </c>
      <c r="Q456" s="4" t="s">
        <v>79</v>
      </c>
      <c r="R456" s="4"/>
    </row>
    <row r="457" spans="1:18">
      <c r="A457">
        <v>456</v>
      </c>
      <c r="B457" s="3">
        <v>46197.437164351897</v>
      </c>
      <c r="C457" s="3">
        <v>46197.442754629599</v>
      </c>
      <c r="D457" s="4" t="s">
        <v>18</v>
      </c>
      <c r="E457" s="4"/>
      <c r="F457" s="1">
        <v>46197</v>
      </c>
      <c r="G457" s="4" t="s">
        <v>343</v>
      </c>
      <c r="H457" s="4" t="s">
        <v>343</v>
      </c>
      <c r="I457" s="5" t="s">
        <v>1471</v>
      </c>
      <c r="J457" s="4" t="s">
        <v>1472</v>
      </c>
      <c r="K457" s="4" t="s">
        <v>22</v>
      </c>
      <c r="L457" s="4" t="s">
        <v>23</v>
      </c>
      <c r="M457" s="4" t="s">
        <v>112</v>
      </c>
      <c r="N457" s="4" t="s">
        <v>33</v>
      </c>
      <c r="O457" s="4" t="s">
        <v>25</v>
      </c>
      <c r="P457" s="4" t="s">
        <v>36</v>
      </c>
      <c r="Q457" s="4" t="s">
        <v>27</v>
      </c>
      <c r="R457" s="4" t="s">
        <v>1473</v>
      </c>
    </row>
    <row r="458" spans="1:18">
      <c r="A458">
        <v>457</v>
      </c>
      <c r="B458" s="3">
        <v>46197.442986111098</v>
      </c>
      <c r="C458" s="3">
        <v>46197.445034722201</v>
      </c>
      <c r="D458" s="4" t="s">
        <v>18</v>
      </c>
      <c r="E458" s="4"/>
      <c r="F458" s="1">
        <v>46197</v>
      </c>
      <c r="G458" s="4" t="s">
        <v>1065</v>
      </c>
      <c r="H458" s="4" t="s">
        <v>1170</v>
      </c>
      <c r="I458" s="5" t="s">
        <v>1474</v>
      </c>
      <c r="J458" s="4" t="s">
        <v>1475</v>
      </c>
      <c r="K458" s="4" t="s">
        <v>1476</v>
      </c>
      <c r="L458" s="4" t="s">
        <v>32</v>
      </c>
      <c r="M458" s="4" t="s">
        <v>33</v>
      </c>
      <c r="N458" s="4" t="s">
        <v>112</v>
      </c>
      <c r="O458" s="4" t="s">
        <v>35</v>
      </c>
      <c r="P458" s="4" t="s">
        <v>86</v>
      </c>
      <c r="Q458" s="4" t="s">
        <v>27</v>
      </c>
      <c r="R458" s="4"/>
    </row>
    <row r="459" spans="1:18">
      <c r="A459">
        <v>458</v>
      </c>
      <c r="B459" s="3">
        <v>46197.4453125</v>
      </c>
      <c r="C459" s="3">
        <v>46197.446250000001</v>
      </c>
      <c r="D459" s="4" t="s">
        <v>18</v>
      </c>
      <c r="E459" s="4"/>
      <c r="F459" s="1">
        <v>46197</v>
      </c>
      <c r="G459" s="4" t="s">
        <v>1169</v>
      </c>
      <c r="H459" s="4" t="s">
        <v>1477</v>
      </c>
      <c r="I459" s="5" t="s">
        <v>1478</v>
      </c>
      <c r="J459" s="4" t="s">
        <v>1479</v>
      </c>
      <c r="K459" s="4" t="s">
        <v>359</v>
      </c>
      <c r="L459" s="4" t="s">
        <v>32</v>
      </c>
      <c r="M459" s="4" t="s">
        <v>33</v>
      </c>
      <c r="N459" s="4" t="s">
        <v>112</v>
      </c>
      <c r="O459" s="4" t="s">
        <v>25</v>
      </c>
      <c r="P459" s="4" t="s">
        <v>92</v>
      </c>
      <c r="Q459" s="4" t="s">
        <v>79</v>
      </c>
      <c r="R459" s="4"/>
    </row>
    <row r="460" spans="1:18">
      <c r="A460">
        <v>459</v>
      </c>
      <c r="B460" s="3">
        <v>46197.455972222197</v>
      </c>
      <c r="C460" s="3">
        <v>46197.458414351902</v>
      </c>
      <c r="D460" s="4" t="s">
        <v>18</v>
      </c>
      <c r="E460" s="4"/>
      <c r="F460" s="1">
        <v>46197</v>
      </c>
      <c r="G460" s="4" t="s">
        <v>1480</v>
      </c>
      <c r="H460" s="4" t="s">
        <v>1481</v>
      </c>
      <c r="I460" s="5" t="s">
        <v>1482</v>
      </c>
      <c r="J460" s="4" t="s">
        <v>1483</v>
      </c>
      <c r="K460" s="4" t="s">
        <v>1353</v>
      </c>
      <c r="L460" s="4" t="s">
        <v>91</v>
      </c>
      <c r="M460" s="4" t="s">
        <v>60</v>
      </c>
      <c r="N460" s="4" t="s">
        <v>60</v>
      </c>
      <c r="O460" s="4" t="s">
        <v>25</v>
      </c>
      <c r="P460" s="4" t="s">
        <v>92</v>
      </c>
      <c r="Q460" s="4" t="s">
        <v>79</v>
      </c>
      <c r="R460" s="4"/>
    </row>
    <row r="461" spans="1:18">
      <c r="A461">
        <v>460</v>
      </c>
      <c r="B461" s="3">
        <v>46197.458437499998</v>
      </c>
      <c r="C461" s="3">
        <v>46197.462407407402</v>
      </c>
      <c r="D461" s="4" t="s">
        <v>18</v>
      </c>
      <c r="E461" s="4"/>
      <c r="F461" s="1">
        <v>46197</v>
      </c>
      <c r="G461" s="4" t="s">
        <v>144</v>
      </c>
      <c r="H461" s="4" t="s">
        <v>1484</v>
      </c>
      <c r="I461" s="5" t="s">
        <v>1485</v>
      </c>
      <c r="J461" s="4" t="s">
        <v>1486</v>
      </c>
      <c r="K461" s="4" t="s">
        <v>1487</v>
      </c>
      <c r="L461" s="4" t="s">
        <v>91</v>
      </c>
      <c r="M461" s="4" t="s">
        <v>112</v>
      </c>
      <c r="N461" s="4" t="s">
        <v>33</v>
      </c>
      <c r="O461" s="4" t="s">
        <v>25</v>
      </c>
      <c r="P461" s="4" t="s">
        <v>50</v>
      </c>
      <c r="Q461" s="4" t="s">
        <v>79</v>
      </c>
      <c r="R461" s="4"/>
    </row>
    <row r="462" spans="1:18">
      <c r="A462">
        <v>461</v>
      </c>
      <c r="B462" s="3">
        <v>46197.609386574099</v>
      </c>
      <c r="C462" s="3">
        <v>46197.610752314802</v>
      </c>
      <c r="D462" s="4" t="s">
        <v>18</v>
      </c>
      <c r="E462" s="4"/>
      <c r="F462" s="1">
        <v>46197</v>
      </c>
      <c r="G462" s="4" t="s">
        <v>434</v>
      </c>
      <c r="H462" s="4" t="s">
        <v>626</v>
      </c>
      <c r="I462" s="5" t="s">
        <v>1478</v>
      </c>
      <c r="J462" s="4" t="s">
        <v>1488</v>
      </c>
      <c r="K462" s="4" t="s">
        <v>143</v>
      </c>
      <c r="L462" s="4" t="s">
        <v>32</v>
      </c>
      <c r="M462" s="4" t="s">
        <v>33</v>
      </c>
      <c r="N462" s="4" t="s">
        <v>112</v>
      </c>
      <c r="O462" s="4" t="s">
        <v>25</v>
      </c>
      <c r="P462" s="4" t="s">
        <v>92</v>
      </c>
      <c r="Q462" s="4" t="s">
        <v>93</v>
      </c>
      <c r="R462" s="4"/>
    </row>
    <row r="463" spans="1:18">
      <c r="A463">
        <v>462</v>
      </c>
      <c r="B463" s="3">
        <v>46197.762118055602</v>
      </c>
      <c r="C463" s="3">
        <v>46197.764201388898</v>
      </c>
      <c r="D463" s="4" t="s">
        <v>18</v>
      </c>
      <c r="E463" s="4"/>
      <c r="F463" s="1">
        <v>46197</v>
      </c>
      <c r="G463" s="4" t="s">
        <v>134</v>
      </c>
      <c r="H463" s="4" t="s">
        <v>185</v>
      </c>
      <c r="I463" s="5" t="s">
        <v>1489</v>
      </c>
      <c r="J463" s="4" t="s">
        <v>1117</v>
      </c>
      <c r="K463" s="4" t="s">
        <v>665</v>
      </c>
      <c r="L463" s="4" t="s">
        <v>148</v>
      </c>
      <c r="M463" s="4" t="s">
        <v>33</v>
      </c>
      <c r="N463" s="4" t="s">
        <v>896</v>
      </c>
      <c r="O463" s="4" t="s">
        <v>25</v>
      </c>
      <c r="P463" s="4" t="s">
        <v>36</v>
      </c>
      <c r="Q463" s="4" t="s">
        <v>79</v>
      </c>
      <c r="R463" s="4"/>
    </row>
    <row r="464" spans="1:18">
      <c r="A464">
        <v>463</v>
      </c>
      <c r="B464" s="3">
        <v>46197.764236111099</v>
      </c>
      <c r="C464" s="3">
        <v>46197.768553240698</v>
      </c>
      <c r="D464" s="4" t="s">
        <v>18</v>
      </c>
      <c r="E464" s="4"/>
      <c r="F464" s="1">
        <v>46197</v>
      </c>
      <c r="G464" s="4" t="s">
        <v>188</v>
      </c>
      <c r="H464" s="4" t="s">
        <v>188</v>
      </c>
      <c r="I464" s="5" t="s">
        <v>1490</v>
      </c>
      <c r="J464" s="4" t="s">
        <v>1491</v>
      </c>
      <c r="K464" s="4" t="s">
        <v>727</v>
      </c>
      <c r="L464" s="4" t="s">
        <v>148</v>
      </c>
      <c r="M464" s="4" t="s">
        <v>24</v>
      </c>
      <c r="N464" s="4" t="s">
        <v>45</v>
      </c>
      <c r="O464" s="4" t="s">
        <v>25</v>
      </c>
      <c r="P464" s="4" t="s">
        <v>36</v>
      </c>
      <c r="Q464" s="4" t="s">
        <v>79</v>
      </c>
      <c r="R464" s="4"/>
    </row>
    <row r="465" spans="1:18">
      <c r="A465">
        <v>464</v>
      </c>
      <c r="B465" s="3">
        <v>46197.768576388902</v>
      </c>
      <c r="C465" s="3">
        <v>46197.770243055602</v>
      </c>
      <c r="D465" s="4" t="s">
        <v>18</v>
      </c>
      <c r="E465" s="4"/>
      <c r="F465" s="1">
        <v>46197</v>
      </c>
      <c r="G465" s="4" t="s">
        <v>1492</v>
      </c>
      <c r="H465" s="4" t="s">
        <v>1253</v>
      </c>
      <c r="I465" s="5" t="s">
        <v>1493</v>
      </c>
      <c r="J465" s="4" t="s">
        <v>1494</v>
      </c>
      <c r="K465" s="4" t="s">
        <v>22</v>
      </c>
      <c r="L465" s="4" t="s">
        <v>148</v>
      </c>
      <c r="M465" s="4" t="s">
        <v>33</v>
      </c>
      <c r="N465" s="4" t="s">
        <v>896</v>
      </c>
      <c r="O465" s="4" t="s">
        <v>25</v>
      </c>
      <c r="P465" s="4" t="s">
        <v>36</v>
      </c>
      <c r="Q465" s="4" t="s">
        <v>79</v>
      </c>
      <c r="R465" s="4"/>
    </row>
    <row r="466" spans="1:18">
      <c r="A466">
        <v>465</v>
      </c>
      <c r="B466" s="3">
        <v>46197.844502314802</v>
      </c>
      <c r="C466" s="3">
        <v>46197.846435185202</v>
      </c>
      <c r="D466" s="4" t="s">
        <v>18</v>
      </c>
      <c r="E466" s="4"/>
      <c r="F466" s="1">
        <v>46197</v>
      </c>
      <c r="G466" s="4" t="s">
        <v>425</v>
      </c>
      <c r="H466" s="4" t="s">
        <v>1495</v>
      </c>
      <c r="I466" s="5" t="s">
        <v>1496</v>
      </c>
      <c r="J466" s="4" t="s">
        <v>1497</v>
      </c>
      <c r="K466" s="4" t="s">
        <v>31</v>
      </c>
      <c r="L466" s="4" t="s">
        <v>44</v>
      </c>
      <c r="M466" s="4" t="s">
        <v>226</v>
      </c>
      <c r="N466" s="4" t="s">
        <v>61</v>
      </c>
      <c r="O466" s="4" t="s">
        <v>25</v>
      </c>
      <c r="P466" s="4" t="s">
        <v>347</v>
      </c>
      <c r="Q466" s="4" t="s">
        <v>27</v>
      </c>
      <c r="R466" s="4"/>
    </row>
    <row r="467" spans="1:18">
      <c r="A467">
        <v>466</v>
      </c>
      <c r="B467" s="3">
        <v>46197.846759259301</v>
      </c>
      <c r="C467" s="3">
        <v>46197.847615740699</v>
      </c>
      <c r="D467" s="4" t="s">
        <v>18</v>
      </c>
      <c r="E467" s="4"/>
      <c r="F467" s="1">
        <v>46197</v>
      </c>
      <c r="G467" s="4" t="s">
        <v>185</v>
      </c>
      <c r="H467" s="4" t="s">
        <v>1498</v>
      </c>
      <c r="I467" s="5" t="s">
        <v>1499</v>
      </c>
      <c r="J467" s="4" t="s">
        <v>1500</v>
      </c>
      <c r="K467" s="4" t="s">
        <v>883</v>
      </c>
      <c r="L467" s="4" t="s">
        <v>44</v>
      </c>
      <c r="M467" s="4" t="s">
        <v>819</v>
      </c>
      <c r="N467" s="4" t="s">
        <v>61</v>
      </c>
      <c r="O467" s="4" t="s">
        <v>25</v>
      </c>
      <c r="P467" s="4" t="s">
        <v>69</v>
      </c>
      <c r="Q467" s="4" t="s">
        <v>27</v>
      </c>
      <c r="R467" s="4"/>
    </row>
    <row r="468" spans="1:18">
      <c r="A468">
        <v>467</v>
      </c>
      <c r="B468" s="3">
        <v>46197.847662036998</v>
      </c>
      <c r="C468" s="3">
        <v>46197.848449074103</v>
      </c>
      <c r="D468" s="4" t="s">
        <v>18</v>
      </c>
      <c r="E468" s="4"/>
      <c r="F468" s="1">
        <v>46197</v>
      </c>
      <c r="G468" s="4" t="s">
        <v>185</v>
      </c>
      <c r="H468" s="4" t="s">
        <v>119</v>
      </c>
      <c r="I468" s="5" t="s">
        <v>1501</v>
      </c>
      <c r="J468" s="4" t="s">
        <v>1280</v>
      </c>
      <c r="K468" s="4" t="s">
        <v>883</v>
      </c>
      <c r="L468" s="4" t="s">
        <v>44</v>
      </c>
      <c r="M468" s="4" t="s">
        <v>33</v>
      </c>
      <c r="N468" s="4" t="s">
        <v>819</v>
      </c>
      <c r="O468" s="4" t="s">
        <v>25</v>
      </c>
      <c r="P468" s="4" t="s">
        <v>347</v>
      </c>
      <c r="Q468" s="4" t="s">
        <v>27</v>
      </c>
      <c r="R468" s="4"/>
    </row>
    <row r="469" spans="1:18">
      <c r="A469">
        <v>468</v>
      </c>
      <c r="B469" s="3">
        <v>46197.8485069444</v>
      </c>
      <c r="C469" s="3">
        <v>46197.849456018499</v>
      </c>
      <c r="D469" s="4" t="s">
        <v>18</v>
      </c>
      <c r="E469" s="4"/>
      <c r="F469" s="1">
        <v>46197</v>
      </c>
      <c r="G469" s="4" t="s">
        <v>1502</v>
      </c>
      <c r="H469" s="4" t="s">
        <v>1461</v>
      </c>
      <c r="I469" s="5" t="s">
        <v>1462</v>
      </c>
      <c r="J469" s="4" t="s">
        <v>1503</v>
      </c>
      <c r="K469" s="4" t="s">
        <v>1364</v>
      </c>
      <c r="L469" s="4" t="s">
        <v>44</v>
      </c>
      <c r="M469" s="4" t="s">
        <v>226</v>
      </c>
      <c r="N469" s="4" t="s">
        <v>61</v>
      </c>
      <c r="O469" s="4" t="s">
        <v>25</v>
      </c>
      <c r="P469" s="4" t="s">
        <v>36</v>
      </c>
      <c r="Q469" s="4" t="s">
        <v>27</v>
      </c>
      <c r="R469" s="4"/>
    </row>
    <row r="470" spans="1:18">
      <c r="A470">
        <v>469</v>
      </c>
      <c r="B470" s="3">
        <v>46197.855358796303</v>
      </c>
      <c r="C470" s="3">
        <v>46197.856111111098</v>
      </c>
      <c r="D470" s="4" t="s">
        <v>18</v>
      </c>
      <c r="E470" s="4"/>
      <c r="F470" s="1">
        <v>46197</v>
      </c>
      <c r="G470" s="4" t="s">
        <v>1427</v>
      </c>
      <c r="H470" s="4" t="s">
        <v>1427</v>
      </c>
      <c r="I470" s="5" t="s">
        <v>1504</v>
      </c>
      <c r="J470" s="4" t="s">
        <v>290</v>
      </c>
      <c r="K470" s="4" t="s">
        <v>492</v>
      </c>
      <c r="L470" s="4" t="s">
        <v>148</v>
      </c>
      <c r="M470" s="4" t="s">
        <v>33</v>
      </c>
      <c r="N470" s="4" t="s">
        <v>819</v>
      </c>
      <c r="O470" s="4" t="s">
        <v>25</v>
      </c>
      <c r="P470" s="4" t="s">
        <v>69</v>
      </c>
      <c r="Q470" s="4" t="s">
        <v>27</v>
      </c>
      <c r="R470" s="4"/>
    </row>
    <row r="471" spans="1:18">
      <c r="A471">
        <v>470</v>
      </c>
      <c r="B471" s="3">
        <v>46197.890196759297</v>
      </c>
      <c r="C471" s="3">
        <v>46197.891956018502</v>
      </c>
      <c r="D471" s="4" t="s">
        <v>18</v>
      </c>
      <c r="E471" s="4"/>
      <c r="F471" s="1">
        <v>46197</v>
      </c>
      <c r="G471" s="4" t="s">
        <v>1505</v>
      </c>
      <c r="H471" s="4" t="s">
        <v>1506</v>
      </c>
      <c r="I471" s="5" t="s">
        <v>1507</v>
      </c>
      <c r="J471" s="4" t="s">
        <v>1508</v>
      </c>
      <c r="K471" s="4" t="s">
        <v>31</v>
      </c>
      <c r="L471" s="4" t="s">
        <v>32</v>
      </c>
      <c r="M471" s="4" t="s">
        <v>112</v>
      </c>
      <c r="N471" s="4" t="s">
        <v>34</v>
      </c>
      <c r="O471" s="4" t="s">
        <v>25</v>
      </c>
      <c r="P471" s="4" t="s">
        <v>36</v>
      </c>
      <c r="Q471" s="4" t="s">
        <v>27</v>
      </c>
      <c r="R471" s="4"/>
    </row>
    <row r="472" spans="1:18">
      <c r="A472">
        <v>471</v>
      </c>
      <c r="B472" s="3">
        <v>46198.331678240698</v>
      </c>
      <c r="C472" s="3">
        <v>46198.335902777799</v>
      </c>
      <c r="D472" s="4" t="s">
        <v>18</v>
      </c>
      <c r="E472" s="4"/>
      <c r="F472" s="1">
        <v>46198</v>
      </c>
      <c r="G472" s="4" t="s">
        <v>392</v>
      </c>
      <c r="H472" s="4" t="s">
        <v>1509</v>
      </c>
      <c r="I472" s="5" t="s">
        <v>1510</v>
      </c>
      <c r="J472" s="4" t="s">
        <v>1511</v>
      </c>
      <c r="K472" s="4" t="s">
        <v>1458</v>
      </c>
      <c r="L472" s="4" t="s">
        <v>23</v>
      </c>
      <c r="M472" s="4" t="s">
        <v>33</v>
      </c>
      <c r="N472" s="4" t="s">
        <v>896</v>
      </c>
      <c r="O472" s="4" t="s">
        <v>25</v>
      </c>
      <c r="P472" s="4" t="s">
        <v>36</v>
      </c>
      <c r="Q472" s="4" t="s">
        <v>79</v>
      </c>
      <c r="R472" s="4" t="s">
        <v>1512</v>
      </c>
    </row>
    <row r="473" spans="1:18">
      <c r="A473">
        <v>472</v>
      </c>
      <c r="B473" s="3">
        <v>46198.403449074103</v>
      </c>
      <c r="C473" s="3">
        <v>46198.407141203701</v>
      </c>
      <c r="D473" s="4" t="s">
        <v>18</v>
      </c>
      <c r="E473" s="4"/>
      <c r="F473" s="1">
        <v>46198</v>
      </c>
      <c r="G473" s="4" t="s">
        <v>353</v>
      </c>
      <c r="H473" s="4" t="s">
        <v>1311</v>
      </c>
      <c r="I473" s="5" t="s">
        <v>1513</v>
      </c>
      <c r="J473" s="4" t="s">
        <v>1514</v>
      </c>
      <c r="K473" s="4" t="s">
        <v>212</v>
      </c>
      <c r="L473" s="4" t="s">
        <v>98</v>
      </c>
      <c r="M473" s="4" t="s">
        <v>825</v>
      </c>
      <c r="N473" s="4" t="s">
        <v>61</v>
      </c>
      <c r="O473" s="4" t="s">
        <v>25</v>
      </c>
      <c r="P473" s="4" t="s">
        <v>36</v>
      </c>
      <c r="Q473" s="4" t="s">
        <v>93</v>
      </c>
      <c r="R473" s="4"/>
    </row>
    <row r="474" spans="1:18">
      <c r="A474">
        <v>473</v>
      </c>
      <c r="B474" s="3">
        <v>46198.407175925902</v>
      </c>
      <c r="C474" s="3">
        <v>46198.408483796302</v>
      </c>
      <c r="D474" s="4" t="s">
        <v>18</v>
      </c>
      <c r="E474" s="4"/>
      <c r="F474" s="1">
        <v>46198</v>
      </c>
      <c r="G474" s="4" t="s">
        <v>353</v>
      </c>
      <c r="H474" s="4" t="s">
        <v>1311</v>
      </c>
      <c r="I474" s="5" t="s">
        <v>1515</v>
      </c>
      <c r="J474" s="4" t="s">
        <v>1516</v>
      </c>
      <c r="K474" s="4" t="s">
        <v>212</v>
      </c>
      <c r="L474" s="4" t="s">
        <v>98</v>
      </c>
      <c r="M474" s="4" t="s">
        <v>825</v>
      </c>
      <c r="N474" s="4" t="s">
        <v>61</v>
      </c>
      <c r="O474" s="4" t="s">
        <v>25</v>
      </c>
      <c r="P474" s="4" t="s">
        <v>36</v>
      </c>
      <c r="Q474" s="4" t="s">
        <v>27</v>
      </c>
      <c r="R474" s="4"/>
    </row>
    <row r="475" spans="1:18">
      <c r="A475">
        <v>474</v>
      </c>
      <c r="B475" s="3">
        <v>46198.408506944397</v>
      </c>
      <c r="C475" s="3">
        <v>46198.410717592596</v>
      </c>
      <c r="D475" s="4" t="s">
        <v>18</v>
      </c>
      <c r="E475" s="4"/>
      <c r="F475" s="1">
        <v>46198</v>
      </c>
      <c r="G475" s="4" t="s">
        <v>353</v>
      </c>
      <c r="H475" s="4" t="s">
        <v>1311</v>
      </c>
      <c r="I475" s="5" t="s">
        <v>1517</v>
      </c>
      <c r="J475" s="4" t="s">
        <v>1518</v>
      </c>
      <c r="K475" s="4" t="s">
        <v>356</v>
      </c>
      <c r="L475" s="4" t="s">
        <v>98</v>
      </c>
      <c r="M475" s="4" t="s">
        <v>825</v>
      </c>
      <c r="N475" s="4" t="s">
        <v>61</v>
      </c>
      <c r="O475" s="4" t="s">
        <v>25</v>
      </c>
      <c r="P475" s="4" t="s">
        <v>36</v>
      </c>
      <c r="Q475" s="4" t="s">
        <v>27</v>
      </c>
      <c r="R475" s="4"/>
    </row>
    <row r="476" spans="1:18">
      <c r="A476">
        <v>475</v>
      </c>
      <c r="B476" s="3">
        <v>46198.409652777802</v>
      </c>
      <c r="C476" s="3">
        <v>46198.411377314798</v>
      </c>
      <c r="D476" s="4" t="s">
        <v>18</v>
      </c>
      <c r="E476" s="4"/>
      <c r="F476" s="1">
        <v>46198</v>
      </c>
      <c r="G476" s="4" t="s">
        <v>134</v>
      </c>
      <c r="H476" s="4" t="s">
        <v>1376</v>
      </c>
      <c r="I476" s="5" t="s">
        <v>1519</v>
      </c>
      <c r="J476" s="4" t="s">
        <v>1520</v>
      </c>
      <c r="K476" s="4" t="s">
        <v>1521</v>
      </c>
      <c r="L476" s="4" t="s">
        <v>266</v>
      </c>
      <c r="M476" s="4" t="s">
        <v>112</v>
      </c>
      <c r="N476" s="4" t="s">
        <v>60</v>
      </c>
      <c r="O476" s="4" t="s">
        <v>25</v>
      </c>
      <c r="P476" s="4" t="s">
        <v>36</v>
      </c>
      <c r="Q476" s="4" t="s">
        <v>27</v>
      </c>
      <c r="R476" s="4"/>
    </row>
    <row r="477" spans="1:18">
      <c r="A477">
        <v>476</v>
      </c>
      <c r="B477" s="3">
        <v>46198.414884259299</v>
      </c>
      <c r="C477" s="3">
        <v>46198.415405092601</v>
      </c>
      <c r="D477" s="4" t="s">
        <v>18</v>
      </c>
      <c r="E477" s="4"/>
      <c r="F477" s="1">
        <v>46199</v>
      </c>
      <c r="G477" s="4" t="s">
        <v>83</v>
      </c>
      <c r="H477" s="4" t="s">
        <v>1390</v>
      </c>
      <c r="I477" s="5" t="s">
        <v>1522</v>
      </c>
      <c r="J477" s="4" t="s">
        <v>1523</v>
      </c>
      <c r="K477" s="4" t="s">
        <v>761</v>
      </c>
      <c r="L477" s="4" t="s">
        <v>148</v>
      </c>
      <c r="M477" s="4" t="s">
        <v>33</v>
      </c>
      <c r="N477" s="4" t="s">
        <v>896</v>
      </c>
      <c r="O477" s="4" t="s">
        <v>35</v>
      </c>
      <c r="P477" s="4" t="s">
        <v>36</v>
      </c>
      <c r="Q477" s="4" t="s">
        <v>79</v>
      </c>
      <c r="R477" s="4"/>
    </row>
    <row r="478" spans="1:18">
      <c r="A478">
        <v>477</v>
      </c>
      <c r="B478" s="3">
        <v>46198.422789351898</v>
      </c>
      <c r="C478" s="3">
        <v>46198.4235416667</v>
      </c>
      <c r="D478" s="4" t="s">
        <v>18</v>
      </c>
      <c r="E478" s="4"/>
      <c r="F478" s="1">
        <v>46198</v>
      </c>
      <c r="G478" s="4" t="s">
        <v>900</v>
      </c>
      <c r="H478" s="4" t="s">
        <v>900</v>
      </c>
      <c r="I478" s="5" t="s">
        <v>1524</v>
      </c>
      <c r="J478" s="4" t="s">
        <v>1525</v>
      </c>
      <c r="K478" s="4" t="s">
        <v>783</v>
      </c>
      <c r="L478" s="4" t="s">
        <v>266</v>
      </c>
      <c r="M478" s="4" t="s">
        <v>112</v>
      </c>
      <c r="N478" s="4" t="s">
        <v>60</v>
      </c>
      <c r="O478" s="4" t="s">
        <v>25</v>
      </c>
      <c r="P478" s="4" t="s">
        <v>36</v>
      </c>
      <c r="Q478" s="4" t="s">
        <v>27</v>
      </c>
      <c r="R478" s="4"/>
    </row>
    <row r="479" spans="1:18">
      <c r="A479">
        <v>478</v>
      </c>
      <c r="B479" s="3">
        <v>46198.451944444401</v>
      </c>
      <c r="C479" s="3">
        <v>46198.453831018502</v>
      </c>
      <c r="D479" s="4" t="s">
        <v>18</v>
      </c>
      <c r="E479" s="4"/>
      <c r="F479" s="1">
        <v>46198</v>
      </c>
      <c r="G479" s="4" t="s">
        <v>134</v>
      </c>
      <c r="H479" s="4" t="s">
        <v>65</v>
      </c>
      <c r="I479" s="5" t="s">
        <v>1526</v>
      </c>
      <c r="J479" s="4" t="s">
        <v>1527</v>
      </c>
      <c r="K479" s="4" t="s">
        <v>31</v>
      </c>
      <c r="L479" s="4" t="s">
        <v>44</v>
      </c>
      <c r="M479" s="4" t="s">
        <v>825</v>
      </c>
      <c r="N479" s="4" t="s">
        <v>61</v>
      </c>
      <c r="O479" s="4" t="s">
        <v>25</v>
      </c>
      <c r="P479" s="4" t="s">
        <v>36</v>
      </c>
      <c r="Q479" s="4" t="s">
        <v>27</v>
      </c>
      <c r="R479" s="4"/>
    </row>
    <row r="480" spans="1:18">
      <c r="A480">
        <v>479</v>
      </c>
      <c r="B480" s="3">
        <v>46198.4539351852</v>
      </c>
      <c r="C480" s="3">
        <v>46198.455300925903</v>
      </c>
      <c r="D480" s="4" t="s">
        <v>18</v>
      </c>
      <c r="E480" s="4"/>
      <c r="F480" s="1">
        <v>46198</v>
      </c>
      <c r="G480" s="4" t="s">
        <v>134</v>
      </c>
      <c r="H480" s="4" t="s">
        <v>65</v>
      </c>
      <c r="I480" s="5" t="s">
        <v>1528</v>
      </c>
      <c r="J480" s="4" t="s">
        <v>1280</v>
      </c>
      <c r="K480" s="4" t="s">
        <v>1529</v>
      </c>
      <c r="L480" s="4" t="s">
        <v>44</v>
      </c>
      <c r="M480" s="4" t="s">
        <v>825</v>
      </c>
      <c r="N480" s="4" t="s">
        <v>61</v>
      </c>
      <c r="O480" s="4" t="s">
        <v>25</v>
      </c>
      <c r="P480" s="4" t="s">
        <v>347</v>
      </c>
      <c r="Q480" s="4" t="s">
        <v>27</v>
      </c>
      <c r="R480" s="4"/>
    </row>
    <row r="481" spans="1:18">
      <c r="A481">
        <v>480</v>
      </c>
      <c r="B481" s="3">
        <v>46198.455335648097</v>
      </c>
      <c r="C481" s="3">
        <v>46198.456261574102</v>
      </c>
      <c r="D481" s="4" t="s">
        <v>18</v>
      </c>
      <c r="E481" s="4"/>
      <c r="F481" s="1">
        <v>46198</v>
      </c>
      <c r="G481" s="5" t="s">
        <v>1530</v>
      </c>
      <c r="H481" s="5" t="s">
        <v>1531</v>
      </c>
      <c r="I481" s="5" t="s">
        <v>1532</v>
      </c>
      <c r="J481" s="4" t="s">
        <v>1449</v>
      </c>
      <c r="K481" s="4" t="s">
        <v>1529</v>
      </c>
      <c r="L481" s="4" t="s">
        <v>44</v>
      </c>
      <c r="M481" s="4" t="s">
        <v>825</v>
      </c>
      <c r="N481" s="4" t="s">
        <v>61</v>
      </c>
      <c r="O481" s="4" t="s">
        <v>25</v>
      </c>
      <c r="P481" s="4" t="s">
        <v>347</v>
      </c>
      <c r="Q481" s="4" t="s">
        <v>27</v>
      </c>
      <c r="R481" s="4"/>
    </row>
    <row r="482" spans="1:18">
      <c r="A482">
        <v>481</v>
      </c>
      <c r="B482" s="3">
        <v>46198.415451388901</v>
      </c>
      <c r="C482" s="3">
        <v>46198.487534722197</v>
      </c>
      <c r="D482" s="4" t="s">
        <v>18</v>
      </c>
      <c r="E482" s="4"/>
      <c r="F482" s="1">
        <v>46198</v>
      </c>
      <c r="G482" s="4" t="s">
        <v>1533</v>
      </c>
      <c r="H482" s="4" t="s">
        <v>1533</v>
      </c>
      <c r="I482" s="5" t="s">
        <v>1534</v>
      </c>
      <c r="J482" s="4" t="s">
        <v>1535</v>
      </c>
      <c r="K482" s="4" t="s">
        <v>1259</v>
      </c>
      <c r="L482" s="4" t="s">
        <v>148</v>
      </c>
      <c r="M482" s="4" t="s">
        <v>112</v>
      </c>
      <c r="N482" s="4" t="s">
        <v>896</v>
      </c>
      <c r="O482" s="4" t="s">
        <v>25</v>
      </c>
      <c r="P482" s="4" t="s">
        <v>36</v>
      </c>
      <c r="Q482" s="4" t="s">
        <v>79</v>
      </c>
      <c r="R482" s="4"/>
    </row>
    <row r="483" spans="1:18">
      <c r="A483">
        <v>482</v>
      </c>
      <c r="B483" s="3">
        <v>46198.487488425897</v>
      </c>
      <c r="C483" s="3">
        <v>46198.490173611099</v>
      </c>
      <c r="D483" s="4" t="s">
        <v>18</v>
      </c>
      <c r="E483" s="4"/>
      <c r="F483" s="1">
        <v>46198</v>
      </c>
      <c r="G483" s="4" t="s">
        <v>1343</v>
      </c>
      <c r="H483" s="4" t="s">
        <v>1344</v>
      </c>
      <c r="I483" s="5" t="s">
        <v>1536</v>
      </c>
      <c r="J483" s="4" t="s">
        <v>1537</v>
      </c>
      <c r="K483" s="4" t="s">
        <v>492</v>
      </c>
      <c r="L483" s="4" t="s">
        <v>148</v>
      </c>
      <c r="M483" s="4" t="s">
        <v>33</v>
      </c>
      <c r="N483" s="4" t="s">
        <v>896</v>
      </c>
      <c r="O483" s="4" t="s">
        <v>35</v>
      </c>
      <c r="P483" s="4" t="s">
        <v>36</v>
      </c>
      <c r="Q483" s="4" t="s">
        <v>27</v>
      </c>
      <c r="R483" s="4"/>
    </row>
    <row r="484" spans="1:18">
      <c r="A484">
        <v>483</v>
      </c>
      <c r="B484" s="3">
        <v>46198.4902546296</v>
      </c>
      <c r="C484" s="3">
        <v>46198.492627314801</v>
      </c>
      <c r="D484" s="4" t="s">
        <v>18</v>
      </c>
      <c r="E484" s="4"/>
      <c r="F484" s="1">
        <v>46198</v>
      </c>
      <c r="G484" s="4" t="s">
        <v>680</v>
      </c>
      <c r="H484" s="4" t="s">
        <v>680</v>
      </c>
      <c r="I484" s="5" t="s">
        <v>1538</v>
      </c>
      <c r="J484" s="4" t="s">
        <v>1539</v>
      </c>
      <c r="K484" s="4" t="s">
        <v>665</v>
      </c>
      <c r="L484" s="4" t="s">
        <v>148</v>
      </c>
      <c r="M484" s="4" t="s">
        <v>33</v>
      </c>
      <c r="N484" s="4" t="s">
        <v>896</v>
      </c>
      <c r="O484" s="4" t="s">
        <v>35</v>
      </c>
      <c r="P484" s="4" t="s">
        <v>50</v>
      </c>
      <c r="Q484" s="4" t="s">
        <v>27</v>
      </c>
      <c r="R484" s="4"/>
    </row>
    <row r="485" spans="1:18">
      <c r="A485">
        <v>484</v>
      </c>
      <c r="B485" s="3">
        <v>46198.493831018503</v>
      </c>
      <c r="C485" s="3">
        <v>46198.495775463001</v>
      </c>
      <c r="D485" s="4" t="s">
        <v>18</v>
      </c>
      <c r="E485" s="4"/>
      <c r="F485" s="1">
        <v>46198</v>
      </c>
      <c r="G485" s="4" t="s">
        <v>1540</v>
      </c>
      <c r="H485" s="4" t="s">
        <v>1541</v>
      </c>
      <c r="I485" s="5" t="s">
        <v>1345</v>
      </c>
      <c r="J485" s="4" t="s">
        <v>1542</v>
      </c>
      <c r="K485" s="4" t="s">
        <v>22</v>
      </c>
      <c r="L485" s="4" t="s">
        <v>23</v>
      </c>
      <c r="M485" s="4" t="s">
        <v>60</v>
      </c>
      <c r="N485" s="4" t="s">
        <v>34</v>
      </c>
      <c r="O485" s="4" t="s">
        <v>25</v>
      </c>
      <c r="P485" s="4" t="s">
        <v>36</v>
      </c>
      <c r="Q485" s="4" t="s">
        <v>79</v>
      </c>
      <c r="R485" s="4"/>
    </row>
    <row r="486" spans="1:18">
      <c r="A486">
        <v>485</v>
      </c>
      <c r="B486" s="3">
        <v>46198.561631944402</v>
      </c>
      <c r="C486" s="3">
        <v>46198.5628587963</v>
      </c>
      <c r="D486" s="4" t="s">
        <v>18</v>
      </c>
      <c r="E486" s="4"/>
      <c r="F486" s="1">
        <v>46198</v>
      </c>
      <c r="G486" s="4" t="s">
        <v>1543</v>
      </c>
      <c r="H486" s="4" t="s">
        <v>1321</v>
      </c>
      <c r="I486" s="5" t="s">
        <v>1544</v>
      </c>
      <c r="J486" s="4" t="s">
        <v>1545</v>
      </c>
      <c r="K486" s="4" t="s">
        <v>1546</v>
      </c>
      <c r="L486" s="4" t="s">
        <v>91</v>
      </c>
      <c r="M486" s="4" t="s">
        <v>34</v>
      </c>
      <c r="N486" s="4" t="s">
        <v>896</v>
      </c>
      <c r="O486" s="4" t="s">
        <v>25</v>
      </c>
      <c r="P486" s="4" t="s">
        <v>69</v>
      </c>
      <c r="Q486" s="4" t="s">
        <v>93</v>
      </c>
      <c r="R486" s="4"/>
    </row>
    <row r="487" spans="1:18">
      <c r="A487">
        <v>486</v>
      </c>
      <c r="B487" s="3">
        <v>46198.5629050926</v>
      </c>
      <c r="C487" s="3">
        <v>46198.564351851797</v>
      </c>
      <c r="D487" s="4" t="s">
        <v>18</v>
      </c>
      <c r="E487" s="4"/>
      <c r="F487" s="1">
        <v>46198</v>
      </c>
      <c r="G487" s="4" t="s">
        <v>1547</v>
      </c>
      <c r="H487" s="4" t="s">
        <v>1548</v>
      </c>
      <c r="I487" s="5" t="s">
        <v>1549</v>
      </c>
      <c r="J487" s="4" t="s">
        <v>1550</v>
      </c>
      <c r="K487" s="4" t="s">
        <v>1551</v>
      </c>
      <c r="L487" s="4" t="s">
        <v>91</v>
      </c>
      <c r="M487" s="4" t="s">
        <v>34</v>
      </c>
      <c r="N487" s="4" t="s">
        <v>60</v>
      </c>
      <c r="O487" s="4" t="s">
        <v>25</v>
      </c>
      <c r="P487" s="4" t="s">
        <v>69</v>
      </c>
      <c r="Q487" s="4" t="s">
        <v>93</v>
      </c>
      <c r="R487" s="4"/>
    </row>
    <row r="488" spans="1:18">
      <c r="A488">
        <v>487</v>
      </c>
      <c r="B488" s="3">
        <v>46198.565138888902</v>
      </c>
      <c r="C488" s="3">
        <v>46198.566863425898</v>
      </c>
      <c r="D488" s="4" t="s">
        <v>18</v>
      </c>
      <c r="E488" s="4"/>
      <c r="F488" s="1">
        <v>46198</v>
      </c>
      <c r="G488" s="4" t="s">
        <v>1552</v>
      </c>
      <c r="H488" s="4" t="s">
        <v>840</v>
      </c>
      <c r="I488" s="5" t="s">
        <v>1553</v>
      </c>
      <c r="J488" s="4" t="s">
        <v>1554</v>
      </c>
      <c r="K488" s="4" t="s">
        <v>1555</v>
      </c>
      <c r="L488" s="4" t="s">
        <v>91</v>
      </c>
      <c r="M488" s="4" t="s">
        <v>34</v>
      </c>
      <c r="N488" s="4" t="s">
        <v>60</v>
      </c>
      <c r="O488" s="4" t="s">
        <v>25</v>
      </c>
      <c r="P488" s="4" t="s">
        <v>50</v>
      </c>
      <c r="Q488" s="4" t="s">
        <v>27</v>
      </c>
      <c r="R488" s="4"/>
    </row>
    <row r="489" spans="1:18">
      <c r="A489">
        <v>488</v>
      </c>
      <c r="B489" s="3">
        <v>46198.643773148098</v>
      </c>
      <c r="C489" s="3">
        <v>46198.647037037001</v>
      </c>
      <c r="D489" s="4" t="s">
        <v>18</v>
      </c>
      <c r="E489" s="4"/>
      <c r="F489" s="1">
        <v>46198</v>
      </c>
      <c r="G489" s="4" t="s">
        <v>1556</v>
      </c>
      <c r="H489" s="4" t="s">
        <v>1055</v>
      </c>
      <c r="I489" s="5" t="s">
        <v>1557</v>
      </c>
      <c r="J489" s="4" t="s">
        <v>1558</v>
      </c>
      <c r="K489" s="4" t="s">
        <v>1559</v>
      </c>
      <c r="L489" s="4" t="s">
        <v>1560</v>
      </c>
      <c r="M489" s="4" t="s">
        <v>33</v>
      </c>
      <c r="N489" s="4" t="s">
        <v>60</v>
      </c>
      <c r="O489" s="4" t="s">
        <v>35</v>
      </c>
      <c r="P489" s="4" t="s">
        <v>213</v>
      </c>
      <c r="Q489" s="4" t="s">
        <v>79</v>
      </c>
      <c r="R489" s="4"/>
    </row>
    <row r="490" spans="1:18">
      <c r="A490">
        <v>489</v>
      </c>
      <c r="B490" s="3">
        <v>46198.7655787037</v>
      </c>
      <c r="C490" s="3">
        <v>46198.773472222201</v>
      </c>
      <c r="D490" s="4" t="s">
        <v>18</v>
      </c>
      <c r="E490" s="4"/>
      <c r="F490" s="1">
        <v>46198</v>
      </c>
      <c r="G490" s="4" t="s">
        <v>83</v>
      </c>
      <c r="H490" s="4" t="s">
        <v>134</v>
      </c>
      <c r="I490" s="5" t="s">
        <v>1561</v>
      </c>
      <c r="J490" s="4" t="s">
        <v>1562</v>
      </c>
      <c r="K490" s="4" t="s">
        <v>1563</v>
      </c>
      <c r="L490" s="4" t="s">
        <v>1560</v>
      </c>
      <c r="M490" s="4" t="s">
        <v>33</v>
      </c>
      <c r="N490" s="4" t="s">
        <v>60</v>
      </c>
      <c r="O490" s="4" t="s">
        <v>35</v>
      </c>
      <c r="P490" s="4" t="s">
        <v>86</v>
      </c>
      <c r="Q490" s="4" t="s">
        <v>27</v>
      </c>
      <c r="R490" s="4"/>
    </row>
    <row r="491" spans="1:18">
      <c r="A491">
        <v>490</v>
      </c>
      <c r="B491" s="3">
        <v>46198.777453703697</v>
      </c>
      <c r="C491" s="3">
        <v>46198.778530092597</v>
      </c>
      <c r="D491" s="4" t="s">
        <v>18</v>
      </c>
      <c r="E491" s="4"/>
      <c r="F491" s="1">
        <v>46198</v>
      </c>
      <c r="G491" s="4" t="s">
        <v>1433</v>
      </c>
      <c r="H491" s="4" t="s">
        <v>119</v>
      </c>
      <c r="I491" s="5" t="s">
        <v>1564</v>
      </c>
      <c r="J491" s="4" t="s">
        <v>1565</v>
      </c>
      <c r="K491" s="4" t="s">
        <v>31</v>
      </c>
      <c r="L491" s="4" t="s">
        <v>32</v>
      </c>
      <c r="M491" s="4" t="s">
        <v>825</v>
      </c>
      <c r="N491" s="4" t="s">
        <v>61</v>
      </c>
      <c r="O491" s="4" t="s">
        <v>25</v>
      </c>
      <c r="P491" s="4" t="s">
        <v>69</v>
      </c>
      <c r="Q491" s="4" t="s">
        <v>93</v>
      </c>
      <c r="R491" s="4"/>
    </row>
    <row r="492" spans="1:18">
      <c r="A492">
        <v>491</v>
      </c>
      <c r="B492" s="3">
        <v>46198.778692129599</v>
      </c>
      <c r="C492" s="3">
        <v>46198.780543981498</v>
      </c>
      <c r="D492" s="4" t="s">
        <v>18</v>
      </c>
      <c r="E492" s="4"/>
      <c r="F492" s="1">
        <v>46198</v>
      </c>
      <c r="G492" s="4" t="s">
        <v>56</v>
      </c>
      <c r="H492" s="4" t="s">
        <v>94</v>
      </c>
      <c r="I492" s="5" t="s">
        <v>1566</v>
      </c>
      <c r="J492" s="4" t="s">
        <v>1567</v>
      </c>
      <c r="K492" s="4" t="s">
        <v>143</v>
      </c>
      <c r="L492" s="4" t="s">
        <v>32</v>
      </c>
      <c r="M492" s="4" t="s">
        <v>33</v>
      </c>
      <c r="N492" s="4" t="s">
        <v>34</v>
      </c>
      <c r="O492" s="4" t="s">
        <v>25</v>
      </c>
      <c r="P492" s="4" t="s">
        <v>997</v>
      </c>
      <c r="Q492" s="4" t="s">
        <v>93</v>
      </c>
      <c r="R492" s="4"/>
    </row>
    <row r="493" spans="1:18">
      <c r="A493">
        <v>492</v>
      </c>
      <c r="B493" s="3">
        <v>46198.780879629601</v>
      </c>
      <c r="C493" s="3">
        <v>46198.7825578704</v>
      </c>
      <c r="D493" s="4" t="s">
        <v>18</v>
      </c>
      <c r="E493" s="4"/>
      <c r="F493" s="1">
        <v>46198</v>
      </c>
      <c r="G493" s="4" t="s">
        <v>94</v>
      </c>
      <c r="H493" s="4" t="s">
        <v>87</v>
      </c>
      <c r="I493" s="5" t="s">
        <v>1568</v>
      </c>
      <c r="J493" s="4" t="s">
        <v>1569</v>
      </c>
      <c r="K493" s="4" t="s">
        <v>1423</v>
      </c>
      <c r="L493" s="4" t="s">
        <v>32</v>
      </c>
      <c r="M493" s="4" t="s">
        <v>33</v>
      </c>
      <c r="N493" s="4" t="s">
        <v>34</v>
      </c>
      <c r="O493" s="4" t="s">
        <v>25</v>
      </c>
      <c r="P493" s="4" t="s">
        <v>997</v>
      </c>
      <c r="Q493" s="4" t="s">
        <v>93</v>
      </c>
      <c r="R493" s="4"/>
    </row>
    <row r="494" spans="1:18">
      <c r="A494">
        <v>493</v>
      </c>
      <c r="B494" s="3">
        <v>46198.807615740698</v>
      </c>
      <c r="C494" s="3">
        <v>46198.809270833299</v>
      </c>
      <c r="D494" s="4" t="s">
        <v>18</v>
      </c>
      <c r="E494" s="4"/>
      <c r="F494" s="1">
        <v>46198</v>
      </c>
      <c r="G494" s="4" t="s">
        <v>1570</v>
      </c>
      <c r="H494" s="4" t="s">
        <v>1571</v>
      </c>
      <c r="I494" s="5" t="s">
        <v>1572</v>
      </c>
      <c r="J494" s="4" t="s">
        <v>1280</v>
      </c>
      <c r="K494" s="4" t="s">
        <v>31</v>
      </c>
      <c r="L494" s="4" t="s">
        <v>44</v>
      </c>
      <c r="M494" s="4" t="s">
        <v>226</v>
      </c>
      <c r="N494" s="4" t="s">
        <v>61</v>
      </c>
      <c r="O494" s="4" t="s">
        <v>25</v>
      </c>
      <c r="P494" s="4" t="s">
        <v>347</v>
      </c>
      <c r="Q494" s="4" t="s">
        <v>27</v>
      </c>
      <c r="R494" s="4"/>
    </row>
    <row r="495" spans="1:18">
      <c r="A495">
        <v>494</v>
      </c>
      <c r="B495" s="3">
        <v>46199.042453703703</v>
      </c>
      <c r="C495" s="3">
        <v>46199.043807870403</v>
      </c>
      <c r="D495" s="4" t="s">
        <v>18</v>
      </c>
      <c r="E495" s="4"/>
      <c r="F495" s="1">
        <v>46198</v>
      </c>
      <c r="G495" s="4" t="s">
        <v>1573</v>
      </c>
      <c r="H495" s="4" t="s">
        <v>1573</v>
      </c>
      <c r="I495" s="5" t="s">
        <v>1574</v>
      </c>
      <c r="J495" s="4" t="s">
        <v>1575</v>
      </c>
      <c r="K495" s="4" t="s">
        <v>31</v>
      </c>
      <c r="L495" s="4" t="s">
        <v>32</v>
      </c>
      <c r="M495" s="4" t="s">
        <v>226</v>
      </c>
      <c r="N495" s="4" t="s">
        <v>117</v>
      </c>
      <c r="O495" s="4" t="s">
        <v>35</v>
      </c>
      <c r="P495" s="4" t="s">
        <v>36</v>
      </c>
      <c r="Q495" s="4" t="s">
        <v>79</v>
      </c>
      <c r="R495" s="4"/>
    </row>
    <row r="496" spans="1:18">
      <c r="A496">
        <v>495</v>
      </c>
      <c r="B496" s="3">
        <v>46199.337789351797</v>
      </c>
      <c r="C496" s="3">
        <v>46199.341793981497</v>
      </c>
      <c r="D496" s="4" t="s">
        <v>18</v>
      </c>
      <c r="E496" s="4"/>
      <c r="F496" s="1">
        <v>46199</v>
      </c>
      <c r="G496" s="4" t="s">
        <v>1576</v>
      </c>
      <c r="H496" s="4" t="s">
        <v>1577</v>
      </c>
      <c r="I496" s="5" t="s">
        <v>1578</v>
      </c>
      <c r="J496" s="4" t="s">
        <v>1579</v>
      </c>
      <c r="K496" s="4" t="s">
        <v>1458</v>
      </c>
      <c r="L496" s="4" t="s">
        <v>23</v>
      </c>
      <c r="M496" s="4" t="s">
        <v>33</v>
      </c>
      <c r="N496" s="4" t="s">
        <v>896</v>
      </c>
      <c r="O496" s="4" t="s">
        <v>25</v>
      </c>
      <c r="P496" s="4" t="s">
        <v>36</v>
      </c>
      <c r="Q496" s="4" t="s">
        <v>79</v>
      </c>
      <c r="R496" s="4" t="s">
        <v>1580</v>
      </c>
    </row>
    <row r="497" spans="1:18">
      <c r="A497">
        <v>496</v>
      </c>
      <c r="B497" s="3">
        <v>46199.414861111101</v>
      </c>
      <c r="C497" s="3">
        <v>46199.416192129604</v>
      </c>
      <c r="D497" s="4" t="s">
        <v>18</v>
      </c>
      <c r="E497" s="4"/>
      <c r="F497" s="1">
        <v>46199</v>
      </c>
      <c r="G497" s="4" t="s">
        <v>94</v>
      </c>
      <c r="H497" s="4" t="s">
        <v>1581</v>
      </c>
      <c r="I497" s="5" t="s">
        <v>1582</v>
      </c>
      <c r="J497" s="4" t="s">
        <v>1583</v>
      </c>
      <c r="K497" s="4" t="s">
        <v>31</v>
      </c>
      <c r="L497" s="4" t="s">
        <v>32</v>
      </c>
      <c r="M497" s="4" t="s">
        <v>226</v>
      </c>
      <c r="N497" s="4" t="s">
        <v>34</v>
      </c>
      <c r="O497" s="4" t="s">
        <v>25</v>
      </c>
      <c r="P497" s="4" t="s">
        <v>69</v>
      </c>
      <c r="Q497" s="4" t="s">
        <v>93</v>
      </c>
      <c r="R497" s="4"/>
    </row>
    <row r="498" spans="1:18">
      <c r="A498">
        <v>497</v>
      </c>
      <c r="B498" s="3">
        <v>46199.429293981499</v>
      </c>
      <c r="C498" s="3">
        <v>46199.431817129604</v>
      </c>
      <c r="D498" s="4" t="s">
        <v>18</v>
      </c>
      <c r="E498" s="4"/>
      <c r="F498" s="1">
        <v>46199</v>
      </c>
      <c r="G498" s="4" t="s">
        <v>1584</v>
      </c>
      <c r="H498" s="4" t="s">
        <v>1584</v>
      </c>
      <c r="I498" s="5" t="s">
        <v>1585</v>
      </c>
      <c r="J498" s="4" t="s">
        <v>1586</v>
      </c>
      <c r="K498" s="4" t="s">
        <v>356</v>
      </c>
      <c r="L498" s="4" t="s">
        <v>98</v>
      </c>
      <c r="M498" s="4" t="s">
        <v>34</v>
      </c>
      <c r="N498" s="4" t="s">
        <v>226</v>
      </c>
      <c r="O498" s="4" t="s">
        <v>25</v>
      </c>
      <c r="P498" s="4" t="s">
        <v>36</v>
      </c>
      <c r="Q498" s="4" t="s">
        <v>27</v>
      </c>
      <c r="R498" s="4"/>
    </row>
    <row r="499" spans="1:18">
      <c r="A499">
        <v>498</v>
      </c>
      <c r="B499" s="3">
        <v>46199.431851851899</v>
      </c>
      <c r="C499" s="3">
        <v>46199.433472222197</v>
      </c>
      <c r="D499" s="4" t="s">
        <v>18</v>
      </c>
      <c r="E499" s="4"/>
      <c r="F499" s="1">
        <v>46199</v>
      </c>
      <c r="G499" s="4" t="s">
        <v>1587</v>
      </c>
      <c r="H499" s="4" t="s">
        <v>1588</v>
      </c>
      <c r="I499" s="5" t="s">
        <v>1589</v>
      </c>
      <c r="J499" s="4" t="s">
        <v>1590</v>
      </c>
      <c r="K499" s="4" t="s">
        <v>212</v>
      </c>
      <c r="L499" s="4" t="s">
        <v>98</v>
      </c>
      <c r="M499" s="4" t="s">
        <v>34</v>
      </c>
      <c r="N499" s="4" t="s">
        <v>226</v>
      </c>
      <c r="O499" s="4" t="s">
        <v>25</v>
      </c>
      <c r="P499" s="4" t="s">
        <v>36</v>
      </c>
      <c r="Q499" s="4" t="s">
        <v>27</v>
      </c>
      <c r="R499" s="4"/>
    </row>
    <row r="500" spans="1:18">
      <c r="A500">
        <v>499</v>
      </c>
      <c r="B500" s="3">
        <v>46199.433506944399</v>
      </c>
      <c r="C500" s="3">
        <v>46199.435601851903</v>
      </c>
      <c r="D500" s="4" t="s">
        <v>18</v>
      </c>
      <c r="E500" s="4"/>
      <c r="F500" s="1">
        <v>46199</v>
      </c>
      <c r="G500" s="4" t="s">
        <v>174</v>
      </c>
      <c r="H500" s="4" t="s">
        <v>174</v>
      </c>
      <c r="I500" s="5" t="s">
        <v>1591</v>
      </c>
      <c r="J500" s="4" t="s">
        <v>1592</v>
      </c>
      <c r="K500" s="4" t="s">
        <v>212</v>
      </c>
      <c r="L500" s="4" t="s">
        <v>98</v>
      </c>
      <c r="M500" s="4" t="s">
        <v>34</v>
      </c>
      <c r="N500" s="4" t="s">
        <v>226</v>
      </c>
      <c r="O500" s="4" t="s">
        <v>25</v>
      </c>
      <c r="P500" s="4" t="s">
        <v>36</v>
      </c>
      <c r="Q500" s="4" t="s">
        <v>93</v>
      </c>
      <c r="R500" s="4"/>
    </row>
    <row r="501" spans="1:18">
      <c r="A501">
        <v>500</v>
      </c>
      <c r="B501" s="3">
        <v>46199.451099537</v>
      </c>
      <c r="C501" s="3">
        <v>46199.451990740701</v>
      </c>
      <c r="D501" s="4" t="s">
        <v>18</v>
      </c>
      <c r="E501" s="4"/>
      <c r="F501" s="1">
        <v>46199</v>
      </c>
      <c r="G501" s="4" t="s">
        <v>185</v>
      </c>
      <c r="H501" s="4" t="s">
        <v>62</v>
      </c>
      <c r="I501" s="5" t="s">
        <v>1593</v>
      </c>
      <c r="J501" s="4" t="s">
        <v>1594</v>
      </c>
      <c r="K501" s="4" t="s">
        <v>692</v>
      </c>
      <c r="L501" s="4" t="s">
        <v>148</v>
      </c>
      <c r="M501" s="4" t="s">
        <v>33</v>
      </c>
      <c r="N501" s="4" t="s">
        <v>896</v>
      </c>
      <c r="O501" s="4" t="s">
        <v>35</v>
      </c>
      <c r="P501" s="4" t="s">
        <v>36</v>
      </c>
      <c r="Q501" s="4" t="s">
        <v>79</v>
      </c>
      <c r="R501" s="4"/>
    </row>
    <row r="502" spans="1:18">
      <c r="A502">
        <v>501</v>
      </c>
      <c r="B502" s="3">
        <v>46199.473518518498</v>
      </c>
      <c r="C502" s="3">
        <v>46199.474525463003</v>
      </c>
      <c r="D502" s="4" t="s">
        <v>18</v>
      </c>
      <c r="E502" s="4"/>
      <c r="F502" s="1">
        <v>46199</v>
      </c>
      <c r="G502" s="4" t="s">
        <v>65</v>
      </c>
      <c r="H502" s="4" t="s">
        <v>41</v>
      </c>
      <c r="I502" s="5" t="s">
        <v>1595</v>
      </c>
      <c r="J502" s="4" t="s">
        <v>1596</v>
      </c>
      <c r="K502" s="4" t="s">
        <v>727</v>
      </c>
      <c r="L502" s="4" t="s">
        <v>148</v>
      </c>
      <c r="M502" s="4" t="s">
        <v>33</v>
      </c>
      <c r="N502" s="4" t="s">
        <v>896</v>
      </c>
      <c r="O502" s="4" t="s">
        <v>25</v>
      </c>
      <c r="P502" s="4" t="s">
        <v>36</v>
      </c>
      <c r="Q502" s="4" t="s">
        <v>79</v>
      </c>
      <c r="R502" s="4"/>
    </row>
    <row r="503" spans="1:18">
      <c r="A503">
        <v>502</v>
      </c>
      <c r="B503" s="3">
        <v>46199.454895833303</v>
      </c>
      <c r="C503" s="3">
        <v>46199.478240740696</v>
      </c>
      <c r="D503" s="4" t="s">
        <v>18</v>
      </c>
      <c r="E503" s="4"/>
      <c r="F503" s="1">
        <v>46199</v>
      </c>
      <c r="G503" s="4" t="s">
        <v>1597</v>
      </c>
      <c r="H503" s="4" t="s">
        <v>714</v>
      </c>
      <c r="I503" s="5" t="s">
        <v>1598</v>
      </c>
      <c r="J503" s="4" t="s">
        <v>1599</v>
      </c>
      <c r="K503" s="4" t="s">
        <v>1600</v>
      </c>
      <c r="L503" s="4" t="s">
        <v>1560</v>
      </c>
      <c r="M503" s="4" t="s">
        <v>33</v>
      </c>
      <c r="N503" s="4" t="s">
        <v>60</v>
      </c>
      <c r="O503" s="4" t="s">
        <v>35</v>
      </c>
      <c r="P503" s="4" t="s">
        <v>36</v>
      </c>
      <c r="Q503" s="4" t="s">
        <v>79</v>
      </c>
      <c r="R503" s="4"/>
    </row>
    <row r="504" spans="1:18">
      <c r="A504">
        <v>503</v>
      </c>
      <c r="B504" s="3">
        <v>46199.478298611102</v>
      </c>
      <c r="C504" s="3">
        <v>46199.480682870402</v>
      </c>
      <c r="D504" s="4" t="s">
        <v>18</v>
      </c>
      <c r="E504" s="4"/>
      <c r="F504" s="1">
        <v>46199</v>
      </c>
      <c r="G504" s="4" t="s">
        <v>185</v>
      </c>
      <c r="H504" s="4" t="s">
        <v>65</v>
      </c>
      <c r="I504" s="5" t="s">
        <v>1601</v>
      </c>
      <c r="J504" s="4" t="s">
        <v>1602</v>
      </c>
      <c r="K504" s="4" t="s">
        <v>1603</v>
      </c>
      <c r="L504" s="4" t="s">
        <v>1560</v>
      </c>
      <c r="M504" s="4" t="s">
        <v>226</v>
      </c>
      <c r="N504" s="4" t="s">
        <v>60</v>
      </c>
      <c r="O504" s="4" t="s">
        <v>35</v>
      </c>
      <c r="P504" s="4" t="s">
        <v>86</v>
      </c>
      <c r="Q504" s="4" t="s">
        <v>27</v>
      </c>
      <c r="R504" s="4"/>
    </row>
    <row r="505" spans="1:18">
      <c r="A505">
        <v>504</v>
      </c>
      <c r="B505" s="3">
        <v>46199.540717592601</v>
      </c>
      <c r="C505" s="3">
        <v>46199.542719907397</v>
      </c>
      <c r="D505" s="4" t="s">
        <v>18</v>
      </c>
      <c r="E505" s="4"/>
      <c r="F505" s="1">
        <v>46199</v>
      </c>
      <c r="G505" s="4" t="s">
        <v>1094</v>
      </c>
      <c r="H505" s="4" t="s">
        <v>1094</v>
      </c>
      <c r="I505" s="5" t="s">
        <v>1604</v>
      </c>
      <c r="J505" s="4" t="s">
        <v>1605</v>
      </c>
      <c r="K505" s="4" t="s">
        <v>665</v>
      </c>
      <c r="L505" s="4" t="s">
        <v>148</v>
      </c>
      <c r="M505" s="4" t="s">
        <v>24</v>
      </c>
      <c r="N505" s="4" t="s">
        <v>45</v>
      </c>
      <c r="O505" s="4" t="s">
        <v>35</v>
      </c>
      <c r="P505" s="4" t="s">
        <v>36</v>
      </c>
      <c r="Q505" s="4" t="s">
        <v>79</v>
      </c>
      <c r="R505" s="4"/>
    </row>
    <row r="506" spans="1:18">
      <c r="A506">
        <v>505</v>
      </c>
      <c r="B506" s="3">
        <v>46199.542754629598</v>
      </c>
      <c r="C506" s="3">
        <v>46199.544849537</v>
      </c>
      <c r="D506" s="4" t="s">
        <v>18</v>
      </c>
      <c r="E506" s="4"/>
      <c r="F506" s="1">
        <v>46199</v>
      </c>
      <c r="G506" s="4" t="s">
        <v>1606</v>
      </c>
      <c r="H506" s="4" t="s">
        <v>1607</v>
      </c>
      <c r="I506" s="5" t="s">
        <v>1608</v>
      </c>
      <c r="J506" s="4" t="s">
        <v>1609</v>
      </c>
      <c r="K506" s="4" t="s">
        <v>492</v>
      </c>
      <c r="L506" s="4" t="s">
        <v>148</v>
      </c>
      <c r="M506" s="4" t="s">
        <v>33</v>
      </c>
      <c r="N506" s="4" t="s">
        <v>896</v>
      </c>
      <c r="O506" s="4" t="s">
        <v>35</v>
      </c>
      <c r="P506" s="4" t="s">
        <v>36</v>
      </c>
      <c r="Q506" s="4" t="s">
        <v>79</v>
      </c>
      <c r="R506" s="4"/>
    </row>
    <row r="507" spans="1:18">
      <c r="A507">
        <v>506</v>
      </c>
      <c r="B507" s="3">
        <v>46199.706493055601</v>
      </c>
      <c r="C507" s="3">
        <v>46199.708634259303</v>
      </c>
      <c r="D507" s="4" t="s">
        <v>18</v>
      </c>
      <c r="E507" s="4"/>
      <c r="F507" s="1">
        <v>46199</v>
      </c>
      <c r="G507" s="5" t="s">
        <v>1610</v>
      </c>
      <c r="H507" s="5" t="s">
        <v>1611</v>
      </c>
      <c r="I507" s="5" t="s">
        <v>1612</v>
      </c>
      <c r="J507" s="4" t="s">
        <v>1613</v>
      </c>
      <c r="K507" s="4" t="s">
        <v>31</v>
      </c>
      <c r="L507" s="4" t="s">
        <v>44</v>
      </c>
      <c r="M507" s="4" t="s">
        <v>34</v>
      </c>
      <c r="N507" s="4" t="s">
        <v>226</v>
      </c>
      <c r="O507" s="4" t="s">
        <v>25</v>
      </c>
      <c r="P507" s="4" t="s">
        <v>36</v>
      </c>
      <c r="Q507" s="4" t="s">
        <v>27</v>
      </c>
      <c r="R507" s="4"/>
    </row>
    <row r="508" spans="1:18">
      <c r="A508">
        <v>507</v>
      </c>
      <c r="B508" s="3">
        <v>46199.708657407398</v>
      </c>
      <c r="C508" s="3">
        <v>46199.710729166698</v>
      </c>
      <c r="D508" s="4" t="s">
        <v>18</v>
      </c>
      <c r="E508" s="4"/>
      <c r="F508" s="1">
        <v>46199</v>
      </c>
      <c r="G508" s="5" t="s">
        <v>1531</v>
      </c>
      <c r="H508" s="5" t="s">
        <v>1611</v>
      </c>
      <c r="I508" s="5" t="s">
        <v>1614</v>
      </c>
      <c r="J508" s="4" t="s">
        <v>1615</v>
      </c>
      <c r="K508" s="4" t="s">
        <v>31</v>
      </c>
      <c r="L508" s="4" t="s">
        <v>44</v>
      </c>
      <c r="M508" s="4" t="s">
        <v>34</v>
      </c>
      <c r="N508" s="4" t="s">
        <v>226</v>
      </c>
      <c r="O508" s="4" t="s">
        <v>25</v>
      </c>
      <c r="P508" s="4" t="s">
        <v>347</v>
      </c>
      <c r="Q508" s="4" t="s">
        <v>27</v>
      </c>
      <c r="R508" s="4"/>
    </row>
    <row r="509" spans="1:18">
      <c r="A509">
        <v>508</v>
      </c>
      <c r="B509" s="3">
        <v>46199.724837962996</v>
      </c>
      <c r="C509" s="3">
        <v>46199.725729166697</v>
      </c>
      <c r="D509" s="4" t="s">
        <v>18</v>
      </c>
      <c r="E509" s="4"/>
      <c r="F509" s="1">
        <v>46199</v>
      </c>
      <c r="G509" s="4" t="s">
        <v>1616</v>
      </c>
      <c r="H509" s="4" t="s">
        <v>1617</v>
      </c>
      <c r="I509" s="5" t="s">
        <v>1618</v>
      </c>
      <c r="J509" s="4" t="s">
        <v>290</v>
      </c>
      <c r="K509" s="4" t="s">
        <v>1619</v>
      </c>
      <c r="L509" s="4" t="s">
        <v>148</v>
      </c>
      <c r="M509" s="4" t="s">
        <v>226</v>
      </c>
      <c r="N509" s="4" t="s">
        <v>112</v>
      </c>
      <c r="O509" s="4" t="s">
        <v>25</v>
      </c>
      <c r="P509" s="4" t="s">
        <v>92</v>
      </c>
      <c r="Q509" s="4" t="s">
        <v>79</v>
      </c>
      <c r="R509" s="4"/>
    </row>
    <row r="510" spans="1:18">
      <c r="A510">
        <v>509</v>
      </c>
      <c r="B510" s="3">
        <v>46199.757731481499</v>
      </c>
      <c r="C510" s="3">
        <v>46199.759270833303</v>
      </c>
      <c r="D510" s="4" t="s">
        <v>18</v>
      </c>
      <c r="E510" s="4"/>
      <c r="F510" s="1">
        <v>46199</v>
      </c>
      <c r="G510" s="4" t="s">
        <v>1620</v>
      </c>
      <c r="H510" s="4" t="s">
        <v>1620</v>
      </c>
      <c r="I510" s="5" t="s">
        <v>1621</v>
      </c>
      <c r="J510" s="4" t="s">
        <v>1622</v>
      </c>
      <c r="K510" s="4" t="s">
        <v>128</v>
      </c>
      <c r="L510" s="4" t="s">
        <v>23</v>
      </c>
      <c r="M510" s="4" t="s">
        <v>226</v>
      </c>
      <c r="N510" s="4" t="s">
        <v>112</v>
      </c>
      <c r="O510" s="4" t="s">
        <v>25</v>
      </c>
      <c r="P510" s="4" t="s">
        <v>347</v>
      </c>
      <c r="Q510" s="4" t="s">
        <v>79</v>
      </c>
      <c r="R510" s="4"/>
    </row>
    <row r="511" spans="1:18">
      <c r="A511">
        <v>510</v>
      </c>
      <c r="B511" s="3">
        <v>46199.776875000003</v>
      </c>
      <c r="C511" s="3">
        <v>46199.778703703698</v>
      </c>
      <c r="D511" s="4" t="s">
        <v>18</v>
      </c>
      <c r="E511" s="4"/>
      <c r="F511" s="1">
        <v>46199</v>
      </c>
      <c r="G511" s="4" t="s">
        <v>1623</v>
      </c>
      <c r="H511" s="4" t="s">
        <v>714</v>
      </c>
      <c r="I511" s="5" t="s">
        <v>1598</v>
      </c>
      <c r="J511" s="4" t="s">
        <v>1624</v>
      </c>
      <c r="K511" s="4" t="s">
        <v>1625</v>
      </c>
      <c r="L511" s="4" t="s">
        <v>1560</v>
      </c>
      <c r="M511" s="4" t="s">
        <v>33</v>
      </c>
      <c r="N511" s="4" t="s">
        <v>60</v>
      </c>
      <c r="O511" s="4" t="s">
        <v>35</v>
      </c>
      <c r="P511" s="4" t="s">
        <v>166</v>
      </c>
      <c r="Q511" s="4" t="s">
        <v>79</v>
      </c>
      <c r="R511" s="4"/>
    </row>
    <row r="512" spans="1:18">
      <c r="A512">
        <v>511</v>
      </c>
      <c r="B512" s="3">
        <v>46199.778333333299</v>
      </c>
      <c r="C512" s="3">
        <v>46199.780312499999</v>
      </c>
      <c r="D512" s="4" t="s">
        <v>18</v>
      </c>
      <c r="E512" s="4"/>
      <c r="F512" s="1">
        <v>46199</v>
      </c>
      <c r="G512" s="4" t="s">
        <v>985</v>
      </c>
      <c r="H512" s="4" t="s">
        <v>1626</v>
      </c>
      <c r="I512" s="5" t="s">
        <v>1627</v>
      </c>
      <c r="J512" s="4" t="s">
        <v>1628</v>
      </c>
      <c r="K512" s="4" t="s">
        <v>1629</v>
      </c>
      <c r="L512" s="4" t="s">
        <v>23</v>
      </c>
      <c r="M512" s="4" t="s">
        <v>24</v>
      </c>
      <c r="N512" s="4" t="s">
        <v>34</v>
      </c>
      <c r="O512" s="4" t="s">
        <v>25</v>
      </c>
      <c r="P512" s="4" t="s">
        <v>92</v>
      </c>
      <c r="Q512" s="4" t="s">
        <v>27</v>
      </c>
      <c r="R512" s="4"/>
    </row>
    <row r="513" spans="1:18">
      <c r="A513">
        <v>512</v>
      </c>
      <c r="B513" s="3">
        <v>46199.778877314799</v>
      </c>
      <c r="C513" s="3">
        <v>46199.780740740702</v>
      </c>
      <c r="D513" s="4" t="s">
        <v>18</v>
      </c>
      <c r="E513" s="4"/>
      <c r="F513" s="1">
        <v>46199</v>
      </c>
      <c r="G513" s="4" t="s">
        <v>185</v>
      </c>
      <c r="H513" s="4" t="s">
        <v>65</v>
      </c>
      <c r="I513" s="5" t="s">
        <v>1601</v>
      </c>
      <c r="J513" s="4" t="s">
        <v>1630</v>
      </c>
      <c r="K513" s="4" t="s">
        <v>22</v>
      </c>
      <c r="L513" s="4" t="s">
        <v>1560</v>
      </c>
      <c r="M513" s="4" t="s">
        <v>226</v>
      </c>
      <c r="N513" s="4" t="s">
        <v>60</v>
      </c>
      <c r="O513" s="4" t="s">
        <v>25</v>
      </c>
      <c r="P513" s="4" t="s">
        <v>86</v>
      </c>
      <c r="Q513" s="4" t="s">
        <v>27</v>
      </c>
      <c r="R513" s="4"/>
    </row>
    <row r="514" spans="1:18">
      <c r="A514">
        <v>513</v>
      </c>
      <c r="B514" s="3">
        <v>46199.782337962999</v>
      </c>
      <c r="C514" s="3">
        <v>46199.784097222197</v>
      </c>
      <c r="D514" s="4" t="s">
        <v>18</v>
      </c>
      <c r="E514" s="4"/>
      <c r="F514" s="1">
        <v>46199</v>
      </c>
      <c r="G514" s="4" t="s">
        <v>1631</v>
      </c>
      <c r="H514" s="4" t="s">
        <v>1632</v>
      </c>
      <c r="I514" s="5" t="s">
        <v>1633</v>
      </c>
      <c r="J514" s="4" t="s">
        <v>1634</v>
      </c>
      <c r="K514" s="4" t="s">
        <v>1635</v>
      </c>
      <c r="L514" s="4" t="s">
        <v>32</v>
      </c>
      <c r="M514" s="4" t="s">
        <v>226</v>
      </c>
      <c r="N514" s="4" t="s">
        <v>112</v>
      </c>
      <c r="O514" s="4" t="s">
        <v>35</v>
      </c>
      <c r="P514" s="4" t="s">
        <v>86</v>
      </c>
      <c r="Q514" s="4" t="s">
        <v>27</v>
      </c>
      <c r="R514" s="4"/>
    </row>
    <row r="515" spans="1:18">
      <c r="A515">
        <v>514</v>
      </c>
      <c r="B515" s="3">
        <v>46199.780648148197</v>
      </c>
      <c r="C515" s="3">
        <v>46199.788171296299</v>
      </c>
      <c r="D515" s="4" t="s">
        <v>18</v>
      </c>
      <c r="E515" s="4"/>
      <c r="F515" s="1">
        <v>46199</v>
      </c>
      <c r="G515" s="4" t="s">
        <v>1376</v>
      </c>
      <c r="H515" s="4" t="s">
        <v>1376</v>
      </c>
      <c r="I515" s="5" t="s">
        <v>1636</v>
      </c>
      <c r="J515" s="4" t="s">
        <v>1637</v>
      </c>
      <c r="K515" s="4" t="s">
        <v>1638</v>
      </c>
      <c r="L515" s="4" t="s">
        <v>23</v>
      </c>
      <c r="M515" s="4" t="s">
        <v>112</v>
      </c>
      <c r="N515" s="4" t="s">
        <v>34</v>
      </c>
      <c r="O515" s="4" t="s">
        <v>25</v>
      </c>
      <c r="P515" s="4" t="s">
        <v>26</v>
      </c>
      <c r="Q515" s="4" t="s">
        <v>79</v>
      </c>
      <c r="R515" s="4"/>
    </row>
    <row r="516" spans="1:18">
      <c r="A516">
        <v>515</v>
      </c>
      <c r="B516" s="3">
        <v>46200.220428240696</v>
      </c>
      <c r="C516" s="3">
        <v>46200.222627314797</v>
      </c>
      <c r="D516" s="4" t="s">
        <v>18</v>
      </c>
      <c r="E516" s="4"/>
      <c r="F516" s="1">
        <v>46199</v>
      </c>
      <c r="G516" s="4" t="s">
        <v>1639</v>
      </c>
      <c r="H516" s="4" t="s">
        <v>1640</v>
      </c>
      <c r="I516" s="5" t="s">
        <v>1641</v>
      </c>
      <c r="J516" s="4" t="s">
        <v>1642</v>
      </c>
      <c r="K516" s="4" t="s">
        <v>31</v>
      </c>
      <c r="L516" s="4" t="s">
        <v>32</v>
      </c>
      <c r="M516" s="4" t="s">
        <v>34</v>
      </c>
      <c r="N516" s="4" t="s">
        <v>117</v>
      </c>
      <c r="O516" s="4" t="s">
        <v>35</v>
      </c>
      <c r="P516" s="4" t="s">
        <v>36</v>
      </c>
      <c r="Q516" s="4" t="s">
        <v>79</v>
      </c>
      <c r="R516" s="4"/>
    </row>
    <row r="517" spans="1:18">
      <c r="A517">
        <v>516</v>
      </c>
      <c r="B517" s="3">
        <v>46200.329976851797</v>
      </c>
      <c r="C517" s="3">
        <v>46200.3354861111</v>
      </c>
      <c r="D517" s="4" t="s">
        <v>18</v>
      </c>
      <c r="E517" s="4"/>
      <c r="F517" s="1">
        <v>46200</v>
      </c>
      <c r="G517" s="4" t="s">
        <v>283</v>
      </c>
      <c r="H517" s="4" t="s">
        <v>1576</v>
      </c>
      <c r="I517" s="5" t="s">
        <v>1643</v>
      </c>
      <c r="J517" s="4" t="s">
        <v>1644</v>
      </c>
      <c r="K517" s="4" t="s">
        <v>1645</v>
      </c>
      <c r="L517" s="4" t="s">
        <v>23</v>
      </c>
      <c r="M517" s="4" t="s">
        <v>33</v>
      </c>
      <c r="N517" s="4" t="s">
        <v>896</v>
      </c>
      <c r="O517" s="4" t="s">
        <v>25</v>
      </c>
      <c r="P517" s="4" t="s">
        <v>36</v>
      </c>
      <c r="Q517" s="4" t="s">
        <v>79</v>
      </c>
      <c r="R517" s="4" t="s">
        <v>1646</v>
      </c>
    </row>
    <row r="518" spans="1:18">
      <c r="A518">
        <v>517</v>
      </c>
      <c r="B518" s="3">
        <v>46200.335520833301</v>
      </c>
      <c r="C518" s="3">
        <v>46200.337349537003</v>
      </c>
      <c r="D518" s="4" t="s">
        <v>18</v>
      </c>
      <c r="E518" s="4"/>
      <c r="F518" s="1">
        <v>46200</v>
      </c>
      <c r="G518" s="4" t="s">
        <v>283</v>
      </c>
      <c r="H518" s="4" t="s">
        <v>1576</v>
      </c>
      <c r="I518" s="5" t="s">
        <v>1647</v>
      </c>
      <c r="J518" s="4" t="s">
        <v>511</v>
      </c>
      <c r="K518" s="4" t="s">
        <v>1648</v>
      </c>
      <c r="L518" s="4" t="s">
        <v>23</v>
      </c>
      <c r="M518" s="4" t="s">
        <v>33</v>
      </c>
      <c r="N518" s="4" t="s">
        <v>896</v>
      </c>
      <c r="O518" s="4" t="s">
        <v>25</v>
      </c>
      <c r="P518" s="4" t="s">
        <v>55</v>
      </c>
      <c r="Q518" s="4" t="s">
        <v>79</v>
      </c>
      <c r="R518" s="4"/>
    </row>
    <row r="519" spans="1:18">
      <c r="A519">
        <v>518</v>
      </c>
      <c r="B519" s="3">
        <v>46200.404837962997</v>
      </c>
      <c r="C519" s="3">
        <v>46200.4065625</v>
      </c>
      <c r="D519" s="4" t="s">
        <v>18</v>
      </c>
      <c r="E519" s="4"/>
      <c r="F519" s="1">
        <v>46200</v>
      </c>
      <c r="G519" s="4" t="s">
        <v>293</v>
      </c>
      <c r="H519" s="4" t="s">
        <v>1383</v>
      </c>
      <c r="I519" s="5" t="s">
        <v>1649</v>
      </c>
      <c r="J519" s="4" t="s">
        <v>1650</v>
      </c>
      <c r="K519" s="4" t="s">
        <v>212</v>
      </c>
      <c r="L519" s="4" t="s">
        <v>98</v>
      </c>
      <c r="M519" s="4" t="s">
        <v>226</v>
      </c>
      <c r="N519" s="4" t="s">
        <v>60</v>
      </c>
      <c r="O519" s="4" t="s">
        <v>25</v>
      </c>
      <c r="P519" s="4" t="s">
        <v>36</v>
      </c>
      <c r="Q519" s="4" t="s">
        <v>27</v>
      </c>
      <c r="R519" s="4"/>
    </row>
    <row r="520" spans="1:18">
      <c r="A520">
        <v>519</v>
      </c>
      <c r="B520" s="3">
        <v>46200.4066087963</v>
      </c>
      <c r="C520" s="3">
        <v>46200.410046296303</v>
      </c>
      <c r="D520" s="4" t="s">
        <v>18</v>
      </c>
      <c r="E520" s="4"/>
      <c r="F520" s="1">
        <v>46200</v>
      </c>
      <c r="G520" s="5" t="s">
        <v>1649</v>
      </c>
      <c r="H520" s="4" t="s">
        <v>293</v>
      </c>
      <c r="I520" s="5" t="s">
        <v>1649</v>
      </c>
      <c r="J520" s="4" t="s">
        <v>1651</v>
      </c>
      <c r="K520" s="4" t="s">
        <v>356</v>
      </c>
      <c r="L520" s="4" t="s">
        <v>98</v>
      </c>
      <c r="M520" s="4" t="s">
        <v>226</v>
      </c>
      <c r="N520" s="4" t="s">
        <v>60</v>
      </c>
      <c r="O520" s="4" t="s">
        <v>25</v>
      </c>
      <c r="P520" s="4" t="s">
        <v>36</v>
      </c>
      <c r="Q520" s="4" t="s">
        <v>27</v>
      </c>
      <c r="R520" s="4" t="s">
        <v>1652</v>
      </c>
    </row>
    <row r="521" spans="1:18">
      <c r="A521">
        <v>520</v>
      </c>
      <c r="B521" s="3">
        <v>46200.410104166702</v>
      </c>
      <c r="C521" s="3">
        <v>46200.412372685198</v>
      </c>
      <c r="D521" s="4" t="s">
        <v>18</v>
      </c>
      <c r="E521" s="4"/>
      <c r="F521" s="1">
        <v>46200</v>
      </c>
      <c r="G521" s="4" t="s">
        <v>1653</v>
      </c>
      <c r="H521" s="4" t="s">
        <v>353</v>
      </c>
      <c r="I521" s="5" t="s">
        <v>1654</v>
      </c>
      <c r="J521" s="4" t="s">
        <v>1655</v>
      </c>
      <c r="K521" s="4" t="s">
        <v>212</v>
      </c>
      <c r="L521" s="4" t="s">
        <v>98</v>
      </c>
      <c r="M521" s="4" t="s">
        <v>226</v>
      </c>
      <c r="N521" s="4" t="s">
        <v>60</v>
      </c>
      <c r="O521" s="4" t="s">
        <v>25</v>
      </c>
      <c r="P521" s="4" t="s">
        <v>36</v>
      </c>
      <c r="Q521" s="4" t="s">
        <v>27</v>
      </c>
      <c r="R521" s="4"/>
    </row>
    <row r="522" spans="1:18">
      <c r="A522">
        <v>521</v>
      </c>
      <c r="B522" s="3">
        <v>46200.411400463003</v>
      </c>
      <c r="C522" s="3">
        <v>46200.412731481498</v>
      </c>
      <c r="D522" s="4" t="s">
        <v>18</v>
      </c>
      <c r="E522" s="4"/>
      <c r="F522" s="1">
        <v>46200</v>
      </c>
      <c r="G522" s="4" t="s">
        <v>87</v>
      </c>
      <c r="H522" s="4" t="s">
        <v>87</v>
      </c>
      <c r="I522" s="5" t="s">
        <v>1656</v>
      </c>
      <c r="J522" s="4" t="s">
        <v>1657</v>
      </c>
      <c r="K522" s="4" t="s">
        <v>1658</v>
      </c>
      <c r="L522" s="4" t="s">
        <v>32</v>
      </c>
      <c r="M522" s="4" t="s">
        <v>112</v>
      </c>
      <c r="N522" s="4" t="s">
        <v>34</v>
      </c>
      <c r="O522" s="4" t="s">
        <v>25</v>
      </c>
      <c r="P522" s="4" t="s">
        <v>997</v>
      </c>
      <c r="Q522" s="4" t="s">
        <v>27</v>
      </c>
      <c r="R522" s="4"/>
    </row>
    <row r="523" spans="1:18">
      <c r="A523">
        <v>522</v>
      </c>
      <c r="B523" s="3">
        <v>46200.412557870397</v>
      </c>
      <c r="C523" s="3">
        <v>46200.414687500001</v>
      </c>
      <c r="D523" s="4" t="s">
        <v>18</v>
      </c>
      <c r="E523" s="4"/>
      <c r="F523" s="1">
        <v>46200</v>
      </c>
      <c r="G523" s="5" t="s">
        <v>1659</v>
      </c>
      <c r="H523" s="4" t="s">
        <v>293</v>
      </c>
      <c r="I523" s="5" t="s">
        <v>1660</v>
      </c>
      <c r="J523" s="4" t="s">
        <v>1661</v>
      </c>
      <c r="K523" s="4" t="s">
        <v>212</v>
      </c>
      <c r="L523" s="4" t="s">
        <v>98</v>
      </c>
      <c r="M523" s="4" t="s">
        <v>226</v>
      </c>
      <c r="N523" s="4" t="s">
        <v>60</v>
      </c>
      <c r="O523" s="4" t="s">
        <v>25</v>
      </c>
      <c r="P523" s="4" t="s">
        <v>36</v>
      </c>
      <c r="Q523" s="4" t="s">
        <v>27</v>
      </c>
      <c r="R523" s="4"/>
    </row>
    <row r="524" spans="1:18">
      <c r="A524">
        <v>523</v>
      </c>
      <c r="B524" s="3">
        <v>46200.417604166701</v>
      </c>
      <c r="C524" s="3">
        <v>46200.419317129599</v>
      </c>
      <c r="D524" s="4" t="s">
        <v>18</v>
      </c>
      <c r="E524" s="4"/>
      <c r="F524" s="1">
        <v>46200</v>
      </c>
      <c r="G524" s="4" t="s">
        <v>519</v>
      </c>
      <c r="H524" s="4" t="s">
        <v>155</v>
      </c>
      <c r="I524" s="5" t="s">
        <v>1662</v>
      </c>
      <c r="J524" s="4" t="s">
        <v>1663</v>
      </c>
      <c r="K524" s="4" t="s">
        <v>783</v>
      </c>
      <c r="L524" s="4" t="s">
        <v>266</v>
      </c>
      <c r="M524" s="4" t="s">
        <v>226</v>
      </c>
      <c r="N524" s="4" t="s">
        <v>112</v>
      </c>
      <c r="O524" s="4" t="s">
        <v>25</v>
      </c>
      <c r="P524" s="4" t="s">
        <v>36</v>
      </c>
      <c r="Q524" s="4" t="s">
        <v>27</v>
      </c>
      <c r="R524" s="4"/>
    </row>
    <row r="525" spans="1:18">
      <c r="A525">
        <v>524</v>
      </c>
      <c r="B525" s="3">
        <v>46200.4289236111</v>
      </c>
      <c r="C525" s="3">
        <v>46200.432581018496</v>
      </c>
      <c r="D525" s="4" t="s">
        <v>18</v>
      </c>
      <c r="E525" s="4"/>
      <c r="F525" s="1">
        <v>46200</v>
      </c>
      <c r="G525" s="4" t="s">
        <v>65</v>
      </c>
      <c r="H525" s="4" t="s">
        <v>65</v>
      </c>
      <c r="I525" s="5" t="s">
        <v>1564</v>
      </c>
      <c r="J525" s="4" t="s">
        <v>1664</v>
      </c>
      <c r="K525" s="4" t="s">
        <v>1665</v>
      </c>
      <c r="L525" s="4" t="s">
        <v>32</v>
      </c>
      <c r="M525" s="4" t="s">
        <v>34</v>
      </c>
      <c r="N525" s="4" t="s">
        <v>112</v>
      </c>
      <c r="O525" s="4" t="s">
        <v>25</v>
      </c>
      <c r="P525" s="4" t="s">
        <v>69</v>
      </c>
      <c r="Q525" s="4" t="s">
        <v>93</v>
      </c>
      <c r="R525" s="4"/>
    </row>
    <row r="526" spans="1:18">
      <c r="A526">
        <v>525</v>
      </c>
      <c r="B526" s="3">
        <v>46200.434745370403</v>
      </c>
      <c r="C526" s="3">
        <v>46200.437534722201</v>
      </c>
      <c r="D526" s="4" t="s">
        <v>18</v>
      </c>
      <c r="E526" s="4"/>
      <c r="F526" s="1">
        <v>46200</v>
      </c>
      <c r="G526" s="4" t="s">
        <v>1666</v>
      </c>
      <c r="H526" s="4" t="s">
        <v>1667</v>
      </c>
      <c r="I526" s="5" t="s">
        <v>1668</v>
      </c>
      <c r="J526" s="4" t="s">
        <v>1669</v>
      </c>
      <c r="K526" s="4" t="s">
        <v>938</v>
      </c>
      <c r="L526" s="4" t="s">
        <v>91</v>
      </c>
      <c r="M526" s="4" t="s">
        <v>33</v>
      </c>
      <c r="N526" s="4" t="s">
        <v>896</v>
      </c>
      <c r="O526" s="4" t="s">
        <v>25</v>
      </c>
      <c r="P526" s="4" t="s">
        <v>36</v>
      </c>
      <c r="Q526" s="4" t="s">
        <v>79</v>
      </c>
      <c r="R526" s="4"/>
    </row>
    <row r="527" spans="1:18">
      <c r="A527">
        <v>526</v>
      </c>
      <c r="B527" s="3">
        <v>46200.4375925926</v>
      </c>
      <c r="C527" s="3">
        <v>46200.438935185201</v>
      </c>
      <c r="D527" s="4" t="s">
        <v>18</v>
      </c>
      <c r="E527" s="4"/>
      <c r="F527" s="1">
        <v>46200</v>
      </c>
      <c r="G527" s="4" t="s">
        <v>1670</v>
      </c>
      <c r="H527" s="4" t="s">
        <v>1671</v>
      </c>
      <c r="I527" s="5" t="s">
        <v>1672</v>
      </c>
      <c r="J527" s="4" t="s">
        <v>1673</v>
      </c>
      <c r="K527" s="4" t="s">
        <v>1555</v>
      </c>
      <c r="L527" s="4" t="s">
        <v>91</v>
      </c>
      <c r="M527" s="4" t="s">
        <v>33</v>
      </c>
      <c r="N527" s="4" t="s">
        <v>34</v>
      </c>
      <c r="O527" s="4" t="s">
        <v>25</v>
      </c>
      <c r="P527" s="4" t="s">
        <v>50</v>
      </c>
      <c r="Q527" s="4" t="s">
        <v>79</v>
      </c>
      <c r="R527" s="4"/>
    </row>
    <row r="528" spans="1:18">
      <c r="A528">
        <v>527</v>
      </c>
      <c r="B528" s="3">
        <v>46200.439131944397</v>
      </c>
      <c r="C528" s="3">
        <v>46200.441041666701</v>
      </c>
      <c r="D528" s="4" t="s">
        <v>18</v>
      </c>
      <c r="E528" s="4"/>
      <c r="F528" s="1">
        <v>46200</v>
      </c>
      <c r="G528" s="4" t="s">
        <v>1674</v>
      </c>
      <c r="H528" s="4" t="s">
        <v>840</v>
      </c>
      <c r="I528" s="5" t="s">
        <v>1675</v>
      </c>
      <c r="J528" s="4" t="s">
        <v>1676</v>
      </c>
      <c r="K528" s="4" t="s">
        <v>843</v>
      </c>
      <c r="L528" s="4" t="s">
        <v>91</v>
      </c>
      <c r="M528" s="4" t="s">
        <v>33</v>
      </c>
      <c r="N528" s="4" t="s">
        <v>34</v>
      </c>
      <c r="O528" s="4" t="s">
        <v>25</v>
      </c>
      <c r="P528" s="4" t="s">
        <v>50</v>
      </c>
      <c r="Q528" s="4" t="s">
        <v>79</v>
      </c>
      <c r="R528" s="4"/>
    </row>
    <row r="529" spans="1:18">
      <c r="A529">
        <v>528</v>
      </c>
      <c r="B529" s="3">
        <v>46200.445300925901</v>
      </c>
      <c r="C529" s="3">
        <v>46200.4462152778</v>
      </c>
      <c r="D529" s="4" t="s">
        <v>18</v>
      </c>
      <c r="E529" s="4"/>
      <c r="F529" s="1">
        <v>46200</v>
      </c>
      <c r="G529" s="4" t="s">
        <v>888</v>
      </c>
      <c r="H529" s="4" t="s">
        <v>1677</v>
      </c>
      <c r="I529" s="5" t="s">
        <v>1678</v>
      </c>
      <c r="J529" s="4" t="s">
        <v>1679</v>
      </c>
      <c r="K529" s="4" t="s">
        <v>692</v>
      </c>
      <c r="L529" s="4" t="s">
        <v>148</v>
      </c>
      <c r="M529" s="4" t="s">
        <v>33</v>
      </c>
      <c r="N529" s="4" t="s">
        <v>896</v>
      </c>
      <c r="O529" s="4" t="s">
        <v>35</v>
      </c>
      <c r="P529" s="4" t="s">
        <v>36</v>
      </c>
      <c r="Q529" s="4" t="s">
        <v>79</v>
      </c>
      <c r="R529" s="4"/>
    </row>
    <row r="530" spans="1:18">
      <c r="A530">
        <v>529</v>
      </c>
      <c r="B530" s="3">
        <v>46200.448449074102</v>
      </c>
      <c r="C530" s="3">
        <v>46200.449722222198</v>
      </c>
      <c r="D530" s="4" t="s">
        <v>18</v>
      </c>
      <c r="E530" s="4"/>
      <c r="F530" s="1">
        <v>46200</v>
      </c>
      <c r="G530" s="4" t="s">
        <v>62</v>
      </c>
      <c r="H530" s="4" t="s">
        <v>1680</v>
      </c>
      <c r="I530" s="5" t="s">
        <v>1681</v>
      </c>
      <c r="J530" s="4" t="s">
        <v>1682</v>
      </c>
      <c r="K530" s="4" t="s">
        <v>727</v>
      </c>
      <c r="L530" s="4" t="s">
        <v>148</v>
      </c>
      <c r="M530" s="4" t="s">
        <v>45</v>
      </c>
      <c r="N530" s="4" t="s">
        <v>896</v>
      </c>
      <c r="O530" s="4" t="s">
        <v>25</v>
      </c>
      <c r="P530" s="4" t="s">
        <v>36</v>
      </c>
      <c r="Q530" s="4" t="s">
        <v>79</v>
      </c>
      <c r="R530" s="4"/>
    </row>
    <row r="531" spans="1:18">
      <c r="A531">
        <v>530</v>
      </c>
      <c r="B531" s="3">
        <v>46200.451423611099</v>
      </c>
      <c r="C531" s="3">
        <v>46200.4522685185</v>
      </c>
      <c r="D531" s="4" t="s">
        <v>18</v>
      </c>
      <c r="E531" s="4"/>
      <c r="F531" s="1">
        <v>46200</v>
      </c>
      <c r="G531" s="4" t="s">
        <v>144</v>
      </c>
      <c r="H531" s="4" t="s">
        <v>222</v>
      </c>
      <c r="I531" s="5" t="s">
        <v>1683</v>
      </c>
      <c r="J531" s="4" t="s">
        <v>1684</v>
      </c>
      <c r="K531" s="4" t="s">
        <v>324</v>
      </c>
      <c r="L531" s="4" t="s">
        <v>266</v>
      </c>
      <c r="M531" s="4" t="s">
        <v>226</v>
      </c>
      <c r="N531" s="4" t="s">
        <v>112</v>
      </c>
      <c r="O531" s="4" t="s">
        <v>25</v>
      </c>
      <c r="P531" s="4" t="s">
        <v>92</v>
      </c>
      <c r="Q531" s="4" t="s">
        <v>27</v>
      </c>
      <c r="R531" s="4"/>
    </row>
    <row r="532" spans="1:18">
      <c r="A532">
        <v>531</v>
      </c>
      <c r="B532" s="3">
        <v>46200.498576388898</v>
      </c>
      <c r="C532" s="3">
        <v>46200.503865740699</v>
      </c>
      <c r="D532" s="4" t="s">
        <v>18</v>
      </c>
      <c r="E532" s="4"/>
      <c r="F532" s="1">
        <v>46200</v>
      </c>
      <c r="G532" s="4" t="s">
        <v>1541</v>
      </c>
      <c r="H532" s="4" t="s">
        <v>1541</v>
      </c>
      <c r="I532" s="5" t="s">
        <v>1685</v>
      </c>
      <c r="J532" s="4" t="s">
        <v>1686</v>
      </c>
      <c r="K532" s="4" t="s">
        <v>1687</v>
      </c>
      <c r="L532" s="4" t="s">
        <v>23</v>
      </c>
      <c r="M532" s="4" t="s">
        <v>112</v>
      </c>
      <c r="N532" s="4" t="s">
        <v>34</v>
      </c>
      <c r="O532" s="4" t="s">
        <v>25</v>
      </c>
      <c r="P532" s="4" t="s">
        <v>26</v>
      </c>
      <c r="Q532" s="4" t="s">
        <v>27</v>
      </c>
      <c r="R532" s="4"/>
    </row>
    <row r="533" spans="1:18">
      <c r="A533">
        <v>532</v>
      </c>
      <c r="B533" s="3">
        <v>46200.653726851902</v>
      </c>
      <c r="C533" s="3">
        <v>46200.656087962998</v>
      </c>
      <c r="D533" s="4" t="s">
        <v>18</v>
      </c>
      <c r="E533" s="4"/>
      <c r="F533" s="1">
        <v>46200</v>
      </c>
      <c r="G533" s="4" t="s">
        <v>386</v>
      </c>
      <c r="H533" s="4" t="s">
        <v>714</v>
      </c>
      <c r="I533" s="5" t="s">
        <v>1688</v>
      </c>
      <c r="J533" s="4" t="s">
        <v>1689</v>
      </c>
      <c r="K533" s="4" t="s">
        <v>1690</v>
      </c>
      <c r="L533" s="4" t="s">
        <v>1560</v>
      </c>
      <c r="M533" s="4" t="s">
        <v>33</v>
      </c>
      <c r="N533" s="4" t="s">
        <v>60</v>
      </c>
      <c r="O533" s="4" t="s">
        <v>35</v>
      </c>
      <c r="P533" s="4" t="s">
        <v>213</v>
      </c>
      <c r="Q533" s="4" t="s">
        <v>79</v>
      </c>
      <c r="R533" s="4"/>
    </row>
    <row r="534" spans="1:18">
      <c r="A534">
        <v>533</v>
      </c>
      <c r="B534" s="3">
        <v>46200.658518518503</v>
      </c>
      <c r="C534" s="3">
        <v>46200.658553240697</v>
      </c>
      <c r="D534" s="4" t="s">
        <v>18</v>
      </c>
      <c r="E534" s="4"/>
      <c r="F534" s="1">
        <v>46200</v>
      </c>
      <c r="G534" s="4" t="s">
        <v>1031</v>
      </c>
      <c r="H534" s="4" t="s">
        <v>386</v>
      </c>
      <c r="I534" s="5" t="s">
        <v>1691</v>
      </c>
      <c r="J534" s="4" t="s">
        <v>1692</v>
      </c>
      <c r="K534" s="4" t="s">
        <v>1603</v>
      </c>
      <c r="L534" s="4" t="s">
        <v>1560</v>
      </c>
      <c r="M534" s="4" t="s">
        <v>60</v>
      </c>
      <c r="N534" s="4" t="s">
        <v>33</v>
      </c>
      <c r="O534" s="4" t="s">
        <v>35</v>
      </c>
      <c r="P534" s="4" t="s">
        <v>86</v>
      </c>
      <c r="Q534" s="4" t="s">
        <v>27</v>
      </c>
      <c r="R534" s="4"/>
    </row>
    <row r="535" spans="1:18">
      <c r="A535">
        <v>534</v>
      </c>
      <c r="B535" s="3">
        <v>46200.6875462963</v>
      </c>
      <c r="C535" s="3">
        <v>46200.688842592601</v>
      </c>
      <c r="D535" s="4" t="s">
        <v>18</v>
      </c>
      <c r="E535" s="4"/>
      <c r="F535" s="1">
        <v>46200</v>
      </c>
      <c r="G535" s="4" t="s">
        <v>1693</v>
      </c>
      <c r="H535" s="4" t="s">
        <v>1693</v>
      </c>
      <c r="I535" s="5" t="s">
        <v>1643</v>
      </c>
      <c r="J535" s="4" t="s">
        <v>1694</v>
      </c>
      <c r="K535" s="4" t="s">
        <v>1695</v>
      </c>
      <c r="L535" s="4" t="s">
        <v>23</v>
      </c>
      <c r="M535" s="4" t="s">
        <v>33</v>
      </c>
      <c r="N535" s="4" t="s">
        <v>896</v>
      </c>
      <c r="O535" s="4" t="s">
        <v>25</v>
      </c>
      <c r="P535" s="4" t="s">
        <v>347</v>
      </c>
      <c r="Q535" s="4" t="s">
        <v>27</v>
      </c>
      <c r="R535" s="4"/>
    </row>
    <row r="536" spans="1:18">
      <c r="A536">
        <v>535</v>
      </c>
      <c r="B536" s="3">
        <v>46200.689131944397</v>
      </c>
      <c r="C536" s="3">
        <v>46200.691006944398</v>
      </c>
      <c r="D536" s="4" t="s">
        <v>18</v>
      </c>
      <c r="E536" s="4"/>
      <c r="F536" s="1">
        <v>46200</v>
      </c>
      <c r="G536" s="4" t="s">
        <v>1693</v>
      </c>
      <c r="H536" s="4" t="s">
        <v>1693</v>
      </c>
      <c r="I536" s="5" t="s">
        <v>1647</v>
      </c>
      <c r="J536" s="4" t="s">
        <v>1696</v>
      </c>
      <c r="K536" s="4" t="s">
        <v>242</v>
      </c>
      <c r="L536" s="4" t="s">
        <v>23</v>
      </c>
      <c r="M536" s="4" t="s">
        <v>33</v>
      </c>
      <c r="N536" s="4" t="s">
        <v>896</v>
      </c>
      <c r="O536" s="4" t="s">
        <v>25</v>
      </c>
      <c r="P536" s="4" t="s">
        <v>347</v>
      </c>
      <c r="Q536" s="4" t="s">
        <v>79</v>
      </c>
      <c r="R536" s="4"/>
    </row>
    <row r="537" spans="1:18">
      <c r="A537">
        <v>536</v>
      </c>
      <c r="B537" s="3">
        <v>46200.736192129603</v>
      </c>
      <c r="C537" s="3">
        <v>46200.738611111097</v>
      </c>
      <c r="D537" s="4" t="s">
        <v>18</v>
      </c>
      <c r="E537" s="4"/>
      <c r="F537" s="1">
        <v>46200</v>
      </c>
      <c r="G537" s="4" t="s">
        <v>1697</v>
      </c>
      <c r="H537" s="4" t="s">
        <v>1698</v>
      </c>
      <c r="I537" s="5" t="s">
        <v>1699</v>
      </c>
      <c r="J537" s="4" t="s">
        <v>1700</v>
      </c>
      <c r="K537" s="4" t="s">
        <v>492</v>
      </c>
      <c r="L537" s="4" t="s">
        <v>148</v>
      </c>
      <c r="M537" s="4" t="s">
        <v>33</v>
      </c>
      <c r="N537" s="4" t="s">
        <v>896</v>
      </c>
      <c r="O537" s="4" t="s">
        <v>35</v>
      </c>
      <c r="P537" s="4" t="s">
        <v>36</v>
      </c>
      <c r="Q537" s="4" t="s">
        <v>27</v>
      </c>
      <c r="R537" s="4"/>
    </row>
    <row r="538" spans="1:18">
      <c r="A538">
        <v>537</v>
      </c>
      <c r="B538" s="3">
        <v>46200.738657407397</v>
      </c>
      <c r="C538" s="3">
        <v>46200.743136574099</v>
      </c>
      <c r="D538" s="4" t="s">
        <v>18</v>
      </c>
      <c r="E538" s="4"/>
      <c r="F538" s="1">
        <v>46200</v>
      </c>
      <c r="G538" s="4" t="s">
        <v>1701</v>
      </c>
      <c r="H538" s="4" t="s">
        <v>1702</v>
      </c>
      <c r="I538" s="5" t="s">
        <v>1699</v>
      </c>
      <c r="J538" s="4" t="s">
        <v>1703</v>
      </c>
      <c r="K538" s="4" t="s">
        <v>665</v>
      </c>
      <c r="L538" s="4" t="s">
        <v>148</v>
      </c>
      <c r="M538" s="4" t="s">
        <v>33</v>
      </c>
      <c r="N538" s="4" t="s">
        <v>896</v>
      </c>
      <c r="O538" s="4" t="s">
        <v>35</v>
      </c>
      <c r="P538" s="4" t="s">
        <v>50</v>
      </c>
      <c r="Q538" s="4" t="s">
        <v>27</v>
      </c>
      <c r="R538" s="4"/>
    </row>
    <row r="539" spans="1:18">
      <c r="A539">
        <v>538</v>
      </c>
      <c r="B539" s="3">
        <v>46201.265462962998</v>
      </c>
      <c r="C539" s="3">
        <v>46201.2668865741</v>
      </c>
      <c r="D539" s="4" t="s">
        <v>18</v>
      </c>
      <c r="E539" s="4"/>
      <c r="F539" s="1">
        <v>46200</v>
      </c>
      <c r="G539" s="4" t="s">
        <v>1704</v>
      </c>
      <c r="H539" s="4" t="s">
        <v>1705</v>
      </c>
      <c r="I539" s="5" t="s">
        <v>1706</v>
      </c>
      <c r="J539" s="4" t="s">
        <v>1707</v>
      </c>
      <c r="K539" s="4" t="s">
        <v>31</v>
      </c>
      <c r="L539" s="4" t="s">
        <v>32</v>
      </c>
      <c r="M539" s="4" t="s">
        <v>34</v>
      </c>
      <c r="N539" s="4" t="s">
        <v>117</v>
      </c>
      <c r="O539" s="4" t="s">
        <v>35</v>
      </c>
      <c r="P539" s="4" t="s">
        <v>36</v>
      </c>
      <c r="Q539" s="4" t="s">
        <v>79</v>
      </c>
      <c r="R539" s="4"/>
    </row>
    <row r="540" spans="1:18">
      <c r="A540">
        <v>539</v>
      </c>
      <c r="B540" s="3">
        <v>46201.369780092602</v>
      </c>
      <c r="C540" s="3">
        <v>46201.371458333299</v>
      </c>
      <c r="D540" s="4" t="s">
        <v>18</v>
      </c>
      <c r="E540" s="4"/>
      <c r="F540" s="1">
        <v>46200</v>
      </c>
      <c r="G540" s="5" t="s">
        <v>1530</v>
      </c>
      <c r="H540" s="5" t="s">
        <v>1708</v>
      </c>
      <c r="I540" s="5" t="s">
        <v>1709</v>
      </c>
      <c r="J540" s="4" t="s">
        <v>1710</v>
      </c>
      <c r="K540" s="4" t="s">
        <v>31</v>
      </c>
      <c r="L540" s="4" t="s">
        <v>44</v>
      </c>
      <c r="M540" s="4" t="s">
        <v>34</v>
      </c>
      <c r="N540" s="4" t="s">
        <v>60</v>
      </c>
      <c r="O540" s="4" t="s">
        <v>25</v>
      </c>
      <c r="P540" s="4" t="s">
        <v>36</v>
      </c>
      <c r="Q540" s="4" t="s">
        <v>27</v>
      </c>
      <c r="R540" s="4"/>
    </row>
    <row r="541" spans="1:18">
      <c r="A541">
        <v>540</v>
      </c>
      <c r="B541" s="3">
        <v>46201.371504629598</v>
      </c>
      <c r="C541" s="3">
        <v>46201.372986111099</v>
      </c>
      <c r="D541" s="4" t="s">
        <v>18</v>
      </c>
      <c r="E541" s="4"/>
      <c r="F541" s="1">
        <v>46200</v>
      </c>
      <c r="G541" s="5" t="s">
        <v>1530</v>
      </c>
      <c r="H541" s="5" t="s">
        <v>1708</v>
      </c>
      <c r="I541" s="5" t="s">
        <v>1711</v>
      </c>
      <c r="J541" s="4" t="s">
        <v>1712</v>
      </c>
      <c r="K541" s="4" t="s">
        <v>1713</v>
      </c>
      <c r="L541" s="4" t="s">
        <v>44</v>
      </c>
      <c r="M541" s="4" t="s">
        <v>34</v>
      </c>
      <c r="N541" s="4" t="s">
        <v>60</v>
      </c>
      <c r="O541" s="4" t="s">
        <v>25</v>
      </c>
      <c r="P541" s="4" t="s">
        <v>92</v>
      </c>
      <c r="Q541" s="4" t="s">
        <v>27</v>
      </c>
      <c r="R541" s="4"/>
    </row>
    <row r="542" spans="1:18">
      <c r="A542">
        <v>541</v>
      </c>
      <c r="B542" s="3">
        <v>46201.373009259303</v>
      </c>
      <c r="C542" s="3">
        <v>46201.374050925901</v>
      </c>
      <c r="D542" s="4" t="s">
        <v>18</v>
      </c>
      <c r="E542" s="4"/>
      <c r="F542" s="1">
        <v>46200</v>
      </c>
      <c r="G542" s="5" t="s">
        <v>1530</v>
      </c>
      <c r="H542" s="5" t="s">
        <v>1708</v>
      </c>
      <c r="I542" s="5" t="s">
        <v>1714</v>
      </c>
      <c r="J542" s="4" t="s">
        <v>1715</v>
      </c>
      <c r="K542" s="4" t="s">
        <v>1716</v>
      </c>
      <c r="L542" s="4" t="s">
        <v>44</v>
      </c>
      <c r="M542" s="4" t="s">
        <v>34</v>
      </c>
      <c r="N542" s="4" t="s">
        <v>60</v>
      </c>
      <c r="O542" s="4" t="s">
        <v>25</v>
      </c>
      <c r="P542" s="4" t="s">
        <v>69</v>
      </c>
      <c r="Q542" s="4" t="s">
        <v>27</v>
      </c>
      <c r="R542" s="4"/>
    </row>
    <row r="543" spans="1:18">
      <c r="A543">
        <v>542</v>
      </c>
      <c r="B543" s="3">
        <v>46201.374085648102</v>
      </c>
      <c r="C543" s="3">
        <v>46201.375208333302</v>
      </c>
      <c r="D543" s="4" t="s">
        <v>18</v>
      </c>
      <c r="E543" s="4"/>
      <c r="F543" s="1">
        <v>46200</v>
      </c>
      <c r="G543" s="5" t="s">
        <v>1530</v>
      </c>
      <c r="H543" s="5" t="s">
        <v>1708</v>
      </c>
      <c r="I543" s="5" t="s">
        <v>1717</v>
      </c>
      <c r="J543" s="4" t="s">
        <v>1718</v>
      </c>
      <c r="K543" s="4" t="s">
        <v>31</v>
      </c>
      <c r="L543" s="4" t="s">
        <v>44</v>
      </c>
      <c r="M543" s="4" t="s">
        <v>34</v>
      </c>
      <c r="N543" s="4" t="s">
        <v>60</v>
      </c>
      <c r="O543" s="4" t="s">
        <v>25</v>
      </c>
      <c r="P543" s="4" t="s">
        <v>347</v>
      </c>
      <c r="Q543" s="4" t="s">
        <v>27</v>
      </c>
      <c r="R543" s="4"/>
    </row>
    <row r="544" spans="1:18">
      <c r="A544">
        <v>543</v>
      </c>
      <c r="B544" s="3">
        <v>46201.392789351899</v>
      </c>
      <c r="C544" s="3">
        <v>46201.393425925897</v>
      </c>
      <c r="D544" s="4" t="s">
        <v>18</v>
      </c>
      <c r="E544" s="4"/>
      <c r="F544" s="1">
        <v>46201</v>
      </c>
      <c r="G544" s="4" t="s">
        <v>1719</v>
      </c>
      <c r="H544" s="4" t="s">
        <v>1720</v>
      </c>
      <c r="I544" s="5" t="s">
        <v>1721</v>
      </c>
      <c r="J544" s="4" t="s">
        <v>1594</v>
      </c>
      <c r="K544" s="4" t="s">
        <v>692</v>
      </c>
      <c r="L544" s="4" t="s">
        <v>148</v>
      </c>
      <c r="M544" s="4" t="s">
        <v>60</v>
      </c>
      <c r="N544" s="4" t="s">
        <v>896</v>
      </c>
      <c r="O544" s="4" t="s">
        <v>35</v>
      </c>
      <c r="P544" s="4" t="s">
        <v>36</v>
      </c>
      <c r="Q544" s="4" t="s">
        <v>79</v>
      </c>
      <c r="R544" s="4"/>
    </row>
    <row r="545" spans="1:18">
      <c r="A545">
        <v>544</v>
      </c>
      <c r="B545" s="3">
        <v>46201.393460648098</v>
      </c>
      <c r="C545" s="3">
        <v>46201.394571759301</v>
      </c>
      <c r="D545" s="4" t="s">
        <v>18</v>
      </c>
      <c r="E545" s="4"/>
      <c r="F545" s="1">
        <v>46201</v>
      </c>
      <c r="G545" s="4" t="s">
        <v>1722</v>
      </c>
      <c r="H545" s="4" t="s">
        <v>1720</v>
      </c>
      <c r="I545" s="5" t="s">
        <v>1723</v>
      </c>
      <c r="J545" s="4" t="s">
        <v>1724</v>
      </c>
      <c r="K545" s="4" t="s">
        <v>1118</v>
      </c>
      <c r="L545" s="4" t="s">
        <v>148</v>
      </c>
      <c r="M545" s="4" t="s">
        <v>60</v>
      </c>
      <c r="N545" s="4" t="s">
        <v>896</v>
      </c>
      <c r="O545" s="4" t="s">
        <v>25</v>
      </c>
      <c r="P545" s="4" t="s">
        <v>36</v>
      </c>
      <c r="Q545" s="4" t="s">
        <v>79</v>
      </c>
      <c r="R545" s="4"/>
    </row>
    <row r="546" spans="1:18">
      <c r="A546">
        <v>545</v>
      </c>
      <c r="B546" s="3">
        <v>46201.422986111102</v>
      </c>
      <c r="C546" s="3">
        <v>46201.424953703703</v>
      </c>
      <c r="D546" s="4" t="s">
        <v>18</v>
      </c>
      <c r="E546" s="4"/>
      <c r="F546" s="1">
        <v>46201</v>
      </c>
      <c r="G546" s="4" t="s">
        <v>742</v>
      </c>
      <c r="H546" s="4" t="s">
        <v>908</v>
      </c>
      <c r="I546" s="5" t="s">
        <v>1725</v>
      </c>
      <c r="J546" s="4" t="s">
        <v>1726</v>
      </c>
      <c r="K546" s="4" t="s">
        <v>1727</v>
      </c>
      <c r="L546" s="4" t="s">
        <v>23</v>
      </c>
      <c r="M546" s="4" t="s">
        <v>24</v>
      </c>
      <c r="N546" s="4" t="s">
        <v>60</v>
      </c>
      <c r="O546" s="4" t="s">
        <v>25</v>
      </c>
      <c r="P546" s="4" t="s">
        <v>92</v>
      </c>
      <c r="Q546" s="4" t="s">
        <v>27</v>
      </c>
      <c r="R546" s="4" t="s">
        <v>1728</v>
      </c>
    </row>
    <row r="547" spans="1:18">
      <c r="A547">
        <v>546</v>
      </c>
      <c r="B547" s="3">
        <v>46201.444085648203</v>
      </c>
      <c r="C547" s="3">
        <v>46201.4449537037</v>
      </c>
      <c r="D547" s="4" t="s">
        <v>18</v>
      </c>
      <c r="E547" s="4"/>
      <c r="F547" s="1">
        <v>46201</v>
      </c>
      <c r="G547" s="4" t="s">
        <v>1552</v>
      </c>
      <c r="H547" s="4" t="s">
        <v>1729</v>
      </c>
      <c r="I547" s="5" t="s">
        <v>1730</v>
      </c>
      <c r="J547" s="4" t="s">
        <v>1731</v>
      </c>
      <c r="K547" s="4" t="s">
        <v>1732</v>
      </c>
      <c r="L547" s="4" t="s">
        <v>91</v>
      </c>
      <c r="M547" s="4" t="s">
        <v>60</v>
      </c>
      <c r="N547" s="4" t="s">
        <v>896</v>
      </c>
      <c r="O547" s="4" t="s">
        <v>35</v>
      </c>
      <c r="P547" s="4" t="s">
        <v>92</v>
      </c>
      <c r="Q547" s="4" t="s">
        <v>79</v>
      </c>
      <c r="R547" s="4"/>
    </row>
    <row r="548" spans="1:18">
      <c r="A548">
        <v>547</v>
      </c>
      <c r="B548" s="3">
        <v>46201.619421296302</v>
      </c>
      <c r="C548" s="3">
        <v>46201.621874999997</v>
      </c>
      <c r="D548" s="4" t="s">
        <v>18</v>
      </c>
      <c r="E548" s="4"/>
      <c r="F548" s="1">
        <v>46201</v>
      </c>
      <c r="G548" s="4" t="s">
        <v>1733</v>
      </c>
      <c r="H548" s="4" t="s">
        <v>1733</v>
      </c>
      <c r="I548" s="5" t="s">
        <v>1734</v>
      </c>
      <c r="J548" s="4" t="s">
        <v>1735</v>
      </c>
      <c r="K548" s="4" t="s">
        <v>1736</v>
      </c>
      <c r="L548" s="4" t="s">
        <v>32</v>
      </c>
      <c r="M548" s="4" t="s">
        <v>24</v>
      </c>
      <c r="N548" s="4" t="s">
        <v>60</v>
      </c>
      <c r="O548" s="4" t="s">
        <v>25</v>
      </c>
      <c r="P548" s="4" t="s">
        <v>36</v>
      </c>
      <c r="Q548" s="4" t="s">
        <v>93</v>
      </c>
      <c r="R548" s="4"/>
    </row>
    <row r="549" spans="1:18">
      <c r="A549">
        <v>548</v>
      </c>
      <c r="B549" s="3">
        <v>46201.643356481502</v>
      </c>
      <c r="C549" s="3">
        <v>46201.645208333299</v>
      </c>
      <c r="D549" s="4" t="s">
        <v>18</v>
      </c>
      <c r="E549" s="4"/>
      <c r="F549" s="1">
        <v>46201</v>
      </c>
      <c r="G549" s="4" t="s">
        <v>1737</v>
      </c>
      <c r="H549" s="4" t="s">
        <v>1738</v>
      </c>
      <c r="I549" s="5" t="s">
        <v>1739</v>
      </c>
      <c r="J549" s="4" t="s">
        <v>1740</v>
      </c>
      <c r="K549" s="4" t="s">
        <v>1658</v>
      </c>
      <c r="L549" s="4" t="s">
        <v>32</v>
      </c>
      <c r="M549" s="4" t="s">
        <v>24</v>
      </c>
      <c r="N549" s="4" t="s">
        <v>60</v>
      </c>
      <c r="O549" s="4" t="s">
        <v>25</v>
      </c>
      <c r="P549" s="4" t="s">
        <v>997</v>
      </c>
      <c r="Q549" s="4" t="s">
        <v>93</v>
      </c>
      <c r="R549" s="4"/>
    </row>
    <row r="550" spans="1:18">
      <c r="A550">
        <v>549</v>
      </c>
      <c r="B550" s="3">
        <v>46202.142708333296</v>
      </c>
      <c r="C550" s="3">
        <v>46202.144305555601</v>
      </c>
      <c r="D550" s="4" t="s">
        <v>18</v>
      </c>
      <c r="E550" s="4"/>
      <c r="F550" s="1">
        <v>46201</v>
      </c>
      <c r="G550" s="4" t="s">
        <v>1741</v>
      </c>
      <c r="H550" s="4" t="s">
        <v>1741</v>
      </c>
      <c r="I550" s="5" t="s">
        <v>1742</v>
      </c>
      <c r="J550" s="4" t="s">
        <v>1743</v>
      </c>
      <c r="K550" s="4" t="s">
        <v>31</v>
      </c>
      <c r="L550" s="4" t="s">
        <v>32</v>
      </c>
      <c r="M550" s="4" t="s">
        <v>60</v>
      </c>
      <c r="N550" s="4" t="s">
        <v>61</v>
      </c>
      <c r="O550" s="4" t="s">
        <v>35</v>
      </c>
      <c r="P550" s="4" t="s">
        <v>36</v>
      </c>
      <c r="Q550" s="4" t="s">
        <v>79</v>
      </c>
      <c r="R550" s="4"/>
    </row>
    <row r="551" spans="1:18">
      <c r="A551">
        <v>550</v>
      </c>
      <c r="B551" s="3">
        <v>46202.395289351902</v>
      </c>
      <c r="C551" s="3">
        <v>46202.397141203699</v>
      </c>
      <c r="D551" s="4" t="s">
        <v>18</v>
      </c>
      <c r="E551" s="4"/>
      <c r="F551" s="1">
        <v>46202</v>
      </c>
      <c r="G551" s="4" t="s">
        <v>1552</v>
      </c>
      <c r="H551" s="4" t="s">
        <v>1671</v>
      </c>
      <c r="I551" s="5" t="s">
        <v>1744</v>
      </c>
      <c r="J551" s="4" t="s">
        <v>1745</v>
      </c>
      <c r="K551" s="4" t="s">
        <v>978</v>
      </c>
      <c r="L551" s="4" t="s">
        <v>91</v>
      </c>
      <c r="M551" s="4" t="s">
        <v>33</v>
      </c>
      <c r="N551" s="4" t="s">
        <v>34</v>
      </c>
      <c r="O551" s="4" t="s">
        <v>25</v>
      </c>
      <c r="P551" s="4" t="s">
        <v>69</v>
      </c>
      <c r="Q551" s="4" t="s">
        <v>93</v>
      </c>
      <c r="R551" s="4"/>
    </row>
    <row r="552" spans="1:18">
      <c r="A552">
        <v>551</v>
      </c>
      <c r="B552" s="3">
        <v>46202.3971759259</v>
      </c>
      <c r="C552" s="3">
        <v>46202.398333333302</v>
      </c>
      <c r="D552" s="4" t="s">
        <v>18</v>
      </c>
      <c r="E552" s="4"/>
      <c r="F552" s="1">
        <v>46202</v>
      </c>
      <c r="G552" s="4" t="s">
        <v>1552</v>
      </c>
      <c r="H552" s="4" t="s">
        <v>1671</v>
      </c>
      <c r="I552" s="5" t="s">
        <v>1746</v>
      </c>
      <c r="J552" s="4" t="s">
        <v>1747</v>
      </c>
      <c r="K552" s="4" t="s">
        <v>1555</v>
      </c>
      <c r="L552" s="4" t="s">
        <v>91</v>
      </c>
      <c r="M552" s="4" t="s">
        <v>33</v>
      </c>
      <c r="N552" s="4" t="s">
        <v>34</v>
      </c>
      <c r="O552" s="4" t="s">
        <v>25</v>
      </c>
      <c r="P552" s="4" t="s">
        <v>50</v>
      </c>
      <c r="Q552" s="4" t="s">
        <v>79</v>
      </c>
      <c r="R552" s="4"/>
    </row>
    <row r="553" spans="1:18">
      <c r="A553">
        <v>552</v>
      </c>
      <c r="B553" s="3">
        <v>46202.407500000001</v>
      </c>
      <c r="C553" s="3">
        <v>46202.409386574102</v>
      </c>
      <c r="D553" s="4" t="s">
        <v>18</v>
      </c>
      <c r="E553" s="4"/>
      <c r="F553" s="1">
        <v>46202</v>
      </c>
      <c r="G553" s="4" t="s">
        <v>386</v>
      </c>
      <c r="H553" s="4" t="s">
        <v>714</v>
      </c>
      <c r="I553" s="5" t="s">
        <v>1744</v>
      </c>
      <c r="J553" s="4" t="s">
        <v>1748</v>
      </c>
      <c r="K553" s="4" t="s">
        <v>1749</v>
      </c>
      <c r="L553" s="4" t="s">
        <v>91</v>
      </c>
      <c r="M553" s="4" t="s">
        <v>33</v>
      </c>
      <c r="N553" s="4" t="s">
        <v>34</v>
      </c>
      <c r="O553" s="4" t="s">
        <v>25</v>
      </c>
      <c r="P553" s="4" t="s">
        <v>69</v>
      </c>
      <c r="Q553" s="4" t="s">
        <v>27</v>
      </c>
      <c r="R553" s="4"/>
    </row>
    <row r="554" spans="1:18">
      <c r="A554">
        <v>553</v>
      </c>
      <c r="B554" s="3">
        <v>46202.409409722197</v>
      </c>
      <c r="C554" s="3">
        <v>46202.4112731481</v>
      </c>
      <c r="D554" s="4" t="s">
        <v>18</v>
      </c>
      <c r="E554" s="4"/>
      <c r="F554" s="1">
        <v>46202</v>
      </c>
      <c r="G554" s="4" t="s">
        <v>514</v>
      </c>
      <c r="H554" s="4" t="s">
        <v>714</v>
      </c>
      <c r="I554" s="5" t="s">
        <v>1746</v>
      </c>
      <c r="J554" s="4" t="s">
        <v>1750</v>
      </c>
      <c r="K554" s="4" t="s">
        <v>1555</v>
      </c>
      <c r="L554" s="4" t="s">
        <v>91</v>
      </c>
      <c r="M554" s="4" t="s">
        <v>33</v>
      </c>
      <c r="N554" s="4" t="s">
        <v>34</v>
      </c>
      <c r="O554" s="4" t="s">
        <v>25</v>
      </c>
      <c r="P554" s="4" t="s">
        <v>50</v>
      </c>
      <c r="Q554" s="4" t="s">
        <v>79</v>
      </c>
      <c r="R554" s="4"/>
    </row>
    <row r="555" spans="1:18">
      <c r="A555">
        <v>554</v>
      </c>
      <c r="B555" s="3">
        <v>46202.419108796297</v>
      </c>
      <c r="C555" s="3">
        <v>46202.4199884259</v>
      </c>
      <c r="D555" s="4" t="s">
        <v>18</v>
      </c>
      <c r="E555" s="4"/>
      <c r="F555" s="1">
        <v>46202</v>
      </c>
      <c r="G555" s="4" t="s">
        <v>62</v>
      </c>
      <c r="H555" s="4" t="s">
        <v>438</v>
      </c>
      <c r="I555" s="5" t="s">
        <v>1751</v>
      </c>
      <c r="J555" s="4" t="s">
        <v>1752</v>
      </c>
      <c r="K555" s="4" t="s">
        <v>727</v>
      </c>
      <c r="L555" s="4" t="s">
        <v>148</v>
      </c>
      <c r="M555" s="4" t="s">
        <v>33</v>
      </c>
      <c r="N555" s="4" t="s">
        <v>819</v>
      </c>
      <c r="O555" s="4" t="s">
        <v>25</v>
      </c>
      <c r="P555" s="4" t="s">
        <v>36</v>
      </c>
      <c r="Q555" s="4" t="s">
        <v>79</v>
      </c>
      <c r="R555" s="4"/>
    </row>
    <row r="556" spans="1:18">
      <c r="A556">
        <v>555</v>
      </c>
      <c r="B556" s="3">
        <v>46202.420428240701</v>
      </c>
      <c r="C556" s="3">
        <v>46202.421932870398</v>
      </c>
      <c r="D556" s="4" t="s">
        <v>18</v>
      </c>
      <c r="E556" s="4"/>
      <c r="F556" s="1">
        <v>46202</v>
      </c>
      <c r="G556" s="4" t="s">
        <v>1207</v>
      </c>
      <c r="H556" s="4" t="s">
        <v>1753</v>
      </c>
      <c r="I556" s="5" t="s">
        <v>1754</v>
      </c>
      <c r="J556" s="4" t="s">
        <v>1755</v>
      </c>
      <c r="K556" s="4" t="s">
        <v>783</v>
      </c>
      <c r="L556" s="4" t="s">
        <v>266</v>
      </c>
      <c r="M556" s="4" t="s">
        <v>33</v>
      </c>
      <c r="N556" s="4" t="s">
        <v>819</v>
      </c>
      <c r="O556" s="4" t="s">
        <v>25</v>
      </c>
      <c r="P556" s="4" t="s">
        <v>36</v>
      </c>
      <c r="Q556" s="4" t="s">
        <v>27</v>
      </c>
      <c r="R556" s="4"/>
    </row>
    <row r="557" spans="1:18">
      <c r="A557">
        <v>556</v>
      </c>
      <c r="B557" s="3">
        <v>46202.4297337963</v>
      </c>
      <c r="C557" s="3">
        <v>46202.431064814802</v>
      </c>
      <c r="D557" s="4" t="s">
        <v>18</v>
      </c>
      <c r="E557" s="4"/>
      <c r="F557" s="1">
        <v>46202</v>
      </c>
      <c r="G557" s="4" t="s">
        <v>1756</v>
      </c>
      <c r="H557" s="4" t="s">
        <v>1757</v>
      </c>
      <c r="I557" s="5" t="s">
        <v>1758</v>
      </c>
      <c r="J557" s="4" t="s">
        <v>1759</v>
      </c>
      <c r="K557" s="4" t="s">
        <v>324</v>
      </c>
      <c r="L557" s="4" t="s">
        <v>266</v>
      </c>
      <c r="M557" s="4" t="s">
        <v>33</v>
      </c>
      <c r="N557" s="4" t="s">
        <v>819</v>
      </c>
      <c r="O557" s="4" t="s">
        <v>25</v>
      </c>
      <c r="P557" s="4" t="s">
        <v>92</v>
      </c>
      <c r="Q557" s="4" t="s">
        <v>27</v>
      </c>
      <c r="R557" s="4"/>
    </row>
    <row r="558" spans="1:18">
      <c r="A558">
        <v>557</v>
      </c>
      <c r="B558" s="3">
        <v>46202.476122685199</v>
      </c>
      <c r="C558" s="3">
        <v>46202.478726851899</v>
      </c>
      <c r="D558" s="4" t="s">
        <v>18</v>
      </c>
      <c r="E558" s="4"/>
      <c r="F558" s="1">
        <v>46202</v>
      </c>
      <c r="G558" s="4" t="s">
        <v>755</v>
      </c>
      <c r="H558" s="4" t="s">
        <v>1760</v>
      </c>
      <c r="I558" s="5" t="s">
        <v>1761</v>
      </c>
      <c r="J558" s="4" t="s">
        <v>1762</v>
      </c>
      <c r="K558" s="4" t="s">
        <v>1241</v>
      </c>
      <c r="L558" s="4" t="s">
        <v>98</v>
      </c>
      <c r="M558" s="4" t="s">
        <v>33</v>
      </c>
      <c r="N558" s="4" t="s">
        <v>819</v>
      </c>
      <c r="O558" s="4" t="s">
        <v>25</v>
      </c>
      <c r="P558" s="4" t="s">
        <v>36</v>
      </c>
      <c r="Q558" s="4" t="s">
        <v>27</v>
      </c>
      <c r="R558" s="4"/>
    </row>
    <row r="559" spans="1:18">
      <c r="A559">
        <v>558</v>
      </c>
      <c r="B559" s="3">
        <v>46202.537928240701</v>
      </c>
      <c r="C559" s="3">
        <v>46202.541435185201</v>
      </c>
      <c r="D559" s="4" t="s">
        <v>18</v>
      </c>
      <c r="E559" s="4"/>
      <c r="F559" s="1">
        <v>46202</v>
      </c>
      <c r="G559" s="4" t="s">
        <v>1401</v>
      </c>
      <c r="H559" s="4" t="s">
        <v>1401</v>
      </c>
      <c r="I559" s="5" t="s">
        <v>1763</v>
      </c>
      <c r="J559" s="4" t="s">
        <v>1764</v>
      </c>
      <c r="K559" s="4" t="s">
        <v>1765</v>
      </c>
      <c r="L559" s="4" t="s">
        <v>23</v>
      </c>
      <c r="M559" s="4" t="s">
        <v>819</v>
      </c>
      <c r="N559" s="4" t="s">
        <v>34</v>
      </c>
      <c r="O559" s="4" t="s">
        <v>25</v>
      </c>
      <c r="P559" s="4" t="s">
        <v>36</v>
      </c>
      <c r="Q559" s="4" t="s">
        <v>79</v>
      </c>
      <c r="R559" s="4"/>
    </row>
    <row r="560" spans="1:18">
      <c r="A560">
        <v>559</v>
      </c>
      <c r="B560" s="3">
        <v>46202.606168981503</v>
      </c>
      <c r="C560" s="3">
        <v>46202.607719907399</v>
      </c>
      <c r="D560" s="4" t="s">
        <v>18</v>
      </c>
      <c r="E560" s="4"/>
      <c r="F560" s="1">
        <v>46202</v>
      </c>
      <c r="G560" s="4" t="s">
        <v>1032</v>
      </c>
      <c r="H560" s="4" t="s">
        <v>386</v>
      </c>
      <c r="I560" s="5" t="s">
        <v>1766</v>
      </c>
      <c r="J560" s="4" t="s">
        <v>1767</v>
      </c>
      <c r="K560" s="4" t="s">
        <v>1768</v>
      </c>
      <c r="L560" s="4" t="s">
        <v>1560</v>
      </c>
      <c r="M560" s="4" t="s">
        <v>819</v>
      </c>
      <c r="N560" s="4" t="s">
        <v>33</v>
      </c>
      <c r="O560" s="4" t="s">
        <v>35</v>
      </c>
      <c r="P560" s="4" t="s">
        <v>213</v>
      </c>
      <c r="Q560" s="4" t="s">
        <v>79</v>
      </c>
      <c r="R560" s="4"/>
    </row>
    <row r="561" spans="1:18">
      <c r="A561">
        <v>560</v>
      </c>
      <c r="B561" s="3">
        <v>46202.658576388902</v>
      </c>
      <c r="C561" s="3">
        <v>46202.660266203697</v>
      </c>
      <c r="D561" s="4" t="s">
        <v>18</v>
      </c>
      <c r="E561" s="4"/>
      <c r="F561" s="1">
        <v>46202</v>
      </c>
      <c r="G561" s="4" t="s">
        <v>1769</v>
      </c>
      <c r="H561" s="4" t="s">
        <v>1769</v>
      </c>
      <c r="I561" s="5" t="s">
        <v>1770</v>
      </c>
      <c r="J561" s="4" t="s">
        <v>1771</v>
      </c>
      <c r="K561" s="4" t="s">
        <v>665</v>
      </c>
      <c r="L561" s="4" t="s">
        <v>148</v>
      </c>
      <c r="M561" s="4" t="s">
        <v>33</v>
      </c>
      <c r="N561" s="4" t="s">
        <v>819</v>
      </c>
      <c r="O561" s="4" t="s">
        <v>35</v>
      </c>
      <c r="P561" s="4" t="s">
        <v>36</v>
      </c>
      <c r="Q561" s="4" t="s">
        <v>27</v>
      </c>
      <c r="R561" s="4"/>
    </row>
    <row r="562" spans="1:18">
      <c r="A562">
        <v>561</v>
      </c>
      <c r="B562" s="3">
        <v>46202.660289351901</v>
      </c>
      <c r="C562" s="3">
        <v>46202.662673611099</v>
      </c>
      <c r="D562" s="4" t="s">
        <v>18</v>
      </c>
      <c r="E562" s="4"/>
      <c r="F562" s="1">
        <v>46202</v>
      </c>
      <c r="G562" s="4" t="s">
        <v>1772</v>
      </c>
      <c r="H562" s="4" t="s">
        <v>1698</v>
      </c>
      <c r="I562" s="5" t="s">
        <v>1773</v>
      </c>
      <c r="J562" s="4" t="s">
        <v>1774</v>
      </c>
      <c r="K562" s="4" t="s">
        <v>492</v>
      </c>
      <c r="L562" s="4" t="s">
        <v>148</v>
      </c>
      <c r="M562" s="4" t="s">
        <v>33</v>
      </c>
      <c r="N562" s="4" t="s">
        <v>819</v>
      </c>
      <c r="O562" s="4" t="s">
        <v>35</v>
      </c>
      <c r="P562" s="4" t="s">
        <v>36</v>
      </c>
      <c r="Q562" s="4" t="s">
        <v>27</v>
      </c>
      <c r="R562" s="4"/>
    </row>
    <row r="563" spans="1:18">
      <c r="A563">
        <v>562</v>
      </c>
      <c r="B563" s="3">
        <v>46202.792581018497</v>
      </c>
      <c r="C563" s="3">
        <v>46202.795543981498</v>
      </c>
      <c r="D563" s="4" t="s">
        <v>18</v>
      </c>
      <c r="E563" s="4"/>
      <c r="F563" s="1">
        <v>46202</v>
      </c>
      <c r="G563" s="4" t="s">
        <v>458</v>
      </c>
      <c r="H563" s="4" t="s">
        <v>83</v>
      </c>
      <c r="I563" s="5" t="s">
        <v>1775</v>
      </c>
      <c r="J563" s="4" t="s">
        <v>1776</v>
      </c>
      <c r="K563" s="4" t="s">
        <v>1777</v>
      </c>
      <c r="L563" s="4" t="s">
        <v>1560</v>
      </c>
      <c r="M563" s="4" t="s">
        <v>34</v>
      </c>
      <c r="N563" s="4" t="s">
        <v>33</v>
      </c>
      <c r="O563" s="4" t="s">
        <v>35</v>
      </c>
      <c r="P563" s="4" t="s">
        <v>86</v>
      </c>
      <c r="Q563" s="4" t="s">
        <v>27</v>
      </c>
      <c r="R563" s="4"/>
    </row>
    <row r="564" spans="1:18">
      <c r="A564">
        <v>563</v>
      </c>
      <c r="B564" s="3">
        <v>46202.822349536997</v>
      </c>
      <c r="C564" s="3">
        <v>46202.823020833297</v>
      </c>
      <c r="D564" s="4" t="s">
        <v>18</v>
      </c>
      <c r="E564" s="4"/>
      <c r="F564" s="1">
        <v>46202</v>
      </c>
      <c r="G564" s="4" t="s">
        <v>62</v>
      </c>
      <c r="H564" s="4" t="s">
        <v>438</v>
      </c>
      <c r="I564" s="5" t="s">
        <v>1778</v>
      </c>
      <c r="J564" s="4" t="s">
        <v>993</v>
      </c>
      <c r="K564" s="4" t="s">
        <v>31</v>
      </c>
      <c r="L564" s="4" t="s">
        <v>44</v>
      </c>
      <c r="M564" s="4" t="s">
        <v>34</v>
      </c>
      <c r="N564" s="4" t="s">
        <v>226</v>
      </c>
      <c r="O564" s="4" t="s">
        <v>25</v>
      </c>
      <c r="P564" s="4" t="s">
        <v>347</v>
      </c>
      <c r="Q564" s="4" t="s">
        <v>27</v>
      </c>
      <c r="R564" s="4"/>
    </row>
    <row r="565" spans="1:18">
      <c r="A565">
        <v>564</v>
      </c>
      <c r="B565" s="3">
        <v>46202.823043981502</v>
      </c>
      <c r="C565" s="3">
        <v>46202.824386574102</v>
      </c>
      <c r="D565" s="4" t="s">
        <v>18</v>
      </c>
      <c r="E565" s="4"/>
      <c r="F565" s="1">
        <v>46202</v>
      </c>
      <c r="G565" s="4" t="s">
        <v>969</v>
      </c>
      <c r="H565" s="4" t="s">
        <v>969</v>
      </c>
      <c r="I565" s="5" t="s">
        <v>1779</v>
      </c>
      <c r="J565" s="4" t="s">
        <v>1780</v>
      </c>
      <c r="K565" s="4" t="s">
        <v>1781</v>
      </c>
      <c r="L565" s="4" t="s">
        <v>44</v>
      </c>
      <c r="M565" s="4" t="s">
        <v>33</v>
      </c>
      <c r="N565" s="4" t="s">
        <v>226</v>
      </c>
      <c r="O565" s="4" t="s">
        <v>25</v>
      </c>
      <c r="P565" s="4" t="s">
        <v>347</v>
      </c>
      <c r="Q565" s="4" t="s">
        <v>27</v>
      </c>
      <c r="R565" s="4"/>
    </row>
    <row r="566" spans="1:18">
      <c r="A566">
        <v>565</v>
      </c>
      <c r="B566" s="3">
        <v>46202.824398148201</v>
      </c>
      <c r="C566" s="3">
        <v>46202.826307870397</v>
      </c>
      <c r="D566" s="4" t="s">
        <v>18</v>
      </c>
      <c r="E566" s="4"/>
      <c r="F566" s="1">
        <v>46202</v>
      </c>
      <c r="G566" s="4" t="s">
        <v>134</v>
      </c>
      <c r="H566" s="4" t="s">
        <v>185</v>
      </c>
      <c r="I566" s="5" t="s">
        <v>1782</v>
      </c>
      <c r="J566" s="4" t="s">
        <v>1783</v>
      </c>
      <c r="K566" s="4" t="s">
        <v>31</v>
      </c>
      <c r="L566" s="4" t="s">
        <v>44</v>
      </c>
      <c r="M566" s="4" t="s">
        <v>33</v>
      </c>
      <c r="N566" s="4" t="s">
        <v>226</v>
      </c>
      <c r="O566" s="4" t="s">
        <v>25</v>
      </c>
      <c r="P566" s="4" t="s">
        <v>36</v>
      </c>
      <c r="Q566" s="4" t="s">
        <v>27</v>
      </c>
      <c r="R566" s="4"/>
    </row>
    <row r="567" spans="1:18">
      <c r="A567">
        <v>566</v>
      </c>
      <c r="B567" s="3">
        <v>46202.826319444401</v>
      </c>
      <c r="C567" s="3">
        <v>46202.827754629601</v>
      </c>
      <c r="D567" s="4" t="s">
        <v>18</v>
      </c>
      <c r="E567" s="4"/>
      <c r="F567" s="1">
        <v>46202</v>
      </c>
      <c r="G567" s="4" t="s">
        <v>1079</v>
      </c>
      <c r="H567" s="4" t="s">
        <v>1079</v>
      </c>
      <c r="I567" s="5" t="s">
        <v>1784</v>
      </c>
      <c r="J567" s="4" t="s">
        <v>1785</v>
      </c>
      <c r="K567" s="4" t="s">
        <v>1781</v>
      </c>
      <c r="L567" s="4" t="s">
        <v>44</v>
      </c>
      <c r="M567" s="4" t="s">
        <v>819</v>
      </c>
      <c r="N567" s="4" t="s">
        <v>896</v>
      </c>
      <c r="O567" s="4" t="s">
        <v>25</v>
      </c>
      <c r="P567" s="4" t="s">
        <v>92</v>
      </c>
      <c r="Q567" s="4" t="s">
        <v>27</v>
      </c>
      <c r="R567" s="4"/>
    </row>
    <row r="568" spans="1:18">
      <c r="A568">
        <v>567</v>
      </c>
      <c r="B568" s="3">
        <v>46202.843668981499</v>
      </c>
      <c r="C568" s="3">
        <v>46202.846192129597</v>
      </c>
      <c r="D568" s="4" t="s">
        <v>18</v>
      </c>
      <c r="E568" s="4"/>
      <c r="F568" s="1">
        <v>46202</v>
      </c>
      <c r="G568" s="4" t="s">
        <v>758</v>
      </c>
      <c r="H568" s="4" t="s">
        <v>1354</v>
      </c>
      <c r="I568" s="5" t="s">
        <v>1786</v>
      </c>
      <c r="J568" s="4" t="s">
        <v>1787</v>
      </c>
      <c r="K568" s="4" t="s">
        <v>22</v>
      </c>
      <c r="L568" s="4" t="s">
        <v>23</v>
      </c>
      <c r="M568" s="4" t="s">
        <v>819</v>
      </c>
      <c r="N568" s="4" t="s">
        <v>34</v>
      </c>
      <c r="O568" s="4" t="s">
        <v>25</v>
      </c>
      <c r="P568" s="4" t="s">
        <v>26</v>
      </c>
      <c r="Q568" s="4" t="s">
        <v>27</v>
      </c>
      <c r="R568" s="4" t="s">
        <v>1788</v>
      </c>
    </row>
    <row r="569" spans="1:18">
      <c r="A569">
        <v>568</v>
      </c>
      <c r="B569" s="3">
        <v>46203.381932870398</v>
      </c>
      <c r="C569" s="3">
        <v>46203.387592592597</v>
      </c>
      <c r="D569" s="4" t="s">
        <v>18</v>
      </c>
      <c r="E569" s="4"/>
      <c r="F569" s="1">
        <v>46203</v>
      </c>
      <c r="G569" s="4" t="s">
        <v>1789</v>
      </c>
      <c r="H569" s="4" t="s">
        <v>1790</v>
      </c>
      <c r="I569" s="5" t="s">
        <v>1791</v>
      </c>
      <c r="J569" s="4" t="s">
        <v>1792</v>
      </c>
      <c r="K569" s="4" t="s">
        <v>31</v>
      </c>
      <c r="L569" s="4" t="s">
        <v>32</v>
      </c>
      <c r="M569" s="4" t="s">
        <v>33</v>
      </c>
      <c r="N569" s="4" t="s">
        <v>60</v>
      </c>
      <c r="O569" s="4" t="s">
        <v>35</v>
      </c>
      <c r="P569" s="4" t="s">
        <v>36</v>
      </c>
      <c r="Q569" s="4" t="s">
        <v>79</v>
      </c>
      <c r="R569" s="4"/>
    </row>
    <row r="570" spans="1:18">
      <c r="A570">
        <v>569</v>
      </c>
      <c r="B570" s="3">
        <v>46203.396481481497</v>
      </c>
      <c r="C570" s="3">
        <v>46203.398923611101</v>
      </c>
      <c r="D570" s="4" t="s">
        <v>18</v>
      </c>
      <c r="E570" s="4"/>
      <c r="F570" s="1">
        <v>46203</v>
      </c>
      <c r="G570" s="4" t="s">
        <v>1401</v>
      </c>
      <c r="H570" s="4" t="s">
        <v>1793</v>
      </c>
      <c r="I570" s="5" t="s">
        <v>1794</v>
      </c>
      <c r="J570" s="4" t="s">
        <v>1795</v>
      </c>
      <c r="K570" s="4" t="s">
        <v>1765</v>
      </c>
      <c r="L570" s="4" t="s">
        <v>23</v>
      </c>
      <c r="M570" s="4" t="s">
        <v>226</v>
      </c>
      <c r="N570" s="4" t="s">
        <v>33</v>
      </c>
      <c r="O570" s="4" t="s">
        <v>25</v>
      </c>
      <c r="P570" s="4" t="s">
        <v>36</v>
      </c>
      <c r="Q570" s="4" t="s">
        <v>79</v>
      </c>
      <c r="R570" s="4"/>
    </row>
    <row r="571" spans="1:18">
      <c r="A571">
        <v>570</v>
      </c>
      <c r="B571" s="3">
        <v>46203.405590277798</v>
      </c>
      <c r="C571" s="3">
        <v>46203.407581018502</v>
      </c>
      <c r="D571" s="4" t="s">
        <v>18</v>
      </c>
      <c r="E571" s="4"/>
      <c r="F571" s="1">
        <v>46203</v>
      </c>
      <c r="G571" s="4" t="s">
        <v>458</v>
      </c>
      <c r="H571" s="4" t="s">
        <v>46</v>
      </c>
      <c r="I571" s="5" t="s">
        <v>1796</v>
      </c>
      <c r="J571" s="4" t="s">
        <v>1797</v>
      </c>
      <c r="K571" s="4" t="s">
        <v>727</v>
      </c>
      <c r="L571" s="4" t="s">
        <v>148</v>
      </c>
      <c r="M571" s="4" t="s">
        <v>60</v>
      </c>
      <c r="N571" s="4" t="s">
        <v>33</v>
      </c>
      <c r="O571" s="4" t="s">
        <v>25</v>
      </c>
      <c r="P571" s="4" t="s">
        <v>36</v>
      </c>
      <c r="Q571" s="4" t="s">
        <v>79</v>
      </c>
      <c r="R571" s="4"/>
    </row>
    <row r="572" spans="1:18">
      <c r="A572">
        <v>571</v>
      </c>
      <c r="B572" s="3">
        <v>46203.406412037002</v>
      </c>
      <c r="C572" s="3">
        <v>46203.408090277801</v>
      </c>
      <c r="D572" s="4" t="s">
        <v>18</v>
      </c>
      <c r="E572" s="4"/>
      <c r="F572" s="1">
        <v>46203</v>
      </c>
      <c r="G572" s="4" t="s">
        <v>37</v>
      </c>
      <c r="H572" s="4" t="s">
        <v>1798</v>
      </c>
      <c r="I572" s="5" t="s">
        <v>1799</v>
      </c>
      <c r="J572" s="4" t="s">
        <v>1800</v>
      </c>
      <c r="K572" s="4" t="s">
        <v>324</v>
      </c>
      <c r="L572" s="4" t="s">
        <v>266</v>
      </c>
      <c r="M572" s="4" t="s">
        <v>226</v>
      </c>
      <c r="N572" s="4" t="s">
        <v>60</v>
      </c>
      <c r="O572" s="4" t="s">
        <v>25</v>
      </c>
      <c r="P572" s="4" t="s">
        <v>92</v>
      </c>
      <c r="Q572" s="4" t="s">
        <v>27</v>
      </c>
      <c r="R572" s="4"/>
    </row>
    <row r="573" spans="1:18">
      <c r="A573">
        <v>572</v>
      </c>
      <c r="B573" s="3">
        <v>46203.418877314798</v>
      </c>
      <c r="C573" s="3">
        <v>46203.420150462996</v>
      </c>
      <c r="D573" s="4" t="s">
        <v>18</v>
      </c>
      <c r="E573" s="4"/>
      <c r="F573" s="1">
        <v>46203</v>
      </c>
      <c r="G573" s="4" t="s">
        <v>1801</v>
      </c>
      <c r="H573" s="4" t="s">
        <v>714</v>
      </c>
      <c r="I573" s="5" t="s">
        <v>1802</v>
      </c>
      <c r="J573" s="4" t="s">
        <v>1803</v>
      </c>
      <c r="K573" s="4" t="s">
        <v>1804</v>
      </c>
      <c r="L573" s="4" t="s">
        <v>1560</v>
      </c>
      <c r="M573" s="4" t="s">
        <v>33</v>
      </c>
      <c r="N573" s="4" t="s">
        <v>60</v>
      </c>
      <c r="O573" s="4" t="s">
        <v>35</v>
      </c>
      <c r="P573" s="4" t="s">
        <v>213</v>
      </c>
      <c r="Q573" s="4" t="s">
        <v>79</v>
      </c>
      <c r="R573" s="4"/>
    </row>
    <row r="574" spans="1:18">
      <c r="A574">
        <v>573</v>
      </c>
      <c r="B574" s="3">
        <v>46203.450266203698</v>
      </c>
      <c r="C574" s="3">
        <v>46203.451886574097</v>
      </c>
      <c r="D574" s="4" t="s">
        <v>18</v>
      </c>
      <c r="E574" s="4"/>
      <c r="F574" s="1">
        <v>46203</v>
      </c>
      <c r="G574" s="4" t="s">
        <v>900</v>
      </c>
      <c r="H574" s="4" t="s">
        <v>519</v>
      </c>
      <c r="I574" s="5" t="s">
        <v>1805</v>
      </c>
      <c r="J574" s="4" t="s">
        <v>1806</v>
      </c>
      <c r="K574" s="4" t="s">
        <v>783</v>
      </c>
      <c r="L574" s="4" t="s">
        <v>266</v>
      </c>
      <c r="M574" s="4" t="s">
        <v>24</v>
      </c>
      <c r="N574" s="4" t="s">
        <v>60</v>
      </c>
      <c r="O574" s="4" t="s">
        <v>25</v>
      </c>
      <c r="P574" s="4" t="s">
        <v>36</v>
      </c>
      <c r="Q574" s="4" t="s">
        <v>27</v>
      </c>
      <c r="R574" s="4"/>
    </row>
    <row r="575" spans="1:18">
      <c r="A575">
        <v>574</v>
      </c>
      <c r="B575" s="3">
        <v>46203.632974537002</v>
      </c>
      <c r="C575" s="3">
        <v>46203.6348842593</v>
      </c>
      <c r="D575" s="4" t="s">
        <v>18</v>
      </c>
      <c r="E575" s="4"/>
      <c r="F575" s="1">
        <v>46203</v>
      </c>
      <c r="G575" s="4" t="s">
        <v>1807</v>
      </c>
      <c r="H575" s="4" t="s">
        <v>1344</v>
      </c>
      <c r="I575" s="5" t="s">
        <v>1808</v>
      </c>
      <c r="J575" s="4" t="s">
        <v>1771</v>
      </c>
      <c r="K575" s="4" t="s">
        <v>665</v>
      </c>
      <c r="L575" s="4" t="s">
        <v>148</v>
      </c>
      <c r="M575" s="4" t="s">
        <v>60</v>
      </c>
      <c r="N575" s="4" t="s">
        <v>33</v>
      </c>
      <c r="O575" s="4" t="s">
        <v>35</v>
      </c>
      <c r="P575" s="4" t="s">
        <v>50</v>
      </c>
      <c r="Q575" s="4" t="s">
        <v>27</v>
      </c>
      <c r="R575" s="4"/>
    </row>
    <row r="576" spans="1:18">
      <c r="A576">
        <v>575</v>
      </c>
      <c r="B576" s="3">
        <v>46203.635046296302</v>
      </c>
      <c r="C576" s="3">
        <v>46203.636655092603</v>
      </c>
      <c r="D576" s="4" t="s">
        <v>18</v>
      </c>
      <c r="E576" s="4"/>
      <c r="F576" s="1">
        <v>46203</v>
      </c>
      <c r="G576" s="4" t="s">
        <v>1697</v>
      </c>
      <c r="H576" s="4" t="s">
        <v>1809</v>
      </c>
      <c r="I576" s="5" t="s">
        <v>1810</v>
      </c>
      <c r="J576" s="4" t="s">
        <v>1811</v>
      </c>
      <c r="K576" s="4" t="s">
        <v>492</v>
      </c>
      <c r="L576" s="4" t="s">
        <v>148</v>
      </c>
      <c r="M576" s="4" t="s">
        <v>60</v>
      </c>
      <c r="N576" s="4" t="s">
        <v>33</v>
      </c>
      <c r="O576" s="4" t="s">
        <v>35</v>
      </c>
      <c r="P576" s="4" t="s">
        <v>36</v>
      </c>
      <c r="Q576" s="4" t="s">
        <v>27</v>
      </c>
      <c r="R576" s="4"/>
    </row>
    <row r="577" spans="1:18">
      <c r="A577">
        <v>576</v>
      </c>
      <c r="B577" s="3">
        <v>46203.644641203697</v>
      </c>
      <c r="C577" s="3">
        <v>46203.646168981497</v>
      </c>
      <c r="D577" s="4" t="s">
        <v>18</v>
      </c>
      <c r="E577" s="4"/>
      <c r="F577" s="1">
        <v>46203</v>
      </c>
      <c r="G577" s="4" t="s">
        <v>1812</v>
      </c>
      <c r="H577" s="4" t="s">
        <v>519</v>
      </c>
      <c r="I577" s="5" t="s">
        <v>1813</v>
      </c>
      <c r="J577" s="4" t="s">
        <v>1814</v>
      </c>
      <c r="K577" s="4" t="s">
        <v>1815</v>
      </c>
      <c r="L577" s="4" t="s">
        <v>91</v>
      </c>
      <c r="M577" s="4" t="s">
        <v>33</v>
      </c>
      <c r="N577" s="4" t="s">
        <v>896</v>
      </c>
      <c r="O577" s="4" t="s">
        <v>25</v>
      </c>
      <c r="P577" s="4" t="s">
        <v>69</v>
      </c>
      <c r="Q577" s="4" t="s">
        <v>27</v>
      </c>
      <c r="R577" s="4"/>
    </row>
    <row r="578" spans="1:18">
      <c r="A578">
        <v>577</v>
      </c>
      <c r="B578" s="3">
        <v>46203.6461921296</v>
      </c>
      <c r="C578" s="3">
        <v>46203.647546296299</v>
      </c>
      <c r="D578" s="4" t="s">
        <v>18</v>
      </c>
      <c r="E578" s="4"/>
      <c r="F578" s="1">
        <v>46203</v>
      </c>
      <c r="G578" s="4" t="s">
        <v>386</v>
      </c>
      <c r="H578" s="4" t="s">
        <v>386</v>
      </c>
      <c r="I578" s="5" t="s">
        <v>1816</v>
      </c>
      <c r="J578" s="4" t="s">
        <v>1817</v>
      </c>
      <c r="K578" s="4" t="s">
        <v>1818</v>
      </c>
      <c r="L578" s="4" t="s">
        <v>91</v>
      </c>
      <c r="M578" s="4" t="s">
        <v>33</v>
      </c>
      <c r="N578" s="4" t="s">
        <v>60</v>
      </c>
      <c r="O578" s="4" t="s">
        <v>25</v>
      </c>
      <c r="P578" s="4" t="s">
        <v>50</v>
      </c>
      <c r="Q578" s="4" t="s">
        <v>79</v>
      </c>
      <c r="R578" s="4"/>
    </row>
    <row r="579" spans="1:18">
      <c r="A579">
        <v>578</v>
      </c>
      <c r="B579" s="3">
        <v>46203.6475810185</v>
      </c>
      <c r="C579" s="3">
        <v>46203.6495138889</v>
      </c>
      <c r="D579" s="4" t="s">
        <v>18</v>
      </c>
      <c r="E579" s="4"/>
      <c r="F579" s="1">
        <v>46203</v>
      </c>
      <c r="G579" s="4" t="s">
        <v>37</v>
      </c>
      <c r="H579" s="4" t="s">
        <v>1597</v>
      </c>
      <c r="I579" s="5" t="s">
        <v>1819</v>
      </c>
      <c r="J579" s="4" t="s">
        <v>1820</v>
      </c>
      <c r="K579" s="4" t="s">
        <v>938</v>
      </c>
      <c r="L579" s="4" t="s">
        <v>91</v>
      </c>
      <c r="M579" s="4" t="s">
        <v>33</v>
      </c>
      <c r="N579" s="4" t="s">
        <v>60</v>
      </c>
      <c r="O579" s="4" t="s">
        <v>25</v>
      </c>
      <c r="P579" s="4" t="s">
        <v>36</v>
      </c>
      <c r="Q579" s="4" t="s">
        <v>79</v>
      </c>
      <c r="R579" s="4"/>
    </row>
    <row r="580" spans="1:18">
      <c r="A580">
        <v>579</v>
      </c>
      <c r="B580" s="3">
        <v>46203.750648148103</v>
      </c>
      <c r="C580" s="3">
        <v>46203.752766203703</v>
      </c>
      <c r="D580" s="4" t="s">
        <v>18</v>
      </c>
      <c r="E580" s="4"/>
      <c r="F580" s="1">
        <v>46203</v>
      </c>
      <c r="G580" s="4" t="s">
        <v>386</v>
      </c>
      <c r="H580" s="4" t="s">
        <v>714</v>
      </c>
      <c r="I580" s="5" t="s">
        <v>1821</v>
      </c>
      <c r="J580" s="4" t="s">
        <v>1822</v>
      </c>
      <c r="K580" s="4" t="s">
        <v>1823</v>
      </c>
      <c r="L580" s="4" t="s">
        <v>1560</v>
      </c>
      <c r="M580" s="4" t="s">
        <v>33</v>
      </c>
      <c r="N580" s="4" t="s">
        <v>60</v>
      </c>
      <c r="O580" s="4" t="s">
        <v>25</v>
      </c>
      <c r="P580" s="4" t="s">
        <v>86</v>
      </c>
      <c r="Q580" s="4" t="s">
        <v>27</v>
      </c>
      <c r="R580" s="4"/>
    </row>
    <row r="581" spans="1:18">
      <c r="A581">
        <v>580</v>
      </c>
      <c r="B581" s="3">
        <v>46203.7593865741</v>
      </c>
      <c r="C581" s="3">
        <v>46203.760972222197</v>
      </c>
      <c r="D581" s="4" t="s">
        <v>18</v>
      </c>
      <c r="E581" s="4"/>
      <c r="F581" s="1">
        <v>46203</v>
      </c>
      <c r="G581" s="4" t="s">
        <v>1824</v>
      </c>
      <c r="H581" s="4" t="s">
        <v>1824</v>
      </c>
      <c r="I581" s="5" t="s">
        <v>1825</v>
      </c>
      <c r="J581" s="4" t="s">
        <v>1826</v>
      </c>
      <c r="K581" s="4" t="s">
        <v>492</v>
      </c>
      <c r="L581" s="4" t="s">
        <v>23</v>
      </c>
      <c r="M581" s="4" t="s">
        <v>60</v>
      </c>
      <c r="N581" s="4" t="s">
        <v>896</v>
      </c>
      <c r="O581" s="4" t="s">
        <v>25</v>
      </c>
      <c r="P581" s="4" t="s">
        <v>55</v>
      </c>
      <c r="Q581" s="4" t="s">
        <v>79</v>
      </c>
      <c r="R581" s="4"/>
    </row>
    <row r="582" spans="1:18">
      <c r="A582">
        <v>581</v>
      </c>
      <c r="B582" s="3">
        <v>46203.761087963001</v>
      </c>
      <c r="C582" s="3">
        <v>46203.764930555597</v>
      </c>
      <c r="D582" s="4" t="s">
        <v>18</v>
      </c>
      <c r="E582" s="4"/>
      <c r="F582" s="1">
        <v>46203</v>
      </c>
      <c r="G582" s="4" t="s">
        <v>1827</v>
      </c>
      <c r="H582" s="4" t="s">
        <v>1828</v>
      </c>
      <c r="I582" s="5" t="s">
        <v>1829</v>
      </c>
      <c r="J582" s="4" t="s">
        <v>1830</v>
      </c>
      <c r="K582" s="4" t="s">
        <v>492</v>
      </c>
      <c r="L582" s="4" t="s">
        <v>23</v>
      </c>
      <c r="M582" s="4" t="s">
        <v>60</v>
      </c>
      <c r="N582" s="4" t="s">
        <v>896</v>
      </c>
      <c r="O582" s="4" t="s">
        <v>25</v>
      </c>
      <c r="P582" s="4" t="s">
        <v>92</v>
      </c>
      <c r="Q582" s="4" t="s">
        <v>79</v>
      </c>
      <c r="R582" s="4"/>
    </row>
    <row r="583" spans="1:18">
      <c r="A583">
        <v>582</v>
      </c>
      <c r="B583" s="3">
        <v>46203.870798611097</v>
      </c>
      <c r="C583" s="3">
        <v>46203.8740972222</v>
      </c>
      <c r="D583" s="4" t="s">
        <v>18</v>
      </c>
      <c r="E583" s="4"/>
      <c r="F583" s="1">
        <v>46203</v>
      </c>
      <c r="G583" s="5" t="s">
        <v>1831</v>
      </c>
      <c r="H583" s="5" t="s">
        <v>1832</v>
      </c>
      <c r="I583" s="5" t="s">
        <v>1833</v>
      </c>
      <c r="J583" s="4" t="s">
        <v>1834</v>
      </c>
      <c r="K583" s="4" t="s">
        <v>1835</v>
      </c>
      <c r="L583" s="4" t="s">
        <v>44</v>
      </c>
      <c r="M583" s="4" t="s">
        <v>60</v>
      </c>
      <c r="N583" s="4" t="s">
        <v>33</v>
      </c>
      <c r="O583" s="4" t="s">
        <v>25</v>
      </c>
      <c r="P583" s="4" t="s">
        <v>69</v>
      </c>
      <c r="Q583" s="4" t="s">
        <v>93</v>
      </c>
      <c r="R583" s="4"/>
    </row>
    <row r="584" spans="1:18">
      <c r="A584">
        <v>583</v>
      </c>
      <c r="B584" s="3">
        <v>46203.874155092599</v>
      </c>
      <c r="C584" s="3">
        <v>46203.875590277799</v>
      </c>
      <c r="D584" s="4" t="s">
        <v>18</v>
      </c>
      <c r="E584" s="4"/>
      <c r="F584" s="1">
        <v>46203</v>
      </c>
      <c r="G584" s="5" t="s">
        <v>1836</v>
      </c>
      <c r="H584" s="5" t="s">
        <v>1837</v>
      </c>
      <c r="I584" s="5" t="s">
        <v>1838</v>
      </c>
      <c r="J584" s="4" t="s">
        <v>1839</v>
      </c>
      <c r="K584" s="4" t="s">
        <v>31</v>
      </c>
      <c r="L584" s="4" t="s">
        <v>44</v>
      </c>
      <c r="M584" s="4" t="s">
        <v>226</v>
      </c>
      <c r="N584" s="4" t="s">
        <v>60</v>
      </c>
      <c r="O584" s="4" t="s">
        <v>25</v>
      </c>
      <c r="P584" s="4" t="s">
        <v>36</v>
      </c>
      <c r="Q584" s="4" t="s">
        <v>27</v>
      </c>
      <c r="R584" s="4"/>
    </row>
    <row r="585" spans="1:18">
      <c r="A585">
        <v>584</v>
      </c>
      <c r="B585" s="3">
        <v>46203.875625000001</v>
      </c>
      <c r="C585" s="3">
        <v>46203.876597222203</v>
      </c>
      <c r="D585" s="4" t="s">
        <v>18</v>
      </c>
      <c r="E585" s="4"/>
      <c r="F585" s="1">
        <v>46203</v>
      </c>
      <c r="G585" s="5" t="s">
        <v>1836</v>
      </c>
      <c r="H585" s="5" t="s">
        <v>1837</v>
      </c>
      <c r="I585" s="5" t="s">
        <v>1840</v>
      </c>
      <c r="J585" s="4" t="s">
        <v>429</v>
      </c>
      <c r="K585" s="4" t="s">
        <v>1841</v>
      </c>
      <c r="L585" s="4" t="s">
        <v>44</v>
      </c>
      <c r="M585" s="4" t="s">
        <v>226</v>
      </c>
      <c r="N585" s="4" t="s">
        <v>226</v>
      </c>
      <c r="O585" s="4" t="s">
        <v>25</v>
      </c>
      <c r="P585" s="4" t="s">
        <v>347</v>
      </c>
      <c r="Q585" s="4" t="s">
        <v>27</v>
      </c>
      <c r="R585" s="4"/>
    </row>
    <row r="586" spans="1:18">
      <c r="A586">
        <v>585</v>
      </c>
      <c r="B586" s="3">
        <v>46203.8766666667</v>
      </c>
      <c r="C586" s="3">
        <v>46203.877685185202</v>
      </c>
      <c r="D586" s="4" t="s">
        <v>18</v>
      </c>
      <c r="E586" s="4"/>
      <c r="F586" s="1">
        <v>46203</v>
      </c>
      <c r="G586" s="5" t="s">
        <v>1836</v>
      </c>
      <c r="H586" s="5" t="s">
        <v>1837</v>
      </c>
      <c r="I586" s="5" t="s">
        <v>1842</v>
      </c>
      <c r="J586" s="4" t="s">
        <v>429</v>
      </c>
      <c r="K586" s="4" t="s">
        <v>1841</v>
      </c>
      <c r="L586" s="4" t="s">
        <v>44</v>
      </c>
      <c r="M586" s="4" t="s">
        <v>226</v>
      </c>
      <c r="N586" s="4" t="s">
        <v>60</v>
      </c>
      <c r="O586" s="4" t="s">
        <v>25</v>
      </c>
      <c r="P586" s="4" t="s">
        <v>347</v>
      </c>
      <c r="Q586" s="4" t="s">
        <v>27</v>
      </c>
      <c r="R586" s="4"/>
    </row>
    <row r="587" spans="1:18">
      <c r="A587">
        <v>586</v>
      </c>
      <c r="B587" s="3">
        <v>46203.878819444399</v>
      </c>
      <c r="C587" s="3">
        <v>46203.879652777803</v>
      </c>
      <c r="D587" s="4" t="s">
        <v>18</v>
      </c>
      <c r="E587" s="4"/>
      <c r="F587" s="1">
        <v>46203</v>
      </c>
      <c r="G587" s="5" t="s">
        <v>1836</v>
      </c>
      <c r="H587" s="5" t="s">
        <v>1837</v>
      </c>
      <c r="I587" s="5" t="s">
        <v>1843</v>
      </c>
      <c r="J587" s="4" t="s">
        <v>1449</v>
      </c>
      <c r="K587" s="4" t="s">
        <v>31</v>
      </c>
      <c r="L587" s="4" t="s">
        <v>44</v>
      </c>
      <c r="M587" s="4" t="s">
        <v>226</v>
      </c>
      <c r="N587" s="4" t="s">
        <v>60</v>
      </c>
      <c r="O587" s="4" t="s">
        <v>25</v>
      </c>
      <c r="P587" s="4" t="s">
        <v>347</v>
      </c>
      <c r="Q587" s="4" t="s">
        <v>27</v>
      </c>
      <c r="R587" s="4"/>
    </row>
    <row r="588" spans="1:18">
      <c r="A588">
        <v>587</v>
      </c>
      <c r="B588" s="3">
        <v>46203.993298611102</v>
      </c>
      <c r="C588" s="3">
        <v>46203.9949305556</v>
      </c>
      <c r="D588" s="4" t="s">
        <v>18</v>
      </c>
      <c r="E588" s="4"/>
      <c r="F588" s="1">
        <v>46203</v>
      </c>
      <c r="G588" s="4" t="s">
        <v>1844</v>
      </c>
      <c r="H588" s="4" t="s">
        <v>1844</v>
      </c>
      <c r="I588" s="5" t="s">
        <v>1845</v>
      </c>
      <c r="J588" s="4" t="s">
        <v>1846</v>
      </c>
      <c r="K588" s="4" t="s">
        <v>356</v>
      </c>
      <c r="L588" s="4" t="s">
        <v>98</v>
      </c>
      <c r="M588" s="4" t="s">
        <v>24</v>
      </c>
      <c r="N588" s="4" t="s">
        <v>819</v>
      </c>
      <c r="O588" s="4" t="s">
        <v>25</v>
      </c>
      <c r="P588" s="4" t="s">
        <v>36</v>
      </c>
      <c r="Q588" s="4" t="s">
        <v>27</v>
      </c>
      <c r="R588" s="4"/>
    </row>
    <row r="589" spans="1:18">
      <c r="A589">
        <v>588</v>
      </c>
      <c r="B589" s="3">
        <v>46204.002199074101</v>
      </c>
      <c r="C589" s="3">
        <v>46204.004976851902</v>
      </c>
      <c r="D589" s="4" t="s">
        <v>18</v>
      </c>
      <c r="E589" s="4"/>
      <c r="F589" s="1">
        <v>46202</v>
      </c>
      <c r="G589" s="4" t="s">
        <v>1847</v>
      </c>
      <c r="H589" s="4" t="s">
        <v>1848</v>
      </c>
      <c r="I589" s="5" t="s">
        <v>1849</v>
      </c>
      <c r="J589" s="4" t="s">
        <v>1850</v>
      </c>
      <c r="K589" s="4" t="s">
        <v>221</v>
      </c>
      <c r="L589" s="4" t="s">
        <v>98</v>
      </c>
      <c r="M589" s="4" t="s">
        <v>24</v>
      </c>
      <c r="N589" s="4" t="s">
        <v>819</v>
      </c>
      <c r="O589" s="4" t="s">
        <v>25</v>
      </c>
      <c r="P589" s="4" t="s">
        <v>36</v>
      </c>
      <c r="Q589" s="4" t="s">
        <v>93</v>
      </c>
      <c r="R589" s="4"/>
    </row>
    <row r="590" spans="1:18">
      <c r="A590">
        <v>589</v>
      </c>
      <c r="B590" s="3">
        <v>46204.407696759299</v>
      </c>
      <c r="C590" s="3">
        <v>46204.409687500003</v>
      </c>
      <c r="D590" s="4" t="s">
        <v>18</v>
      </c>
      <c r="E590" s="4"/>
      <c r="F590" s="1">
        <v>46204</v>
      </c>
      <c r="G590" s="4" t="s">
        <v>222</v>
      </c>
      <c r="H590" s="4" t="s">
        <v>1377</v>
      </c>
      <c r="I590" s="5" t="s">
        <v>1851</v>
      </c>
      <c r="J590" s="4" t="s">
        <v>1852</v>
      </c>
      <c r="K590" s="4" t="s">
        <v>324</v>
      </c>
      <c r="L590" s="4" t="s">
        <v>266</v>
      </c>
      <c r="M590" s="4" t="s">
        <v>112</v>
      </c>
      <c r="N590" s="4" t="s">
        <v>226</v>
      </c>
      <c r="O590" s="4" t="s">
        <v>25</v>
      </c>
      <c r="P590" s="4" t="s">
        <v>92</v>
      </c>
      <c r="Q590" s="4" t="s">
        <v>27</v>
      </c>
      <c r="R590" s="4"/>
    </row>
    <row r="591" spans="1:18">
      <c r="A591">
        <v>590</v>
      </c>
      <c r="B591" s="3">
        <v>46204.421770833302</v>
      </c>
      <c r="C591" s="3">
        <v>46204.423981481501</v>
      </c>
      <c r="D591" s="4" t="s">
        <v>18</v>
      </c>
      <c r="E591" s="4"/>
      <c r="F591" s="1">
        <v>46204</v>
      </c>
      <c r="G591" s="4" t="s">
        <v>1853</v>
      </c>
      <c r="H591" s="4" t="s">
        <v>1853</v>
      </c>
      <c r="I591" s="5" t="s">
        <v>1854</v>
      </c>
      <c r="J591" s="4" t="s">
        <v>1855</v>
      </c>
      <c r="K591" s="4" t="s">
        <v>783</v>
      </c>
      <c r="L591" s="4" t="s">
        <v>266</v>
      </c>
      <c r="M591" s="4" t="s">
        <v>112</v>
      </c>
      <c r="N591" s="4" t="s">
        <v>226</v>
      </c>
      <c r="O591" s="4" t="s">
        <v>25</v>
      </c>
      <c r="P591" s="4" t="s">
        <v>36</v>
      </c>
      <c r="Q591" s="4" t="s">
        <v>27</v>
      </c>
      <c r="R591" s="4"/>
    </row>
    <row r="592" spans="1:18">
      <c r="A592">
        <v>591</v>
      </c>
      <c r="B592" s="3">
        <v>46204.457048611097</v>
      </c>
      <c r="C592" s="3">
        <v>46204.4606712963</v>
      </c>
      <c r="D592" s="4" t="s">
        <v>18</v>
      </c>
      <c r="E592" s="4"/>
      <c r="F592" s="1">
        <v>46204</v>
      </c>
      <c r="G592" s="4" t="s">
        <v>458</v>
      </c>
      <c r="H592" s="4" t="s">
        <v>83</v>
      </c>
      <c r="I592" s="5" t="s">
        <v>1856</v>
      </c>
      <c r="J592" s="4" t="s">
        <v>1857</v>
      </c>
      <c r="K592" s="4" t="s">
        <v>1858</v>
      </c>
      <c r="L592" s="4" t="s">
        <v>1560</v>
      </c>
      <c r="M592" s="4" t="s">
        <v>60</v>
      </c>
      <c r="N592" s="4" t="s">
        <v>33</v>
      </c>
      <c r="O592" s="4" t="s">
        <v>25</v>
      </c>
      <c r="P592" s="4" t="s">
        <v>50</v>
      </c>
      <c r="Q592" s="4" t="s">
        <v>27</v>
      </c>
      <c r="R592" s="4"/>
    </row>
    <row r="593" spans="1:18">
      <c r="A593">
        <v>592</v>
      </c>
      <c r="B593" s="3">
        <v>46204.461064814801</v>
      </c>
      <c r="C593" s="3">
        <v>46204.4680787037</v>
      </c>
      <c r="D593" s="4" t="s">
        <v>18</v>
      </c>
      <c r="E593" s="4"/>
      <c r="F593" s="1">
        <v>46204</v>
      </c>
      <c r="G593" s="4" t="s">
        <v>137</v>
      </c>
      <c r="H593" s="4" t="s">
        <v>442</v>
      </c>
      <c r="I593" s="5" t="s">
        <v>1859</v>
      </c>
      <c r="J593" s="4" t="s">
        <v>1860</v>
      </c>
      <c r="K593" s="4" t="s">
        <v>1861</v>
      </c>
      <c r="L593" s="4" t="s">
        <v>1560</v>
      </c>
      <c r="M593" s="4" t="s">
        <v>60</v>
      </c>
      <c r="N593" s="4" t="s">
        <v>33</v>
      </c>
      <c r="O593" s="4" t="s">
        <v>25</v>
      </c>
      <c r="P593" s="4" t="s">
        <v>69</v>
      </c>
      <c r="Q593" s="4" t="s">
        <v>93</v>
      </c>
      <c r="R593" s="4"/>
    </row>
    <row r="594" spans="1:18">
      <c r="A594">
        <v>593</v>
      </c>
      <c r="B594" s="3">
        <v>46204.478067129603</v>
      </c>
      <c r="C594" s="3">
        <v>46204.479467592602</v>
      </c>
      <c r="D594" s="4" t="s">
        <v>18</v>
      </c>
      <c r="E594" s="4"/>
      <c r="F594" s="1">
        <v>46204</v>
      </c>
      <c r="G594" s="4" t="s">
        <v>1541</v>
      </c>
      <c r="H594" s="4" t="s">
        <v>1541</v>
      </c>
      <c r="I594" s="5" t="s">
        <v>1862</v>
      </c>
      <c r="J594" s="4" t="s">
        <v>1863</v>
      </c>
      <c r="K594" s="4" t="s">
        <v>22</v>
      </c>
      <c r="L594" s="4" t="s">
        <v>23</v>
      </c>
      <c r="M594" s="4" t="s">
        <v>33</v>
      </c>
      <c r="N594" s="4" t="s">
        <v>34</v>
      </c>
      <c r="O594" s="4" t="s">
        <v>25</v>
      </c>
      <c r="P594" s="4" t="s">
        <v>36</v>
      </c>
      <c r="Q594" s="4" t="s">
        <v>27</v>
      </c>
      <c r="R594" s="4"/>
    </row>
    <row r="595" spans="1:18">
      <c r="A595">
        <v>594</v>
      </c>
      <c r="B595" s="3">
        <v>46204.479733796303</v>
      </c>
      <c r="C595" s="3">
        <v>46204.480798611097</v>
      </c>
      <c r="D595" s="4" t="s">
        <v>18</v>
      </c>
      <c r="E595" s="4"/>
      <c r="F595" s="1">
        <v>46204</v>
      </c>
      <c r="G595" s="4" t="s">
        <v>1693</v>
      </c>
      <c r="H595" s="4" t="s">
        <v>1693</v>
      </c>
      <c r="I595" s="5" t="s">
        <v>1864</v>
      </c>
      <c r="J595" s="4" t="s">
        <v>1865</v>
      </c>
      <c r="K595" s="4" t="s">
        <v>22</v>
      </c>
      <c r="L595" s="4" t="s">
        <v>23</v>
      </c>
      <c r="M595" s="4" t="s">
        <v>33</v>
      </c>
      <c r="N595" s="4" t="s">
        <v>896</v>
      </c>
      <c r="O595" s="4" t="s">
        <v>25</v>
      </c>
      <c r="P595" s="4" t="s">
        <v>347</v>
      </c>
      <c r="Q595" s="4" t="s">
        <v>79</v>
      </c>
      <c r="R595" s="4"/>
    </row>
    <row r="596" spans="1:18">
      <c r="A596">
        <v>595</v>
      </c>
      <c r="B596" s="3">
        <v>46204.481041666702</v>
      </c>
      <c r="C596" s="3">
        <v>46204.482962962997</v>
      </c>
      <c r="D596" s="4" t="s">
        <v>18</v>
      </c>
      <c r="E596" s="4"/>
      <c r="F596" s="1">
        <v>46204</v>
      </c>
      <c r="G596" s="4" t="s">
        <v>1866</v>
      </c>
      <c r="H596" s="4" t="s">
        <v>1541</v>
      </c>
      <c r="I596" s="5" t="s">
        <v>1867</v>
      </c>
      <c r="J596" s="4" t="s">
        <v>1868</v>
      </c>
      <c r="K596" s="4" t="s">
        <v>1869</v>
      </c>
      <c r="L596" s="4" t="s">
        <v>23</v>
      </c>
      <c r="M596" s="4" t="s">
        <v>33</v>
      </c>
      <c r="N596" s="4" t="s">
        <v>34</v>
      </c>
      <c r="O596" s="4" t="s">
        <v>25</v>
      </c>
      <c r="P596" s="4" t="s">
        <v>347</v>
      </c>
      <c r="Q596" s="4" t="s">
        <v>79</v>
      </c>
      <c r="R596" s="4"/>
    </row>
    <row r="597" spans="1:18">
      <c r="A597">
        <v>596</v>
      </c>
      <c r="B597" s="3">
        <v>46204.479826388902</v>
      </c>
      <c r="C597" s="3">
        <v>46204.492314814801</v>
      </c>
      <c r="D597" s="4" t="s">
        <v>18</v>
      </c>
      <c r="E597" s="4"/>
      <c r="F597" s="1">
        <v>46204</v>
      </c>
      <c r="G597" s="4" t="s">
        <v>343</v>
      </c>
      <c r="H597" s="4" t="s">
        <v>1870</v>
      </c>
      <c r="I597" s="5" t="s">
        <v>1871</v>
      </c>
      <c r="J597" s="4" t="s">
        <v>1872</v>
      </c>
      <c r="K597" s="4" t="s">
        <v>1873</v>
      </c>
      <c r="L597" s="4" t="s">
        <v>1874</v>
      </c>
      <c r="M597" s="4" t="s">
        <v>33</v>
      </c>
      <c r="N597" s="4" t="s">
        <v>60</v>
      </c>
      <c r="O597" s="4" t="s">
        <v>25</v>
      </c>
      <c r="P597" s="4" t="s">
        <v>36</v>
      </c>
      <c r="Q597" s="4" t="s">
        <v>93</v>
      </c>
      <c r="R597" s="4"/>
    </row>
    <row r="598" spans="1:18">
      <c r="A598">
        <v>597</v>
      </c>
      <c r="B598" s="3">
        <v>46204.505624999998</v>
      </c>
      <c r="C598" s="3">
        <v>46204.508368055598</v>
      </c>
      <c r="D598" s="4" t="s">
        <v>18</v>
      </c>
      <c r="E598" s="4"/>
      <c r="F598" s="1">
        <v>46204</v>
      </c>
      <c r="G598" s="4" t="s">
        <v>1875</v>
      </c>
      <c r="H598" s="4" t="s">
        <v>1876</v>
      </c>
      <c r="I598" s="5" t="s">
        <v>1877</v>
      </c>
      <c r="J598" s="4" t="s">
        <v>1878</v>
      </c>
      <c r="K598" s="4" t="s">
        <v>346</v>
      </c>
      <c r="L598" s="4" t="s">
        <v>98</v>
      </c>
      <c r="M598" s="4" t="s">
        <v>226</v>
      </c>
      <c r="N598" s="4" t="s">
        <v>45</v>
      </c>
      <c r="O598" s="4" t="s">
        <v>25</v>
      </c>
      <c r="P598" s="4" t="s">
        <v>36</v>
      </c>
      <c r="Q598" s="4" t="s">
        <v>27</v>
      </c>
      <c r="R598" s="4"/>
    </row>
    <row r="599" spans="1:18">
      <c r="A599">
        <v>598</v>
      </c>
      <c r="B599" s="3">
        <v>46204.519641203697</v>
      </c>
      <c r="C599" s="3">
        <v>46204.522280092599</v>
      </c>
      <c r="D599" s="4" t="s">
        <v>18</v>
      </c>
      <c r="E599" s="4"/>
      <c r="F599" s="1">
        <v>46204</v>
      </c>
      <c r="G599" s="4" t="s">
        <v>531</v>
      </c>
      <c r="H599" s="4" t="s">
        <v>1879</v>
      </c>
      <c r="I599" s="5" t="s">
        <v>1880</v>
      </c>
      <c r="J599" s="4" t="s">
        <v>1881</v>
      </c>
      <c r="K599" s="4" t="s">
        <v>492</v>
      </c>
      <c r="L599" s="4" t="s">
        <v>148</v>
      </c>
      <c r="M599" s="4" t="s">
        <v>33</v>
      </c>
      <c r="N599" s="4" t="s">
        <v>896</v>
      </c>
      <c r="O599" s="4" t="s">
        <v>35</v>
      </c>
      <c r="P599" s="4" t="s">
        <v>36</v>
      </c>
      <c r="Q599" s="4" t="s">
        <v>27</v>
      </c>
      <c r="R599" s="4"/>
    </row>
    <row r="600" spans="1:18">
      <c r="A600">
        <v>599</v>
      </c>
      <c r="B600" s="3">
        <v>46204.5223148148</v>
      </c>
      <c r="C600" s="3">
        <v>46204.5246990741</v>
      </c>
      <c r="D600" s="4" t="s">
        <v>18</v>
      </c>
      <c r="E600" s="4"/>
      <c r="F600" s="1">
        <v>46204</v>
      </c>
      <c r="G600" s="4" t="s">
        <v>400</v>
      </c>
      <c r="H600" s="4" t="s">
        <v>758</v>
      </c>
      <c r="I600" s="5" t="s">
        <v>1882</v>
      </c>
      <c r="J600" s="4" t="s">
        <v>1883</v>
      </c>
      <c r="K600" s="4" t="s">
        <v>665</v>
      </c>
      <c r="L600" s="4" t="s">
        <v>148</v>
      </c>
      <c r="M600" s="4" t="s">
        <v>34</v>
      </c>
      <c r="N600" s="4" t="s">
        <v>896</v>
      </c>
      <c r="O600" s="4" t="s">
        <v>35</v>
      </c>
      <c r="P600" s="4" t="s">
        <v>36</v>
      </c>
      <c r="Q600" s="4" t="s">
        <v>27</v>
      </c>
      <c r="R600" s="4"/>
    </row>
    <row r="601" spans="1:18">
      <c r="A601">
        <v>600</v>
      </c>
      <c r="B601" s="3">
        <v>46204.683969907397</v>
      </c>
      <c r="C601" s="3">
        <v>46204.687071759297</v>
      </c>
      <c r="D601" s="4" t="s">
        <v>18</v>
      </c>
      <c r="E601" s="4"/>
      <c r="F601" s="1">
        <v>46204</v>
      </c>
      <c r="G601" s="4" t="s">
        <v>528</v>
      </c>
      <c r="H601" s="4" t="s">
        <v>1102</v>
      </c>
      <c r="I601" s="5" t="s">
        <v>1884</v>
      </c>
      <c r="J601" s="4" t="s">
        <v>1885</v>
      </c>
      <c r="K601" s="4" t="s">
        <v>334</v>
      </c>
      <c r="L601" s="4" t="s">
        <v>148</v>
      </c>
      <c r="M601" s="4" t="s">
        <v>34</v>
      </c>
      <c r="N601" s="4" t="s">
        <v>896</v>
      </c>
      <c r="O601" s="4" t="s">
        <v>35</v>
      </c>
      <c r="P601" s="4" t="s">
        <v>36</v>
      </c>
      <c r="Q601" s="4" t="s">
        <v>27</v>
      </c>
      <c r="R601" s="4"/>
    </row>
    <row r="602" spans="1:18">
      <c r="A602">
        <v>601</v>
      </c>
      <c r="B602" s="3">
        <v>46204.6884027778</v>
      </c>
      <c r="C602" s="3">
        <v>46204.689976851798</v>
      </c>
      <c r="D602" s="4" t="s">
        <v>18</v>
      </c>
      <c r="E602" s="4"/>
      <c r="F602" s="1">
        <v>46204</v>
      </c>
      <c r="G602" s="4" t="s">
        <v>794</v>
      </c>
      <c r="H602" s="4" t="s">
        <v>794</v>
      </c>
      <c r="I602" s="5" t="s">
        <v>1886</v>
      </c>
      <c r="J602" s="4" t="s">
        <v>1887</v>
      </c>
      <c r="K602" s="4" t="s">
        <v>1415</v>
      </c>
      <c r="L602" s="4" t="s">
        <v>91</v>
      </c>
      <c r="M602" s="4" t="s">
        <v>33</v>
      </c>
      <c r="N602" s="4" t="s">
        <v>34</v>
      </c>
      <c r="O602" s="4" t="s">
        <v>25</v>
      </c>
      <c r="P602" s="4" t="s">
        <v>50</v>
      </c>
      <c r="Q602" s="4" t="s">
        <v>79</v>
      </c>
      <c r="R602" s="4"/>
    </row>
    <row r="603" spans="1:18">
      <c r="A603">
        <v>602</v>
      </c>
      <c r="B603" s="3">
        <v>46204.690115740697</v>
      </c>
      <c r="C603" s="3">
        <v>46204.691736111097</v>
      </c>
      <c r="D603" s="4" t="s">
        <v>18</v>
      </c>
      <c r="E603" s="4"/>
      <c r="F603" s="1">
        <v>46204</v>
      </c>
      <c r="G603" s="4" t="s">
        <v>1376</v>
      </c>
      <c r="H603" s="4" t="s">
        <v>1888</v>
      </c>
      <c r="I603" s="5" t="s">
        <v>1889</v>
      </c>
      <c r="J603" s="4" t="s">
        <v>1890</v>
      </c>
      <c r="K603" s="4" t="s">
        <v>1891</v>
      </c>
      <c r="L603" s="4" t="s">
        <v>91</v>
      </c>
      <c r="M603" s="4" t="s">
        <v>33</v>
      </c>
      <c r="N603" s="4" t="s">
        <v>60</v>
      </c>
      <c r="O603" s="4" t="s">
        <v>25</v>
      </c>
      <c r="P603" s="4" t="s">
        <v>69</v>
      </c>
      <c r="Q603" s="4" t="s">
        <v>27</v>
      </c>
      <c r="R603" s="4"/>
    </row>
    <row r="604" spans="1:18">
      <c r="A604">
        <v>603</v>
      </c>
      <c r="B604" s="3">
        <v>46204.731446759302</v>
      </c>
      <c r="C604" s="3">
        <v>46204.733958333301</v>
      </c>
      <c r="D604" s="4" t="s">
        <v>18</v>
      </c>
      <c r="E604" s="4"/>
      <c r="F604" s="1">
        <v>46204</v>
      </c>
      <c r="G604" s="4" t="s">
        <v>1191</v>
      </c>
      <c r="H604" s="4" t="s">
        <v>755</v>
      </c>
      <c r="I604" s="5" t="s">
        <v>1892</v>
      </c>
      <c r="J604" s="4" t="s">
        <v>1893</v>
      </c>
      <c r="K604" s="4" t="s">
        <v>1894</v>
      </c>
      <c r="L604" s="4" t="s">
        <v>32</v>
      </c>
      <c r="M604" s="4" t="s">
        <v>34</v>
      </c>
      <c r="N604" s="4" t="s">
        <v>226</v>
      </c>
      <c r="O604" s="4" t="s">
        <v>35</v>
      </c>
      <c r="P604" s="4" t="s">
        <v>36</v>
      </c>
      <c r="Q604" s="4" t="s">
        <v>79</v>
      </c>
      <c r="R604" s="4"/>
    </row>
    <row r="605" spans="1:18">
      <c r="A605">
        <v>604</v>
      </c>
      <c r="B605" s="3">
        <v>46204.750937500001</v>
      </c>
      <c r="C605" s="3">
        <v>46204.752337963</v>
      </c>
      <c r="D605" s="4" t="s">
        <v>18</v>
      </c>
      <c r="E605" s="4"/>
      <c r="F605" s="1">
        <v>46204</v>
      </c>
      <c r="G605" s="4" t="s">
        <v>1895</v>
      </c>
      <c r="H605" s="4" t="s">
        <v>1896</v>
      </c>
      <c r="I605" s="5" t="s">
        <v>1897</v>
      </c>
      <c r="J605" s="4" t="s">
        <v>1898</v>
      </c>
      <c r="K605" s="4" t="s">
        <v>1899</v>
      </c>
      <c r="L605" s="4" t="s">
        <v>91</v>
      </c>
      <c r="M605" s="4" t="s">
        <v>24</v>
      </c>
      <c r="N605" s="4" t="s">
        <v>45</v>
      </c>
      <c r="O605" s="4" t="s">
        <v>25</v>
      </c>
      <c r="P605" s="4" t="s">
        <v>69</v>
      </c>
      <c r="Q605" s="4" t="s">
        <v>93</v>
      </c>
      <c r="R605" s="4"/>
    </row>
    <row r="606" spans="1:18">
      <c r="A606">
        <v>605</v>
      </c>
      <c r="B606" s="3">
        <v>46204.752465277801</v>
      </c>
      <c r="C606" s="3">
        <v>46204.753460648099</v>
      </c>
      <c r="D606" s="4" t="s">
        <v>18</v>
      </c>
      <c r="E606" s="4"/>
      <c r="F606" s="1">
        <v>46204</v>
      </c>
      <c r="G606" s="4" t="s">
        <v>1900</v>
      </c>
      <c r="H606" s="4" t="s">
        <v>1901</v>
      </c>
      <c r="I606" s="5" t="s">
        <v>1902</v>
      </c>
      <c r="J606" s="4" t="s">
        <v>1903</v>
      </c>
      <c r="K606" s="4" t="s">
        <v>1904</v>
      </c>
      <c r="L606" s="4" t="s">
        <v>91</v>
      </c>
      <c r="M606" s="4" t="s">
        <v>60</v>
      </c>
      <c r="N606" s="4" t="s">
        <v>45</v>
      </c>
      <c r="O606" s="4" t="s">
        <v>25</v>
      </c>
      <c r="P606" s="4" t="s">
        <v>69</v>
      </c>
      <c r="Q606" s="4" t="s">
        <v>93</v>
      </c>
      <c r="R606" s="4"/>
    </row>
    <row r="607" spans="1:18">
      <c r="A607">
        <v>606</v>
      </c>
      <c r="B607" s="3">
        <v>46204.808541666702</v>
      </c>
      <c r="C607" s="3">
        <v>46204.810173611098</v>
      </c>
      <c r="D607" s="4" t="s">
        <v>18</v>
      </c>
      <c r="E607" s="4"/>
      <c r="F607" s="1">
        <v>46204</v>
      </c>
      <c r="G607" s="4" t="s">
        <v>386</v>
      </c>
      <c r="H607" s="4" t="s">
        <v>1905</v>
      </c>
      <c r="I607" s="5" t="s">
        <v>1906</v>
      </c>
      <c r="J607" s="4" t="s">
        <v>1907</v>
      </c>
      <c r="K607" s="4" t="s">
        <v>1908</v>
      </c>
      <c r="L607" s="4" t="s">
        <v>1560</v>
      </c>
      <c r="M607" s="4" t="s">
        <v>60</v>
      </c>
      <c r="N607" s="4" t="s">
        <v>33</v>
      </c>
      <c r="O607" s="4" t="s">
        <v>25</v>
      </c>
      <c r="P607" s="4" t="s">
        <v>36</v>
      </c>
      <c r="Q607" s="4" t="s">
        <v>27</v>
      </c>
      <c r="R607" s="4"/>
    </row>
    <row r="608" spans="1:18">
      <c r="A608">
        <v>607</v>
      </c>
      <c r="B608" s="3">
        <v>46204.913032407399</v>
      </c>
      <c r="C608" s="3">
        <v>46204.914745370399</v>
      </c>
      <c r="D608" s="4" t="s">
        <v>18</v>
      </c>
      <c r="E608" s="4"/>
      <c r="F608" s="1">
        <v>46204</v>
      </c>
      <c r="G608" s="4" t="s">
        <v>1909</v>
      </c>
      <c r="H608" s="4" t="s">
        <v>1910</v>
      </c>
      <c r="I608" s="5" t="s">
        <v>1911</v>
      </c>
      <c r="J608" s="4" t="s">
        <v>1912</v>
      </c>
      <c r="K608" s="4" t="s">
        <v>356</v>
      </c>
      <c r="L608" s="4" t="s">
        <v>98</v>
      </c>
      <c r="M608" s="4" t="s">
        <v>60</v>
      </c>
      <c r="N608" s="4" t="s">
        <v>819</v>
      </c>
      <c r="O608" s="4" t="s">
        <v>25</v>
      </c>
      <c r="P608" s="4" t="s">
        <v>36</v>
      </c>
      <c r="Q608" s="4" t="s">
        <v>93</v>
      </c>
      <c r="R608" s="4"/>
    </row>
    <row r="609" spans="1:18">
      <c r="A609">
        <v>608</v>
      </c>
      <c r="B609" s="3">
        <v>46204.914814814802</v>
      </c>
      <c r="C609" s="3">
        <v>46204.917256944398</v>
      </c>
      <c r="D609" s="4" t="s">
        <v>18</v>
      </c>
      <c r="E609" s="4"/>
      <c r="F609" s="1">
        <v>46204</v>
      </c>
      <c r="G609" s="4" t="s">
        <v>1913</v>
      </c>
      <c r="H609" s="4" t="s">
        <v>1913</v>
      </c>
      <c r="I609" s="5" t="s">
        <v>1914</v>
      </c>
      <c r="J609" s="4" t="s">
        <v>1915</v>
      </c>
      <c r="K609" s="4" t="s">
        <v>356</v>
      </c>
      <c r="L609" s="4" t="s">
        <v>98</v>
      </c>
      <c r="M609" s="4" t="s">
        <v>825</v>
      </c>
      <c r="N609" s="4" t="s">
        <v>819</v>
      </c>
      <c r="O609" s="4" t="s">
        <v>35</v>
      </c>
      <c r="P609" s="4" t="s">
        <v>835</v>
      </c>
      <c r="Q609" s="4" t="s">
        <v>79</v>
      </c>
      <c r="R609" s="4"/>
    </row>
    <row r="610" spans="1:18">
      <c r="A610">
        <v>609</v>
      </c>
      <c r="B610" s="3">
        <v>46205.355798611097</v>
      </c>
      <c r="C610" s="3">
        <v>46205.358587962997</v>
      </c>
      <c r="D610" s="4" t="s">
        <v>18</v>
      </c>
      <c r="E610" s="4"/>
      <c r="F610" s="1">
        <v>46206</v>
      </c>
      <c r="G610" s="4" t="s">
        <v>548</v>
      </c>
      <c r="H610" s="4" t="s">
        <v>392</v>
      </c>
      <c r="I610" s="5" t="s">
        <v>1916</v>
      </c>
      <c r="J610" s="4" t="s">
        <v>1917</v>
      </c>
      <c r="K610" s="4" t="s">
        <v>1918</v>
      </c>
      <c r="L610" s="4" t="s">
        <v>23</v>
      </c>
      <c r="M610" s="4" t="s">
        <v>33</v>
      </c>
      <c r="N610" s="4" t="s">
        <v>896</v>
      </c>
      <c r="O610" s="4" t="s">
        <v>25</v>
      </c>
      <c r="P610" s="4" t="s">
        <v>92</v>
      </c>
      <c r="Q610" s="4" t="s">
        <v>79</v>
      </c>
      <c r="R610" s="4" t="s">
        <v>1919</v>
      </c>
    </row>
    <row r="611" spans="1:18">
      <c r="A611">
        <v>610</v>
      </c>
      <c r="B611" s="3">
        <v>46205.394108796303</v>
      </c>
      <c r="C611" s="3">
        <v>46205.3967708333</v>
      </c>
      <c r="D611" s="4" t="s">
        <v>18</v>
      </c>
      <c r="E611" s="4"/>
      <c r="F611" s="1">
        <v>46205</v>
      </c>
      <c r="G611" s="4" t="s">
        <v>83</v>
      </c>
      <c r="H611" s="4" t="s">
        <v>83</v>
      </c>
      <c r="I611" s="5" t="s">
        <v>1920</v>
      </c>
      <c r="J611" s="4" t="s">
        <v>1921</v>
      </c>
      <c r="K611" s="4" t="s">
        <v>1922</v>
      </c>
      <c r="L611" s="4" t="s">
        <v>148</v>
      </c>
      <c r="M611" s="4" t="s">
        <v>33</v>
      </c>
      <c r="N611" s="4" t="s">
        <v>896</v>
      </c>
      <c r="O611" s="4" t="s">
        <v>25</v>
      </c>
      <c r="P611" s="4" t="s">
        <v>36</v>
      </c>
      <c r="Q611" s="4" t="s">
        <v>79</v>
      </c>
      <c r="R611" s="4"/>
    </row>
    <row r="612" spans="1:18">
      <c r="A612">
        <v>611</v>
      </c>
      <c r="B612" s="3">
        <v>46205.4190856481</v>
      </c>
      <c r="C612" s="3">
        <v>46205.421539351897</v>
      </c>
      <c r="D612" s="4" t="s">
        <v>18</v>
      </c>
      <c r="E612" s="4"/>
      <c r="F612" s="1">
        <v>46205</v>
      </c>
      <c r="G612" s="4" t="s">
        <v>1733</v>
      </c>
      <c r="H612" s="4" t="s">
        <v>442</v>
      </c>
      <c r="I612" s="5" t="s">
        <v>1923</v>
      </c>
      <c r="J612" s="4" t="s">
        <v>1924</v>
      </c>
      <c r="K612" s="4" t="s">
        <v>1925</v>
      </c>
      <c r="L612" s="4" t="s">
        <v>1874</v>
      </c>
      <c r="M612" s="4" t="s">
        <v>226</v>
      </c>
      <c r="N612" s="4" t="s">
        <v>33</v>
      </c>
      <c r="O612" s="4" t="s">
        <v>25</v>
      </c>
      <c r="P612" s="4" t="s">
        <v>92</v>
      </c>
      <c r="Q612" s="4" t="s">
        <v>93</v>
      </c>
      <c r="R612" s="4"/>
    </row>
    <row r="613" spans="1:18">
      <c r="A613">
        <v>612</v>
      </c>
      <c r="B613" s="3">
        <v>46205.424467592602</v>
      </c>
      <c r="C613" s="3">
        <v>46205.426122685203</v>
      </c>
      <c r="D613" s="4" t="s">
        <v>18</v>
      </c>
      <c r="E613" s="4"/>
      <c r="F613" s="1">
        <v>46205</v>
      </c>
      <c r="G613" s="4" t="s">
        <v>1926</v>
      </c>
      <c r="H613" s="4" t="s">
        <v>1927</v>
      </c>
      <c r="I613" s="5" t="s">
        <v>1928</v>
      </c>
      <c r="J613" s="4" t="s">
        <v>1929</v>
      </c>
      <c r="K613" s="4" t="s">
        <v>22</v>
      </c>
      <c r="L613" s="4" t="s">
        <v>23</v>
      </c>
      <c r="M613" s="4" t="s">
        <v>33</v>
      </c>
      <c r="N613" s="4" t="s">
        <v>896</v>
      </c>
      <c r="O613" s="4" t="s">
        <v>25</v>
      </c>
      <c r="P613" s="4" t="s">
        <v>55</v>
      </c>
      <c r="Q613" s="4" t="s">
        <v>79</v>
      </c>
      <c r="R613" s="4" t="s">
        <v>1930</v>
      </c>
    </row>
    <row r="614" spans="1:18">
      <c r="A614">
        <v>613</v>
      </c>
      <c r="B614" s="3">
        <v>46205.425185185202</v>
      </c>
      <c r="C614" s="3">
        <v>46205.426805555602</v>
      </c>
      <c r="D614" s="4" t="s">
        <v>18</v>
      </c>
      <c r="E614" s="4"/>
      <c r="F614" s="1">
        <v>46205</v>
      </c>
      <c r="G614" s="4" t="s">
        <v>794</v>
      </c>
      <c r="H614" s="4" t="s">
        <v>554</v>
      </c>
      <c r="I614" s="5" t="s">
        <v>1931</v>
      </c>
      <c r="J614" s="4" t="s">
        <v>1932</v>
      </c>
      <c r="K614" s="4" t="s">
        <v>324</v>
      </c>
      <c r="L614" s="4" t="s">
        <v>266</v>
      </c>
      <c r="M614" s="4" t="s">
        <v>112</v>
      </c>
      <c r="N614" s="4" t="s">
        <v>33</v>
      </c>
      <c r="O614" s="4" t="s">
        <v>25</v>
      </c>
      <c r="P614" s="4" t="s">
        <v>92</v>
      </c>
      <c r="Q614" s="4" t="s">
        <v>27</v>
      </c>
      <c r="R614" s="4"/>
    </row>
    <row r="615" spans="1:18">
      <c r="A615">
        <v>614</v>
      </c>
      <c r="B615" s="3">
        <v>46205.429803240702</v>
      </c>
      <c r="C615" s="3">
        <v>46205.430787037003</v>
      </c>
      <c r="D615" s="4" t="s">
        <v>18</v>
      </c>
      <c r="E615" s="4"/>
      <c r="F615" s="1">
        <v>46205</v>
      </c>
      <c r="G615" s="4" t="s">
        <v>794</v>
      </c>
      <c r="H615" s="4" t="s">
        <v>900</v>
      </c>
      <c r="I615" s="5" t="s">
        <v>1933</v>
      </c>
      <c r="J615" s="4" t="s">
        <v>1934</v>
      </c>
      <c r="K615" s="4" t="s">
        <v>783</v>
      </c>
      <c r="L615" s="4" t="s">
        <v>266</v>
      </c>
      <c r="M615" s="4" t="s">
        <v>112</v>
      </c>
      <c r="N615" s="4" t="s">
        <v>33</v>
      </c>
      <c r="O615" s="4" t="s">
        <v>25</v>
      </c>
      <c r="P615" s="4" t="s">
        <v>36</v>
      </c>
      <c r="Q615" s="4" t="s">
        <v>27</v>
      </c>
      <c r="R615" s="4"/>
    </row>
    <row r="616" spans="1:18">
      <c r="A616">
        <v>615</v>
      </c>
      <c r="B616" s="3">
        <v>46205.457696759302</v>
      </c>
      <c r="C616" s="3">
        <v>46205.458726851903</v>
      </c>
      <c r="D616" s="4" t="s">
        <v>18</v>
      </c>
      <c r="E616" s="4"/>
      <c r="F616" s="1">
        <v>46205</v>
      </c>
      <c r="G616" s="4" t="s">
        <v>1032</v>
      </c>
      <c r="H616" s="4" t="s">
        <v>386</v>
      </c>
      <c r="I616" s="5" t="s">
        <v>1935</v>
      </c>
      <c r="J616" s="4" t="s">
        <v>1936</v>
      </c>
      <c r="K616" s="4" t="s">
        <v>1937</v>
      </c>
      <c r="L616" s="4" t="s">
        <v>1560</v>
      </c>
      <c r="M616" s="4" t="s">
        <v>24</v>
      </c>
      <c r="N616" s="4" t="s">
        <v>33</v>
      </c>
      <c r="O616" s="4" t="s">
        <v>35</v>
      </c>
      <c r="P616" s="4" t="s">
        <v>213</v>
      </c>
      <c r="Q616" s="4" t="s">
        <v>79</v>
      </c>
      <c r="R616" s="4"/>
    </row>
    <row r="617" spans="1:18">
      <c r="A617">
        <v>616</v>
      </c>
      <c r="B617" s="3">
        <v>46205.458888888897</v>
      </c>
      <c r="C617" s="3">
        <v>46205.460358796299</v>
      </c>
      <c r="D617" s="4" t="s">
        <v>18</v>
      </c>
      <c r="E617" s="4"/>
      <c r="F617" s="1">
        <v>46205</v>
      </c>
      <c r="G617" s="4" t="s">
        <v>1032</v>
      </c>
      <c r="H617" s="4" t="s">
        <v>714</v>
      </c>
      <c r="I617" s="5" t="s">
        <v>1938</v>
      </c>
      <c r="J617" s="4" t="s">
        <v>1939</v>
      </c>
      <c r="K617" s="4" t="s">
        <v>1940</v>
      </c>
      <c r="L617" s="4" t="s">
        <v>1560</v>
      </c>
      <c r="M617" s="4" t="s">
        <v>112</v>
      </c>
      <c r="N617" s="4" t="s">
        <v>33</v>
      </c>
      <c r="O617" s="4" t="s">
        <v>25</v>
      </c>
      <c r="P617" s="4" t="s">
        <v>50</v>
      </c>
      <c r="Q617" s="4" t="s">
        <v>27</v>
      </c>
      <c r="R617" s="4"/>
    </row>
    <row r="618" spans="1:18">
      <c r="A618">
        <v>617</v>
      </c>
      <c r="B618" s="3">
        <v>46205.460405092599</v>
      </c>
      <c r="C618" s="3">
        <v>46205.461215277799</v>
      </c>
      <c r="D618" s="4" t="s">
        <v>18</v>
      </c>
      <c r="E618" s="4"/>
      <c r="F618" s="1">
        <v>46205</v>
      </c>
      <c r="G618" s="4" t="s">
        <v>1032</v>
      </c>
      <c r="H618" s="4" t="s">
        <v>458</v>
      </c>
      <c r="I618" s="5" t="s">
        <v>1941</v>
      </c>
      <c r="J618" s="4" t="s">
        <v>1942</v>
      </c>
      <c r="K618" s="4" t="s">
        <v>1943</v>
      </c>
      <c r="L618" s="4" t="s">
        <v>1560</v>
      </c>
      <c r="M618" s="4" t="s">
        <v>112</v>
      </c>
      <c r="N618" s="4" t="s">
        <v>33</v>
      </c>
      <c r="O618" s="4" t="s">
        <v>35</v>
      </c>
      <c r="P618" s="4" t="s">
        <v>69</v>
      </c>
      <c r="Q618" s="4" t="s">
        <v>93</v>
      </c>
      <c r="R618" s="4"/>
    </row>
    <row r="619" spans="1:18">
      <c r="A619">
        <v>618</v>
      </c>
      <c r="B619" s="3">
        <v>46205.510763888902</v>
      </c>
      <c r="C619" s="3">
        <v>46205.5135069444</v>
      </c>
      <c r="D619" s="4" t="s">
        <v>18</v>
      </c>
      <c r="E619" s="4"/>
      <c r="F619" s="1">
        <v>46205</v>
      </c>
      <c r="G619" s="4" t="s">
        <v>1944</v>
      </c>
      <c r="H619" s="4" t="s">
        <v>1945</v>
      </c>
      <c r="I619" s="5" t="s">
        <v>1946</v>
      </c>
      <c r="J619" s="4" t="s">
        <v>1947</v>
      </c>
      <c r="K619" s="4" t="s">
        <v>1948</v>
      </c>
      <c r="L619" s="4" t="s">
        <v>98</v>
      </c>
      <c r="M619" s="4" t="s">
        <v>45</v>
      </c>
      <c r="N619" s="4" t="s">
        <v>226</v>
      </c>
      <c r="O619" s="4" t="s">
        <v>25</v>
      </c>
      <c r="P619" s="4" t="s">
        <v>36</v>
      </c>
      <c r="Q619" s="4" t="s">
        <v>27</v>
      </c>
      <c r="R619" s="4"/>
    </row>
    <row r="620" spans="1:18">
      <c r="A620">
        <v>619</v>
      </c>
      <c r="B620" s="3">
        <v>46205.5707175926</v>
      </c>
      <c r="C620" s="3">
        <v>46205.571724537003</v>
      </c>
      <c r="D620" s="4" t="s">
        <v>18</v>
      </c>
      <c r="E620" s="4"/>
      <c r="F620" s="1">
        <v>46206</v>
      </c>
      <c r="G620" s="4" t="s">
        <v>222</v>
      </c>
      <c r="H620" s="4" t="s">
        <v>1949</v>
      </c>
      <c r="I620" s="5" t="s">
        <v>1819</v>
      </c>
      <c r="J620" s="4" t="s">
        <v>1950</v>
      </c>
      <c r="K620" s="4" t="s">
        <v>1555</v>
      </c>
      <c r="L620" s="4" t="s">
        <v>91</v>
      </c>
      <c r="M620" s="4" t="s">
        <v>33</v>
      </c>
      <c r="N620" s="4" t="s">
        <v>45</v>
      </c>
      <c r="O620" s="4" t="s">
        <v>25</v>
      </c>
      <c r="P620" s="4" t="s">
        <v>50</v>
      </c>
      <c r="Q620" s="4" t="s">
        <v>79</v>
      </c>
      <c r="R620" s="4"/>
    </row>
    <row r="621" spans="1:18">
      <c r="A621">
        <v>620</v>
      </c>
      <c r="B621" s="3">
        <v>46205.573506944398</v>
      </c>
      <c r="C621" s="3">
        <v>46205.574942129599</v>
      </c>
      <c r="D621" s="4" t="s">
        <v>18</v>
      </c>
      <c r="E621" s="4"/>
      <c r="F621" s="1">
        <v>46205</v>
      </c>
      <c r="G621" s="4" t="s">
        <v>1182</v>
      </c>
      <c r="H621" s="4" t="s">
        <v>1951</v>
      </c>
      <c r="I621" s="5" t="s">
        <v>1952</v>
      </c>
      <c r="J621" s="4" t="s">
        <v>1953</v>
      </c>
      <c r="K621" s="4" t="s">
        <v>938</v>
      </c>
      <c r="L621" s="4" t="s">
        <v>91</v>
      </c>
      <c r="M621" s="4" t="s">
        <v>33</v>
      </c>
      <c r="N621" s="4" t="s">
        <v>45</v>
      </c>
      <c r="O621" s="4" t="s">
        <v>25</v>
      </c>
      <c r="P621" s="4" t="s">
        <v>92</v>
      </c>
      <c r="Q621" s="4" t="s">
        <v>79</v>
      </c>
      <c r="R621" s="4"/>
    </row>
    <row r="622" spans="1:18">
      <c r="A622">
        <v>621</v>
      </c>
      <c r="B622" s="3">
        <v>46205.643437500003</v>
      </c>
      <c r="C622" s="3">
        <v>46205.647349537001</v>
      </c>
      <c r="D622" s="4" t="s">
        <v>18</v>
      </c>
      <c r="E622" s="4"/>
      <c r="F622" s="1">
        <v>46205</v>
      </c>
      <c r="G622" s="4" t="s">
        <v>1541</v>
      </c>
      <c r="H622" s="4" t="s">
        <v>1954</v>
      </c>
      <c r="I622" s="5" t="s">
        <v>1955</v>
      </c>
      <c r="J622" s="4" t="s">
        <v>1956</v>
      </c>
      <c r="K622" s="4" t="s">
        <v>22</v>
      </c>
      <c r="L622" s="4" t="s">
        <v>23</v>
      </c>
      <c r="M622" s="4" t="s">
        <v>33</v>
      </c>
      <c r="N622" s="4" t="s">
        <v>33</v>
      </c>
      <c r="O622" s="4" t="s">
        <v>25</v>
      </c>
      <c r="P622" s="4" t="s">
        <v>36</v>
      </c>
      <c r="Q622" s="4" t="s">
        <v>27</v>
      </c>
      <c r="R622" s="4" t="s">
        <v>1957</v>
      </c>
    </row>
    <row r="623" spans="1:18">
      <c r="A623">
        <v>622</v>
      </c>
      <c r="B623" s="3">
        <v>46205.696053240703</v>
      </c>
      <c r="C623" s="3">
        <v>46205.697500000002</v>
      </c>
      <c r="D623" s="4" t="s">
        <v>18</v>
      </c>
      <c r="E623" s="4"/>
      <c r="F623" s="1">
        <v>46205</v>
      </c>
      <c r="G623" s="4" t="s">
        <v>1772</v>
      </c>
      <c r="H623" s="4" t="s">
        <v>1697</v>
      </c>
      <c r="I623" s="5" t="s">
        <v>1958</v>
      </c>
      <c r="J623" s="4" t="s">
        <v>1959</v>
      </c>
      <c r="K623" s="4" t="s">
        <v>492</v>
      </c>
      <c r="L623" s="4" t="s">
        <v>148</v>
      </c>
      <c r="M623" s="4" t="s">
        <v>33</v>
      </c>
      <c r="N623" s="4" t="s">
        <v>896</v>
      </c>
      <c r="O623" s="4" t="s">
        <v>35</v>
      </c>
      <c r="P623" s="4" t="s">
        <v>36</v>
      </c>
      <c r="Q623" s="4" t="s">
        <v>27</v>
      </c>
      <c r="R623" s="4"/>
    </row>
    <row r="624" spans="1:18">
      <c r="A624">
        <v>623</v>
      </c>
      <c r="B624" s="3">
        <v>46205.697627314803</v>
      </c>
      <c r="C624" s="3">
        <v>46205.699594907397</v>
      </c>
      <c r="D624" s="4" t="s">
        <v>18</v>
      </c>
      <c r="E624" s="4"/>
      <c r="F624" s="1">
        <v>46205</v>
      </c>
      <c r="G624" s="4" t="s">
        <v>514</v>
      </c>
      <c r="H624" s="4" t="s">
        <v>1960</v>
      </c>
      <c r="I624" s="5" t="s">
        <v>1961</v>
      </c>
      <c r="J624" s="4" t="s">
        <v>1962</v>
      </c>
      <c r="K624" s="4" t="s">
        <v>665</v>
      </c>
      <c r="L624" s="4" t="s">
        <v>148</v>
      </c>
      <c r="M624" s="4" t="s">
        <v>33</v>
      </c>
      <c r="N624" s="4" t="s">
        <v>896</v>
      </c>
      <c r="O624" s="4" t="s">
        <v>35</v>
      </c>
      <c r="P624" s="4" t="s">
        <v>36</v>
      </c>
      <c r="Q624" s="4" t="s">
        <v>27</v>
      </c>
      <c r="R624" s="4"/>
    </row>
    <row r="625" spans="1:18">
      <c r="A625">
        <v>624</v>
      </c>
      <c r="B625" s="3">
        <v>46205.711666666699</v>
      </c>
      <c r="C625" s="3">
        <v>46205.714224536998</v>
      </c>
      <c r="D625" s="4" t="s">
        <v>18</v>
      </c>
      <c r="E625" s="4"/>
      <c r="F625" s="1">
        <v>46205</v>
      </c>
      <c r="G625" s="4" t="s">
        <v>438</v>
      </c>
      <c r="H625" s="4" t="s">
        <v>454</v>
      </c>
      <c r="I625" s="5" t="s">
        <v>1963</v>
      </c>
      <c r="J625" s="4" t="s">
        <v>1964</v>
      </c>
      <c r="K625" s="4" t="s">
        <v>31</v>
      </c>
      <c r="L625" s="4" t="s">
        <v>1874</v>
      </c>
      <c r="M625" s="4" t="s">
        <v>226</v>
      </c>
      <c r="N625" s="4" t="s">
        <v>33</v>
      </c>
      <c r="O625" s="4" t="s">
        <v>25</v>
      </c>
      <c r="P625" s="4" t="s">
        <v>92</v>
      </c>
      <c r="Q625" s="4" t="s">
        <v>93</v>
      </c>
      <c r="R625" s="4"/>
    </row>
    <row r="626" spans="1:18">
      <c r="A626">
        <v>625</v>
      </c>
      <c r="B626" s="3">
        <v>46205.810138888897</v>
      </c>
      <c r="C626" s="3">
        <v>46205.811921296299</v>
      </c>
      <c r="D626" s="4" t="s">
        <v>18</v>
      </c>
      <c r="E626" s="4"/>
      <c r="F626" s="1">
        <v>46205</v>
      </c>
      <c r="G626" s="4" t="s">
        <v>1965</v>
      </c>
      <c r="H626" s="4" t="s">
        <v>1965</v>
      </c>
      <c r="I626" s="5" t="s">
        <v>1966</v>
      </c>
      <c r="J626" s="4" t="s">
        <v>1967</v>
      </c>
      <c r="K626" s="4" t="s">
        <v>346</v>
      </c>
      <c r="L626" s="4" t="s">
        <v>98</v>
      </c>
      <c r="M626" s="4" t="s">
        <v>819</v>
      </c>
      <c r="N626" s="4" t="s">
        <v>33</v>
      </c>
      <c r="O626" s="4" t="s">
        <v>25</v>
      </c>
      <c r="P626" s="4" t="s">
        <v>347</v>
      </c>
      <c r="Q626" s="4" t="s">
        <v>27</v>
      </c>
      <c r="R626" s="4"/>
    </row>
    <row r="627" spans="1:18">
      <c r="A627">
        <v>626</v>
      </c>
      <c r="B627" s="3">
        <v>46205.893194444398</v>
      </c>
      <c r="C627" s="3">
        <v>46205.905300925901</v>
      </c>
      <c r="D627" s="4" t="s">
        <v>18</v>
      </c>
      <c r="E627" s="4"/>
      <c r="F627" s="1">
        <v>46205</v>
      </c>
      <c r="G627" s="4" t="s">
        <v>1968</v>
      </c>
      <c r="H627" s="4" t="s">
        <v>1969</v>
      </c>
      <c r="I627" s="5" t="s">
        <v>1970</v>
      </c>
      <c r="J627" s="4" t="s">
        <v>1971</v>
      </c>
      <c r="K627" s="4" t="s">
        <v>356</v>
      </c>
      <c r="L627" s="4" t="s">
        <v>98</v>
      </c>
      <c r="M627" s="4" t="s">
        <v>819</v>
      </c>
      <c r="N627" s="4" t="s">
        <v>117</v>
      </c>
      <c r="O627" s="4" t="s">
        <v>25</v>
      </c>
      <c r="P627" s="4" t="s">
        <v>36</v>
      </c>
      <c r="Q627" s="4" t="s">
        <v>27</v>
      </c>
      <c r="R627" s="4"/>
    </row>
    <row r="628" spans="1:18">
      <c r="A628">
        <v>627</v>
      </c>
      <c r="B628" s="3">
        <v>46206.320185185199</v>
      </c>
      <c r="C628" s="3">
        <v>46206.323541666701</v>
      </c>
      <c r="D628" s="4" t="s">
        <v>18</v>
      </c>
      <c r="E628" s="4"/>
      <c r="F628" s="1">
        <v>46206</v>
      </c>
      <c r="G628" s="4" t="s">
        <v>1455</v>
      </c>
      <c r="H628" s="4" t="s">
        <v>1972</v>
      </c>
      <c r="I628" s="5" t="s">
        <v>1973</v>
      </c>
      <c r="J628" s="4" t="s">
        <v>1974</v>
      </c>
      <c r="K628" s="4" t="s">
        <v>1458</v>
      </c>
      <c r="L628" s="4" t="s">
        <v>23</v>
      </c>
      <c r="M628" s="4" t="s">
        <v>819</v>
      </c>
      <c r="N628" s="4" t="s">
        <v>33</v>
      </c>
      <c r="O628" s="4" t="s">
        <v>25</v>
      </c>
      <c r="P628" s="4" t="s">
        <v>36</v>
      </c>
      <c r="Q628" s="4" t="s">
        <v>79</v>
      </c>
      <c r="R628" s="4" t="s">
        <v>746</v>
      </c>
    </row>
    <row r="629" spans="1:18">
      <c r="A629">
        <v>628</v>
      </c>
      <c r="B629" s="3">
        <v>46206.393657407403</v>
      </c>
      <c r="C629" s="3">
        <v>46206.394745370402</v>
      </c>
      <c r="D629" s="4" t="s">
        <v>18</v>
      </c>
      <c r="E629" s="4"/>
      <c r="F629" s="1">
        <v>46206</v>
      </c>
      <c r="G629" s="4" t="s">
        <v>386</v>
      </c>
      <c r="H629" s="4" t="s">
        <v>714</v>
      </c>
      <c r="I629" s="5" t="s">
        <v>1975</v>
      </c>
      <c r="J629" s="4" t="s">
        <v>1976</v>
      </c>
      <c r="K629" s="4" t="s">
        <v>1259</v>
      </c>
      <c r="L629" s="4" t="s">
        <v>148</v>
      </c>
      <c r="M629" s="4" t="s">
        <v>33</v>
      </c>
      <c r="N629" s="4" t="s">
        <v>819</v>
      </c>
      <c r="O629" s="4" t="s">
        <v>25</v>
      </c>
      <c r="P629" s="4" t="s">
        <v>36</v>
      </c>
      <c r="Q629" s="4" t="s">
        <v>79</v>
      </c>
      <c r="R629" s="4"/>
    </row>
    <row r="630" spans="1:18">
      <c r="A630">
        <v>629</v>
      </c>
      <c r="B630" s="3">
        <v>46206.409131944398</v>
      </c>
      <c r="C630" s="3">
        <v>46206.411331018498</v>
      </c>
      <c r="D630" s="4" t="s">
        <v>18</v>
      </c>
      <c r="E630" s="4"/>
      <c r="F630" s="1">
        <v>46206</v>
      </c>
      <c r="G630" s="4" t="s">
        <v>554</v>
      </c>
      <c r="H630" s="4" t="s">
        <v>947</v>
      </c>
      <c r="I630" s="5" t="s">
        <v>1977</v>
      </c>
      <c r="J630" s="4" t="s">
        <v>1978</v>
      </c>
      <c r="K630" s="4" t="s">
        <v>783</v>
      </c>
      <c r="L630" s="4" t="s">
        <v>266</v>
      </c>
      <c r="M630" s="4" t="s">
        <v>45</v>
      </c>
      <c r="N630" s="4" t="s">
        <v>819</v>
      </c>
      <c r="O630" s="4" t="s">
        <v>35</v>
      </c>
      <c r="P630" s="4" t="s">
        <v>92</v>
      </c>
      <c r="Q630" s="4" t="s">
        <v>27</v>
      </c>
      <c r="R630" s="4"/>
    </row>
    <row r="631" spans="1:18">
      <c r="A631">
        <v>630</v>
      </c>
      <c r="B631" s="3">
        <v>46206.421643518501</v>
      </c>
      <c r="C631" s="3">
        <v>46206.423275462999</v>
      </c>
      <c r="D631" s="4" t="s">
        <v>18</v>
      </c>
      <c r="E631" s="4"/>
      <c r="F631" s="1">
        <v>46206</v>
      </c>
      <c r="G631" s="4" t="s">
        <v>554</v>
      </c>
      <c r="H631" s="4" t="s">
        <v>1979</v>
      </c>
      <c r="I631" s="5" t="s">
        <v>1980</v>
      </c>
      <c r="J631" s="4" t="s">
        <v>1981</v>
      </c>
      <c r="K631" s="4" t="s">
        <v>324</v>
      </c>
      <c r="L631" s="4" t="s">
        <v>266</v>
      </c>
      <c r="M631" s="4" t="s">
        <v>45</v>
      </c>
      <c r="N631" s="4" t="s">
        <v>819</v>
      </c>
      <c r="O631" s="4" t="s">
        <v>25</v>
      </c>
      <c r="P631" s="4" t="s">
        <v>92</v>
      </c>
      <c r="Q631" s="4" t="s">
        <v>27</v>
      </c>
      <c r="R631" s="4"/>
    </row>
    <row r="632" spans="1:18">
      <c r="A632">
        <v>631</v>
      </c>
      <c r="B632" s="3">
        <v>46206.438368055598</v>
      </c>
      <c r="C632" s="3">
        <v>46206.4394328704</v>
      </c>
      <c r="D632" s="4" t="s">
        <v>18</v>
      </c>
      <c r="E632" s="4"/>
      <c r="F632" s="1">
        <v>46206</v>
      </c>
      <c r="G632" s="4" t="s">
        <v>386</v>
      </c>
      <c r="H632" s="4" t="s">
        <v>386</v>
      </c>
      <c r="I632" s="5" t="s">
        <v>1982</v>
      </c>
      <c r="J632" s="4" t="s">
        <v>1983</v>
      </c>
      <c r="K632" s="4" t="s">
        <v>1940</v>
      </c>
      <c r="L632" s="4" t="s">
        <v>1560</v>
      </c>
      <c r="M632" s="4" t="s">
        <v>819</v>
      </c>
      <c r="N632" s="4" t="s">
        <v>33</v>
      </c>
      <c r="O632" s="4" t="s">
        <v>25</v>
      </c>
      <c r="P632" s="4" t="s">
        <v>50</v>
      </c>
      <c r="Q632" s="4" t="s">
        <v>27</v>
      </c>
      <c r="R632" s="4"/>
    </row>
    <row r="633" spans="1:18">
      <c r="A633">
        <v>632</v>
      </c>
      <c r="B633" s="3">
        <v>46206.404548611099</v>
      </c>
      <c r="C633" s="3">
        <v>46206.442291666703</v>
      </c>
      <c r="D633" s="4" t="s">
        <v>18</v>
      </c>
      <c r="E633" s="4"/>
      <c r="F633" s="1">
        <v>46206</v>
      </c>
      <c r="G633" s="4" t="s">
        <v>267</v>
      </c>
      <c r="H633" s="4" t="s">
        <v>1139</v>
      </c>
      <c r="I633" s="5" t="s">
        <v>1984</v>
      </c>
      <c r="J633" s="4" t="s">
        <v>1985</v>
      </c>
      <c r="K633" s="4" t="s">
        <v>356</v>
      </c>
      <c r="L633" s="4" t="s">
        <v>98</v>
      </c>
      <c r="M633" s="4" t="s">
        <v>819</v>
      </c>
      <c r="N633" s="4" t="s">
        <v>819</v>
      </c>
      <c r="O633" s="4" t="s">
        <v>25</v>
      </c>
      <c r="P633" s="4" t="s">
        <v>36</v>
      </c>
      <c r="Q633" s="4" t="s">
        <v>27</v>
      </c>
      <c r="R633" s="4" t="s">
        <v>1986</v>
      </c>
    </row>
    <row r="634" spans="1:18">
      <c r="A634">
        <v>633</v>
      </c>
      <c r="B634" s="3">
        <v>46206.4436921296</v>
      </c>
      <c r="C634" s="3">
        <v>46206.446608796301</v>
      </c>
      <c r="D634" s="4" t="s">
        <v>18</v>
      </c>
      <c r="E634" s="4"/>
      <c r="F634" s="1">
        <v>46206</v>
      </c>
      <c r="G634" s="4" t="s">
        <v>1139</v>
      </c>
      <c r="H634" s="4" t="s">
        <v>1139</v>
      </c>
      <c r="I634" s="5" t="s">
        <v>1987</v>
      </c>
      <c r="J634" s="4" t="s">
        <v>1988</v>
      </c>
      <c r="K634" s="4" t="s">
        <v>1299</v>
      </c>
      <c r="L634" s="4" t="s">
        <v>98</v>
      </c>
      <c r="M634" s="4" t="s">
        <v>819</v>
      </c>
      <c r="N634" s="4" t="s">
        <v>819</v>
      </c>
      <c r="O634" s="4" t="s">
        <v>25</v>
      </c>
      <c r="P634" s="4" t="s">
        <v>50</v>
      </c>
      <c r="Q634" s="4" t="s">
        <v>93</v>
      </c>
      <c r="R634" s="4" t="s">
        <v>1989</v>
      </c>
    </row>
    <row r="635" spans="1:18">
      <c r="A635">
        <v>634</v>
      </c>
      <c r="B635" s="3">
        <v>46206.446678240703</v>
      </c>
      <c r="C635" s="3">
        <v>46206.451365740701</v>
      </c>
      <c r="D635" s="4" t="s">
        <v>18</v>
      </c>
      <c r="E635" s="4"/>
      <c r="F635" s="1">
        <v>46206</v>
      </c>
      <c r="G635" s="4" t="s">
        <v>1139</v>
      </c>
      <c r="H635" s="4" t="s">
        <v>1139</v>
      </c>
      <c r="I635" s="5" t="s">
        <v>1990</v>
      </c>
      <c r="J635" s="4" t="s">
        <v>1991</v>
      </c>
      <c r="K635" s="4" t="s">
        <v>212</v>
      </c>
      <c r="L635" s="4" t="s">
        <v>98</v>
      </c>
      <c r="M635" s="4" t="s">
        <v>819</v>
      </c>
      <c r="N635" s="4" t="s">
        <v>819</v>
      </c>
      <c r="O635" s="4" t="s">
        <v>25</v>
      </c>
      <c r="P635" s="4" t="s">
        <v>36</v>
      </c>
      <c r="Q635" s="4" t="s">
        <v>27</v>
      </c>
      <c r="R635" s="4" t="s">
        <v>1992</v>
      </c>
    </row>
    <row r="636" spans="1:18">
      <c r="A636">
        <v>635</v>
      </c>
      <c r="B636" s="3">
        <v>46206.442361111098</v>
      </c>
      <c r="C636" s="3">
        <v>46206.458703703698</v>
      </c>
      <c r="D636" s="4" t="s">
        <v>18</v>
      </c>
      <c r="E636" s="4"/>
      <c r="F636" s="1">
        <v>46206</v>
      </c>
      <c r="G636" s="4" t="s">
        <v>174</v>
      </c>
      <c r="H636" s="4" t="s">
        <v>174</v>
      </c>
      <c r="I636" s="5" t="s">
        <v>1993</v>
      </c>
      <c r="J636" s="4" t="s">
        <v>1994</v>
      </c>
      <c r="K636" s="4" t="s">
        <v>356</v>
      </c>
      <c r="L636" s="4" t="s">
        <v>98</v>
      </c>
      <c r="M636" s="4" t="s">
        <v>61</v>
      </c>
      <c r="N636" s="4" t="s">
        <v>61</v>
      </c>
      <c r="O636" s="4" t="s">
        <v>35</v>
      </c>
      <c r="P636" s="4" t="s">
        <v>835</v>
      </c>
      <c r="Q636" s="4" t="s">
        <v>79</v>
      </c>
      <c r="R636" s="4" t="s">
        <v>1995</v>
      </c>
    </row>
    <row r="637" spans="1:18">
      <c r="A637">
        <v>636</v>
      </c>
      <c r="B637" s="3">
        <v>46206.4691550926</v>
      </c>
      <c r="C637" s="3">
        <v>46206.470879629604</v>
      </c>
      <c r="D637" s="4" t="s">
        <v>18</v>
      </c>
      <c r="E637" s="4"/>
      <c r="F637" s="1">
        <v>46206</v>
      </c>
      <c r="G637" s="4" t="s">
        <v>386</v>
      </c>
      <c r="H637" s="4" t="s">
        <v>386</v>
      </c>
      <c r="I637" s="5" t="s">
        <v>1996</v>
      </c>
      <c r="J637" s="4" t="s">
        <v>1997</v>
      </c>
      <c r="K637" s="4" t="s">
        <v>1998</v>
      </c>
      <c r="L637" s="4" t="s">
        <v>1560</v>
      </c>
      <c r="M637" s="4" t="s">
        <v>819</v>
      </c>
      <c r="N637" s="4" t="s">
        <v>33</v>
      </c>
      <c r="O637" s="4" t="s">
        <v>25</v>
      </c>
      <c r="P637" s="4" t="s">
        <v>36</v>
      </c>
      <c r="Q637" s="4" t="s">
        <v>27</v>
      </c>
      <c r="R637" s="4"/>
    </row>
    <row r="638" spans="1:18">
      <c r="A638">
        <v>637</v>
      </c>
      <c r="B638" s="3">
        <v>46206.480810185203</v>
      </c>
      <c r="C638" s="3">
        <v>46206.481458333299</v>
      </c>
      <c r="D638" s="4" t="s">
        <v>18</v>
      </c>
      <c r="E638" s="4"/>
      <c r="F638" s="1">
        <v>46206</v>
      </c>
      <c r="G638" s="4" t="s">
        <v>1999</v>
      </c>
      <c r="H638" s="4" t="s">
        <v>1870</v>
      </c>
      <c r="I638" s="5" t="s">
        <v>2000</v>
      </c>
      <c r="J638" s="4" t="s">
        <v>2001</v>
      </c>
      <c r="K638" s="4" t="s">
        <v>221</v>
      </c>
      <c r="L638" s="4" t="s">
        <v>32</v>
      </c>
      <c r="M638" s="4" t="s">
        <v>61</v>
      </c>
      <c r="N638" s="4" t="s">
        <v>2002</v>
      </c>
      <c r="O638" s="4" t="s">
        <v>35</v>
      </c>
      <c r="P638" s="4" t="s">
        <v>36</v>
      </c>
      <c r="Q638" s="4" t="s">
        <v>79</v>
      </c>
      <c r="R638" s="4"/>
    </row>
    <row r="639" spans="1:18">
      <c r="A639">
        <v>638</v>
      </c>
      <c r="B639" s="3">
        <v>46206.4893981481</v>
      </c>
      <c r="C639" s="3">
        <v>46206.490081018499</v>
      </c>
      <c r="D639" s="4" t="s">
        <v>18</v>
      </c>
      <c r="E639" s="4"/>
      <c r="F639" s="1">
        <v>46206</v>
      </c>
      <c r="G639" s="4" t="s">
        <v>975</v>
      </c>
      <c r="H639" s="4" t="s">
        <v>2003</v>
      </c>
      <c r="I639" s="5" t="s">
        <v>2004</v>
      </c>
      <c r="J639" s="4" t="s">
        <v>2005</v>
      </c>
      <c r="K639" s="4" t="s">
        <v>441</v>
      </c>
      <c r="L639" s="4" t="s">
        <v>148</v>
      </c>
      <c r="M639" s="4" t="s">
        <v>33</v>
      </c>
      <c r="N639" s="4" t="s">
        <v>819</v>
      </c>
      <c r="O639" s="4" t="s">
        <v>25</v>
      </c>
      <c r="P639" s="4" t="s">
        <v>69</v>
      </c>
      <c r="Q639" s="4" t="s">
        <v>27</v>
      </c>
      <c r="R639" s="4"/>
    </row>
    <row r="640" spans="1:18">
      <c r="A640">
        <v>639</v>
      </c>
      <c r="B640" s="3">
        <v>46206.501562500001</v>
      </c>
      <c r="C640" s="3">
        <v>46206.502870370401</v>
      </c>
      <c r="D640" s="4" t="s">
        <v>18</v>
      </c>
      <c r="E640" s="4"/>
      <c r="F640" s="1">
        <v>46206</v>
      </c>
      <c r="G640" s="4" t="s">
        <v>2003</v>
      </c>
      <c r="H640" s="4" t="s">
        <v>2006</v>
      </c>
      <c r="I640" s="5" t="s">
        <v>2007</v>
      </c>
      <c r="J640" s="4" t="s">
        <v>2008</v>
      </c>
      <c r="K640" s="4" t="s">
        <v>346</v>
      </c>
      <c r="L640" s="4" t="s">
        <v>148</v>
      </c>
      <c r="M640" s="4" t="s">
        <v>61</v>
      </c>
      <c r="N640" s="4" t="s">
        <v>819</v>
      </c>
      <c r="O640" s="4" t="s">
        <v>25</v>
      </c>
      <c r="P640" s="4" t="s">
        <v>50</v>
      </c>
      <c r="Q640" s="4" t="s">
        <v>79</v>
      </c>
      <c r="R640" s="4"/>
    </row>
    <row r="641" spans="1:18">
      <c r="A641">
        <v>640</v>
      </c>
      <c r="B641" s="3">
        <v>46206.703553240703</v>
      </c>
      <c r="C641" s="3">
        <v>46206.710856481499</v>
      </c>
      <c r="D641" s="4" t="s">
        <v>18</v>
      </c>
      <c r="E641" s="4"/>
      <c r="F641" s="1">
        <v>46206</v>
      </c>
      <c r="G641" s="4" t="s">
        <v>274</v>
      </c>
      <c r="H641" s="4" t="s">
        <v>2009</v>
      </c>
      <c r="I641" s="5" t="s">
        <v>2010</v>
      </c>
      <c r="J641" s="4" t="s">
        <v>2011</v>
      </c>
      <c r="K641" s="4" t="s">
        <v>31</v>
      </c>
      <c r="L641" s="4" t="s">
        <v>1874</v>
      </c>
      <c r="M641" s="4" t="s">
        <v>33</v>
      </c>
      <c r="N641" s="4" t="s">
        <v>226</v>
      </c>
      <c r="O641" s="4" t="s">
        <v>25</v>
      </c>
      <c r="P641" s="4" t="s">
        <v>92</v>
      </c>
      <c r="Q641" s="4" t="s">
        <v>93</v>
      </c>
      <c r="R641" s="4"/>
    </row>
    <row r="642" spans="1:18">
      <c r="A642">
        <v>641</v>
      </c>
      <c r="B642" s="3">
        <v>46206.744826388902</v>
      </c>
      <c r="C642" s="3">
        <v>46206.746458333299</v>
      </c>
      <c r="D642" s="4" t="s">
        <v>18</v>
      </c>
      <c r="E642" s="4"/>
      <c r="F642" s="1">
        <v>46206</v>
      </c>
      <c r="G642" s="4" t="s">
        <v>1671</v>
      </c>
      <c r="H642" s="4" t="s">
        <v>840</v>
      </c>
      <c r="I642" s="5" t="s">
        <v>2012</v>
      </c>
      <c r="J642" s="4" t="s">
        <v>2013</v>
      </c>
      <c r="K642" s="4" t="s">
        <v>938</v>
      </c>
      <c r="L642" s="4" t="s">
        <v>91</v>
      </c>
      <c r="M642" s="4" t="s">
        <v>819</v>
      </c>
      <c r="N642" s="4" t="s">
        <v>2014</v>
      </c>
      <c r="O642" s="4" t="s">
        <v>35</v>
      </c>
      <c r="P642" s="4" t="s">
        <v>92</v>
      </c>
      <c r="Q642" s="4" t="s">
        <v>79</v>
      </c>
      <c r="R642" s="4"/>
    </row>
    <row r="643" spans="1:18">
      <c r="A643">
        <v>642</v>
      </c>
      <c r="B643" s="3">
        <v>46206.746516203697</v>
      </c>
      <c r="C643" s="3">
        <v>46206.747546296298</v>
      </c>
      <c r="D643" s="4" t="s">
        <v>18</v>
      </c>
      <c r="E643" s="4"/>
      <c r="F643" s="1">
        <v>46206</v>
      </c>
      <c r="G643" s="4" t="s">
        <v>1671</v>
      </c>
      <c r="H643" s="4" t="s">
        <v>840</v>
      </c>
      <c r="I643" s="5" t="s">
        <v>2015</v>
      </c>
      <c r="J643" s="4" t="s">
        <v>2016</v>
      </c>
      <c r="K643" s="4" t="s">
        <v>1555</v>
      </c>
      <c r="L643" s="4" t="s">
        <v>91</v>
      </c>
      <c r="M643" s="4" t="s">
        <v>819</v>
      </c>
      <c r="N643" s="4" t="s">
        <v>2014</v>
      </c>
      <c r="O643" s="4" t="s">
        <v>25</v>
      </c>
      <c r="P643" s="4" t="s">
        <v>50</v>
      </c>
      <c r="Q643" s="4" t="s">
        <v>79</v>
      </c>
      <c r="R643" s="4"/>
    </row>
    <row r="644" spans="1:18">
      <c r="A644">
        <v>643</v>
      </c>
      <c r="B644" s="3">
        <v>46206.747662037</v>
      </c>
      <c r="C644" s="3">
        <v>46206.748449074097</v>
      </c>
      <c r="D644" s="4" t="s">
        <v>18</v>
      </c>
      <c r="E644" s="4"/>
      <c r="F644" s="1">
        <v>46206</v>
      </c>
      <c r="G644" s="4" t="s">
        <v>2017</v>
      </c>
      <c r="H644" s="4" t="s">
        <v>2017</v>
      </c>
      <c r="I644" s="5" t="s">
        <v>2018</v>
      </c>
      <c r="J644" s="4" t="s">
        <v>2019</v>
      </c>
      <c r="K644" s="4" t="s">
        <v>2020</v>
      </c>
      <c r="L644" s="4" t="s">
        <v>91</v>
      </c>
      <c r="M644" s="4" t="s">
        <v>33</v>
      </c>
      <c r="N644" s="4" t="s">
        <v>819</v>
      </c>
      <c r="O644" s="4" t="s">
        <v>25</v>
      </c>
      <c r="P644" s="4" t="s">
        <v>50</v>
      </c>
      <c r="Q644" s="4" t="s">
        <v>79</v>
      </c>
      <c r="R644" s="4"/>
    </row>
    <row r="645" spans="1:18">
      <c r="A645">
        <v>644</v>
      </c>
      <c r="B645" s="3">
        <v>46206.748541666697</v>
      </c>
      <c r="C645" s="3">
        <v>46206.7496412037</v>
      </c>
      <c r="D645" s="4" t="s">
        <v>18</v>
      </c>
      <c r="E645" s="4"/>
      <c r="F645" s="1">
        <v>46206</v>
      </c>
      <c r="G645" s="4" t="s">
        <v>2021</v>
      </c>
      <c r="H645" s="4" t="s">
        <v>2022</v>
      </c>
      <c r="I645" s="5" t="s">
        <v>2023</v>
      </c>
      <c r="J645" s="4" t="s">
        <v>2024</v>
      </c>
      <c r="K645" s="4" t="s">
        <v>2025</v>
      </c>
      <c r="L645" s="4" t="s">
        <v>91</v>
      </c>
      <c r="M645" s="4" t="s">
        <v>33</v>
      </c>
      <c r="N645" s="4" t="s">
        <v>226</v>
      </c>
      <c r="O645" s="4" t="s">
        <v>25</v>
      </c>
      <c r="P645" s="4" t="s">
        <v>69</v>
      </c>
      <c r="Q645" s="4" t="s">
        <v>93</v>
      </c>
      <c r="R645" s="4"/>
    </row>
    <row r="646" spans="1:18">
      <c r="A646">
        <v>645</v>
      </c>
      <c r="B646" s="3">
        <v>46206.751134259299</v>
      </c>
      <c r="C646" s="3">
        <v>46206.753576388903</v>
      </c>
      <c r="D646" s="4" t="s">
        <v>18</v>
      </c>
      <c r="E646" s="4"/>
      <c r="F646" s="1">
        <v>46206</v>
      </c>
      <c r="G646" s="4" t="s">
        <v>2026</v>
      </c>
      <c r="H646" s="4" t="s">
        <v>2027</v>
      </c>
      <c r="I646" s="5" t="s">
        <v>2028</v>
      </c>
      <c r="J646" s="4" t="s">
        <v>2029</v>
      </c>
      <c r="K646" s="4" t="s">
        <v>359</v>
      </c>
      <c r="L646" s="4" t="s">
        <v>32</v>
      </c>
      <c r="M646" s="4" t="s">
        <v>33</v>
      </c>
      <c r="N646" s="4" t="s">
        <v>2014</v>
      </c>
      <c r="O646" s="4" t="s">
        <v>35</v>
      </c>
      <c r="P646" s="4" t="s">
        <v>997</v>
      </c>
      <c r="Q646" s="4" t="s">
        <v>27</v>
      </c>
      <c r="R646" s="4"/>
    </row>
    <row r="647" spans="1:18">
      <c r="A647">
        <v>646</v>
      </c>
      <c r="B647" s="3">
        <v>46206.768449074101</v>
      </c>
      <c r="C647" s="3">
        <v>46206.769108796303</v>
      </c>
      <c r="D647" s="4" t="s">
        <v>18</v>
      </c>
      <c r="E647" s="4"/>
      <c r="F647" s="1">
        <v>46206</v>
      </c>
      <c r="G647" s="4" t="s">
        <v>386</v>
      </c>
      <c r="H647" s="4" t="s">
        <v>714</v>
      </c>
      <c r="I647" s="5" t="s">
        <v>2030</v>
      </c>
      <c r="J647" s="4" t="s">
        <v>2031</v>
      </c>
      <c r="K647" s="4" t="s">
        <v>698</v>
      </c>
      <c r="L647" s="4" t="s">
        <v>148</v>
      </c>
      <c r="M647" s="4" t="s">
        <v>33</v>
      </c>
      <c r="N647" s="4" t="s">
        <v>819</v>
      </c>
      <c r="O647" s="4" t="s">
        <v>25</v>
      </c>
      <c r="P647" s="4" t="s">
        <v>69</v>
      </c>
      <c r="Q647" s="4" t="s">
        <v>27</v>
      </c>
      <c r="R647" s="4"/>
    </row>
    <row r="648" spans="1:18">
      <c r="A648">
        <v>647</v>
      </c>
      <c r="B648" s="3">
        <v>46206.769189814797</v>
      </c>
      <c r="C648" s="3">
        <v>46206.770162036999</v>
      </c>
      <c r="D648" s="4" t="s">
        <v>18</v>
      </c>
      <c r="E648" s="4"/>
      <c r="F648" s="1">
        <v>46206</v>
      </c>
      <c r="G648" s="4" t="s">
        <v>975</v>
      </c>
      <c r="H648" s="4" t="s">
        <v>495</v>
      </c>
      <c r="I648" s="5" t="s">
        <v>2004</v>
      </c>
      <c r="J648" s="4" t="s">
        <v>2032</v>
      </c>
      <c r="K648" s="4" t="s">
        <v>441</v>
      </c>
      <c r="L648" s="4" t="s">
        <v>148</v>
      </c>
      <c r="M648" s="4" t="s">
        <v>33</v>
      </c>
      <c r="N648" s="4" t="s">
        <v>819</v>
      </c>
      <c r="O648" s="4" t="s">
        <v>25</v>
      </c>
      <c r="P648" s="4" t="s">
        <v>69</v>
      </c>
      <c r="Q648" s="4" t="s">
        <v>27</v>
      </c>
      <c r="R648" s="4"/>
    </row>
    <row r="649" spans="1:18">
      <c r="A649">
        <v>648</v>
      </c>
      <c r="B649" s="3">
        <v>46206.770543981504</v>
      </c>
      <c r="C649" s="3">
        <v>46206.771284722199</v>
      </c>
      <c r="D649" s="4" t="s">
        <v>18</v>
      </c>
      <c r="E649" s="4"/>
      <c r="F649" s="1">
        <v>46206</v>
      </c>
      <c r="G649" s="4" t="s">
        <v>386</v>
      </c>
      <c r="H649" s="4" t="s">
        <v>386</v>
      </c>
      <c r="I649" s="5" t="s">
        <v>2033</v>
      </c>
      <c r="J649" s="4" t="s">
        <v>2034</v>
      </c>
      <c r="K649" s="4" t="s">
        <v>492</v>
      </c>
      <c r="L649" s="4" t="s">
        <v>148</v>
      </c>
      <c r="M649" s="4" t="s">
        <v>33</v>
      </c>
      <c r="N649" s="4" t="s">
        <v>819</v>
      </c>
      <c r="O649" s="4" t="s">
        <v>25</v>
      </c>
      <c r="P649" s="4" t="s">
        <v>36</v>
      </c>
      <c r="Q649" s="4" t="s">
        <v>79</v>
      </c>
      <c r="R649" s="4"/>
    </row>
    <row r="650" spans="1:18">
      <c r="A650">
        <v>649</v>
      </c>
      <c r="B650" s="3">
        <v>46207.304872685199</v>
      </c>
      <c r="C650" s="3">
        <v>46207.307453703703</v>
      </c>
      <c r="D650" s="4" t="s">
        <v>18</v>
      </c>
      <c r="E650" s="4"/>
      <c r="F650" s="1">
        <v>46207</v>
      </c>
      <c r="G650" s="4" t="s">
        <v>1455</v>
      </c>
      <c r="H650" s="4" t="s">
        <v>1455</v>
      </c>
      <c r="I650" s="5" t="s">
        <v>2035</v>
      </c>
      <c r="J650" s="4" t="s">
        <v>2036</v>
      </c>
      <c r="K650" s="4" t="s">
        <v>1765</v>
      </c>
      <c r="L650" s="4" t="s">
        <v>23</v>
      </c>
      <c r="M650" s="4" t="s">
        <v>33</v>
      </c>
      <c r="N650" s="4" t="s">
        <v>896</v>
      </c>
      <c r="O650" s="4" t="s">
        <v>25</v>
      </c>
      <c r="P650" s="4" t="s">
        <v>36</v>
      </c>
      <c r="Q650" s="4" t="s">
        <v>79</v>
      </c>
      <c r="R650" s="4" t="s">
        <v>2037</v>
      </c>
    </row>
    <row r="651" spans="1:18">
      <c r="A651">
        <v>650</v>
      </c>
      <c r="B651" s="3">
        <v>46207.409976851799</v>
      </c>
      <c r="C651" s="3">
        <v>46207.4168518519</v>
      </c>
      <c r="D651" s="4" t="s">
        <v>18</v>
      </c>
      <c r="E651" s="4"/>
      <c r="F651" s="1">
        <v>46207</v>
      </c>
      <c r="G651" s="4" t="s">
        <v>353</v>
      </c>
      <c r="H651" s="4" t="s">
        <v>2038</v>
      </c>
      <c r="I651" s="5" t="s">
        <v>2039</v>
      </c>
      <c r="J651" s="4" t="s">
        <v>2040</v>
      </c>
      <c r="K651" s="4" t="s">
        <v>356</v>
      </c>
      <c r="L651" s="4" t="s">
        <v>98</v>
      </c>
      <c r="M651" s="4" t="s">
        <v>2041</v>
      </c>
      <c r="N651" s="4" t="s">
        <v>61</v>
      </c>
      <c r="O651" s="4" t="s">
        <v>25</v>
      </c>
      <c r="P651" s="4" t="s">
        <v>36</v>
      </c>
      <c r="Q651" s="4" t="s">
        <v>27</v>
      </c>
      <c r="R651" s="4"/>
    </row>
    <row r="652" spans="1:18">
      <c r="A652">
        <v>651</v>
      </c>
      <c r="B652" s="3">
        <v>46207.399641203701</v>
      </c>
      <c r="C652" s="3">
        <v>46207.418067129598</v>
      </c>
      <c r="D652" s="4" t="s">
        <v>18</v>
      </c>
      <c r="E652" s="4"/>
      <c r="F652" s="1">
        <v>46207</v>
      </c>
      <c r="G652" s="4" t="s">
        <v>134</v>
      </c>
      <c r="H652" s="4" t="s">
        <v>185</v>
      </c>
      <c r="I652" s="5" t="s">
        <v>2042</v>
      </c>
      <c r="J652" s="4" t="s">
        <v>2043</v>
      </c>
      <c r="K652" s="4" t="s">
        <v>727</v>
      </c>
      <c r="L652" s="4" t="s">
        <v>148</v>
      </c>
      <c r="M652" s="4" t="s">
        <v>33</v>
      </c>
      <c r="N652" s="4" t="s">
        <v>896</v>
      </c>
      <c r="O652" s="4" t="s">
        <v>25</v>
      </c>
      <c r="P652" s="4" t="s">
        <v>36</v>
      </c>
      <c r="Q652" s="4" t="s">
        <v>79</v>
      </c>
      <c r="R652" s="4"/>
    </row>
    <row r="653" spans="1:18">
      <c r="A653">
        <v>652</v>
      </c>
      <c r="B653" s="3">
        <v>46207.422962962999</v>
      </c>
      <c r="C653" s="3">
        <v>46207.424085648097</v>
      </c>
      <c r="D653" s="4" t="s">
        <v>18</v>
      </c>
      <c r="E653" s="4"/>
      <c r="F653" s="1">
        <v>46207</v>
      </c>
      <c r="G653" s="4" t="s">
        <v>519</v>
      </c>
      <c r="H653" s="4" t="s">
        <v>222</v>
      </c>
      <c r="I653" s="5" t="s">
        <v>2044</v>
      </c>
      <c r="J653" s="4" t="s">
        <v>2045</v>
      </c>
      <c r="K653" s="4" t="s">
        <v>324</v>
      </c>
      <c r="L653" s="4" t="s">
        <v>266</v>
      </c>
      <c r="M653" s="4" t="s">
        <v>24</v>
      </c>
      <c r="N653" s="4" t="s">
        <v>226</v>
      </c>
      <c r="O653" s="4" t="s">
        <v>25</v>
      </c>
      <c r="P653" s="4" t="s">
        <v>92</v>
      </c>
      <c r="Q653" s="4" t="s">
        <v>27</v>
      </c>
      <c r="R653" s="4"/>
    </row>
    <row r="654" spans="1:18">
      <c r="A654">
        <v>653</v>
      </c>
      <c r="B654" s="3">
        <v>46207.423078703701</v>
      </c>
      <c r="C654" s="3">
        <v>46207.424652777801</v>
      </c>
      <c r="D654" s="4" t="s">
        <v>18</v>
      </c>
      <c r="E654" s="4"/>
      <c r="F654" s="1">
        <v>46207</v>
      </c>
      <c r="G654" s="4" t="s">
        <v>438</v>
      </c>
      <c r="H654" s="4" t="s">
        <v>65</v>
      </c>
      <c r="I654" s="5" t="s">
        <v>2046</v>
      </c>
      <c r="J654" s="4" t="s">
        <v>2047</v>
      </c>
      <c r="K654" s="4" t="s">
        <v>698</v>
      </c>
      <c r="L654" s="4" t="s">
        <v>148</v>
      </c>
      <c r="M654" s="4" t="s">
        <v>33</v>
      </c>
      <c r="N654" s="4" t="s">
        <v>112</v>
      </c>
      <c r="O654" s="4" t="s">
        <v>25</v>
      </c>
      <c r="P654" s="4" t="s">
        <v>50</v>
      </c>
      <c r="Q654" s="4" t="s">
        <v>79</v>
      </c>
      <c r="R654" s="4"/>
    </row>
    <row r="655" spans="1:18">
      <c r="A655">
        <v>654</v>
      </c>
      <c r="B655" s="3">
        <v>46207.424108796302</v>
      </c>
      <c r="C655" s="3">
        <v>46207.431724536997</v>
      </c>
      <c r="D655" s="4" t="s">
        <v>18</v>
      </c>
      <c r="E655" s="4"/>
      <c r="F655" s="1">
        <v>46207</v>
      </c>
      <c r="G655" s="4" t="s">
        <v>2048</v>
      </c>
      <c r="H655" s="4" t="s">
        <v>2049</v>
      </c>
      <c r="I655" s="5" t="s">
        <v>2050</v>
      </c>
      <c r="J655" s="4" t="s">
        <v>2051</v>
      </c>
      <c r="K655" s="4" t="s">
        <v>783</v>
      </c>
      <c r="L655" s="4" t="s">
        <v>266</v>
      </c>
      <c r="M655" s="4" t="s">
        <v>24</v>
      </c>
      <c r="N655" s="4" t="s">
        <v>226</v>
      </c>
      <c r="O655" s="4" t="s">
        <v>25</v>
      </c>
      <c r="P655" s="4" t="s">
        <v>26</v>
      </c>
      <c r="Q655" s="4" t="s">
        <v>27</v>
      </c>
      <c r="R655" s="4"/>
    </row>
    <row r="656" spans="1:18">
      <c r="A656">
        <v>655</v>
      </c>
      <c r="B656" s="3">
        <v>46207.437025462998</v>
      </c>
      <c r="C656" s="3">
        <v>46207.4386689815</v>
      </c>
      <c r="D656" s="4" t="s">
        <v>18</v>
      </c>
      <c r="E656" s="4"/>
      <c r="F656" s="1">
        <v>46207</v>
      </c>
      <c r="G656" s="4" t="s">
        <v>1772</v>
      </c>
      <c r="H656" s="4" t="s">
        <v>1926</v>
      </c>
      <c r="I656" s="5" t="s">
        <v>2052</v>
      </c>
      <c r="J656" s="4" t="s">
        <v>2053</v>
      </c>
      <c r="K656" s="4" t="s">
        <v>492</v>
      </c>
      <c r="L656" s="4" t="s">
        <v>148</v>
      </c>
      <c r="M656" s="4" t="s">
        <v>33</v>
      </c>
      <c r="N656" s="4" t="s">
        <v>896</v>
      </c>
      <c r="O656" s="4" t="s">
        <v>35</v>
      </c>
      <c r="P656" s="4" t="s">
        <v>36</v>
      </c>
      <c r="Q656" s="4" t="s">
        <v>27</v>
      </c>
      <c r="R656" s="4"/>
    </row>
    <row r="657" spans="1:18">
      <c r="A657">
        <v>656</v>
      </c>
      <c r="B657" s="3">
        <v>46207.439606481501</v>
      </c>
      <c r="C657" s="3">
        <v>46207.441782407397</v>
      </c>
      <c r="D657" s="4" t="s">
        <v>18</v>
      </c>
      <c r="E657" s="4"/>
      <c r="F657" s="1">
        <v>46207</v>
      </c>
      <c r="G657" s="4" t="s">
        <v>386</v>
      </c>
      <c r="H657" s="4" t="s">
        <v>1870</v>
      </c>
      <c r="I657" s="5" t="s">
        <v>2054</v>
      </c>
      <c r="J657" s="4" t="s">
        <v>2055</v>
      </c>
      <c r="K657" s="4" t="s">
        <v>665</v>
      </c>
      <c r="L657" s="4" t="s">
        <v>148</v>
      </c>
      <c r="M657" s="4" t="s">
        <v>33</v>
      </c>
      <c r="N657" s="4" t="s">
        <v>33</v>
      </c>
      <c r="O657" s="4" t="s">
        <v>35</v>
      </c>
      <c r="P657" s="4" t="s">
        <v>36</v>
      </c>
      <c r="Q657" s="4" t="s">
        <v>27</v>
      </c>
      <c r="R657" s="4"/>
    </row>
    <row r="658" spans="1:18">
      <c r="A658">
        <v>657</v>
      </c>
      <c r="B658" s="3">
        <v>46207.442233796297</v>
      </c>
      <c r="C658" s="3">
        <v>46207.4663194444</v>
      </c>
      <c r="D658" s="4" t="s">
        <v>18</v>
      </c>
      <c r="E658" s="4"/>
      <c r="F658" s="1">
        <v>46207</v>
      </c>
      <c r="G658" s="4" t="s">
        <v>2056</v>
      </c>
      <c r="H658" s="4" t="s">
        <v>2057</v>
      </c>
      <c r="I658" s="5" t="s">
        <v>2058</v>
      </c>
      <c r="J658" s="4" t="s">
        <v>2059</v>
      </c>
      <c r="K658" s="4" t="s">
        <v>2060</v>
      </c>
      <c r="L658" s="4" t="s">
        <v>32</v>
      </c>
      <c r="M658" s="4" t="s">
        <v>33</v>
      </c>
      <c r="N658" s="4" t="s">
        <v>2002</v>
      </c>
      <c r="O658" s="4" t="s">
        <v>25</v>
      </c>
      <c r="P658" s="4" t="s">
        <v>997</v>
      </c>
      <c r="Q658" s="4" t="s">
        <v>27</v>
      </c>
      <c r="R658" s="4"/>
    </row>
    <row r="659" spans="1:18">
      <c r="A659">
        <v>658</v>
      </c>
      <c r="B659" s="3">
        <v>46207.479062500002</v>
      </c>
      <c r="C659" s="3">
        <v>46207.481666666703</v>
      </c>
      <c r="D659" s="4" t="s">
        <v>18</v>
      </c>
      <c r="E659" s="4"/>
      <c r="F659" s="1">
        <v>46207</v>
      </c>
      <c r="G659" s="4" t="s">
        <v>2061</v>
      </c>
      <c r="H659" s="4" t="s">
        <v>619</v>
      </c>
      <c r="I659" s="5" t="s">
        <v>2062</v>
      </c>
      <c r="J659" s="4" t="s">
        <v>2063</v>
      </c>
      <c r="K659" s="4" t="s">
        <v>1415</v>
      </c>
      <c r="L659" s="4" t="s">
        <v>91</v>
      </c>
      <c r="M659" s="4" t="s">
        <v>33</v>
      </c>
      <c r="N659" s="4" t="s">
        <v>2014</v>
      </c>
      <c r="O659" s="4" t="s">
        <v>25</v>
      </c>
      <c r="P659" s="4" t="s">
        <v>50</v>
      </c>
      <c r="Q659" s="4" t="s">
        <v>79</v>
      </c>
      <c r="R659" s="4" t="s">
        <v>732</v>
      </c>
    </row>
    <row r="660" spans="1:18">
      <c r="A660">
        <v>659</v>
      </c>
      <c r="B660" s="3">
        <v>46207.481712963003</v>
      </c>
      <c r="C660" s="3">
        <v>46207.483333333301</v>
      </c>
      <c r="D660" s="4" t="s">
        <v>18</v>
      </c>
      <c r="E660" s="4"/>
      <c r="F660" s="1">
        <v>46207</v>
      </c>
      <c r="G660" s="4" t="s">
        <v>137</v>
      </c>
      <c r="H660" s="4" t="s">
        <v>2064</v>
      </c>
      <c r="I660" s="5" t="s">
        <v>2065</v>
      </c>
      <c r="J660" s="4" t="s">
        <v>2066</v>
      </c>
      <c r="K660" s="4" t="s">
        <v>2067</v>
      </c>
      <c r="L660" s="4" t="s">
        <v>91</v>
      </c>
      <c r="M660" s="4" t="s">
        <v>112</v>
      </c>
      <c r="N660" s="4" t="s">
        <v>896</v>
      </c>
      <c r="O660" s="4" t="s">
        <v>25</v>
      </c>
      <c r="P660" s="4" t="s">
        <v>92</v>
      </c>
      <c r="Q660" s="4" t="s">
        <v>79</v>
      </c>
      <c r="R660" s="4"/>
    </row>
    <row r="661" spans="1:18">
      <c r="A661">
        <v>660</v>
      </c>
      <c r="B661" s="3">
        <v>46207.6776157407</v>
      </c>
      <c r="C661" s="3">
        <v>46207.6801388889</v>
      </c>
      <c r="D661" s="4" t="s">
        <v>18</v>
      </c>
      <c r="E661" s="4"/>
      <c r="F661" s="1">
        <v>46207</v>
      </c>
      <c r="G661" s="4" t="s">
        <v>2068</v>
      </c>
      <c r="H661" s="4" t="s">
        <v>831</v>
      </c>
      <c r="I661" s="5" t="s">
        <v>2069</v>
      </c>
      <c r="J661" s="4" t="s">
        <v>2070</v>
      </c>
      <c r="K661" s="4" t="s">
        <v>978</v>
      </c>
      <c r="L661" s="4" t="s">
        <v>91</v>
      </c>
      <c r="M661" s="4" t="s">
        <v>2002</v>
      </c>
      <c r="N661" s="4" t="s">
        <v>61</v>
      </c>
      <c r="O661" s="4" t="s">
        <v>25</v>
      </c>
      <c r="P661" s="4" t="s">
        <v>69</v>
      </c>
      <c r="Q661" s="4" t="s">
        <v>27</v>
      </c>
      <c r="R661" s="4"/>
    </row>
    <row r="662" spans="1:18">
      <c r="A662">
        <v>661</v>
      </c>
      <c r="B662" s="3">
        <v>46207.680196759298</v>
      </c>
      <c r="C662" s="3">
        <v>46207.681736111103</v>
      </c>
      <c r="D662" s="4" t="s">
        <v>18</v>
      </c>
      <c r="E662" s="4"/>
      <c r="F662" s="1">
        <v>46207</v>
      </c>
      <c r="G662" s="4" t="s">
        <v>2071</v>
      </c>
      <c r="H662" s="4" t="s">
        <v>431</v>
      </c>
      <c r="I662" s="5" t="s">
        <v>2072</v>
      </c>
      <c r="J662" s="4" t="s">
        <v>2073</v>
      </c>
      <c r="K662" s="4" t="s">
        <v>1815</v>
      </c>
      <c r="L662" s="4" t="s">
        <v>91</v>
      </c>
      <c r="M662" s="4" t="s">
        <v>2002</v>
      </c>
      <c r="N662" s="4" t="s">
        <v>226</v>
      </c>
      <c r="O662" s="4" t="s">
        <v>25</v>
      </c>
      <c r="P662" s="4" t="s">
        <v>69</v>
      </c>
      <c r="Q662" s="4" t="s">
        <v>27</v>
      </c>
      <c r="R662" s="4" t="s">
        <v>732</v>
      </c>
    </row>
    <row r="663" spans="1:18">
      <c r="A663">
        <v>662</v>
      </c>
      <c r="B663" s="3">
        <v>46207.743981481501</v>
      </c>
      <c r="C663" s="3">
        <v>46207.745231481502</v>
      </c>
      <c r="D663" s="4" t="s">
        <v>18</v>
      </c>
      <c r="E663" s="4"/>
      <c r="F663" s="1">
        <v>46207</v>
      </c>
      <c r="G663" s="4" t="s">
        <v>1032</v>
      </c>
      <c r="H663" s="4" t="s">
        <v>714</v>
      </c>
      <c r="I663" s="5" t="s">
        <v>2074</v>
      </c>
      <c r="J663" s="4" t="s">
        <v>2075</v>
      </c>
      <c r="K663" s="4" t="s">
        <v>1940</v>
      </c>
      <c r="L663" s="4" t="s">
        <v>1560</v>
      </c>
      <c r="M663" s="4" t="s">
        <v>226</v>
      </c>
      <c r="N663" s="4" t="s">
        <v>33</v>
      </c>
      <c r="O663" s="4" t="s">
        <v>25</v>
      </c>
      <c r="P663" s="4" t="s">
        <v>50</v>
      </c>
      <c r="Q663" s="4" t="s">
        <v>27</v>
      </c>
      <c r="R663" s="4"/>
    </row>
    <row r="664" spans="1:18">
      <c r="A664">
        <v>663</v>
      </c>
      <c r="B664" s="3">
        <v>46207.745266203703</v>
      </c>
      <c r="C664" s="3">
        <v>46207.755729166704</v>
      </c>
      <c r="D664" s="4" t="s">
        <v>18</v>
      </c>
      <c r="E664" s="4"/>
      <c r="F664" s="1">
        <v>46207</v>
      </c>
      <c r="G664" s="4" t="s">
        <v>1032</v>
      </c>
      <c r="H664" s="4" t="s">
        <v>714</v>
      </c>
      <c r="I664" s="5" t="s">
        <v>2076</v>
      </c>
      <c r="J664" s="4" t="s">
        <v>2077</v>
      </c>
      <c r="K664" s="4" t="s">
        <v>2078</v>
      </c>
      <c r="L664" s="4" t="s">
        <v>1560</v>
      </c>
      <c r="M664" s="4" t="s">
        <v>226</v>
      </c>
      <c r="N664" s="4" t="s">
        <v>33</v>
      </c>
      <c r="O664" s="4" t="s">
        <v>25</v>
      </c>
      <c r="P664" s="4" t="s">
        <v>26</v>
      </c>
      <c r="Q664" s="4" t="s">
        <v>27</v>
      </c>
      <c r="R664" s="4" t="s">
        <v>2079</v>
      </c>
    </row>
    <row r="665" spans="1:18">
      <c r="A665">
        <v>664</v>
      </c>
      <c r="B665" s="3">
        <v>46207.7558333333</v>
      </c>
      <c r="C665" s="3">
        <v>46207.757743055598</v>
      </c>
      <c r="D665" s="4" t="s">
        <v>18</v>
      </c>
      <c r="E665" s="4"/>
      <c r="F665" s="1">
        <v>46207</v>
      </c>
      <c r="G665" s="4" t="s">
        <v>1119</v>
      </c>
      <c r="H665" s="4" t="s">
        <v>2080</v>
      </c>
      <c r="I665" s="5" t="s">
        <v>2081</v>
      </c>
      <c r="J665" s="4" t="s">
        <v>2082</v>
      </c>
      <c r="K665" s="4" t="s">
        <v>2083</v>
      </c>
      <c r="L665" s="4" t="s">
        <v>1560</v>
      </c>
      <c r="M665" s="4" t="s">
        <v>226</v>
      </c>
      <c r="N665" s="4" t="s">
        <v>33</v>
      </c>
      <c r="O665" s="4" t="s">
        <v>25</v>
      </c>
      <c r="P665" s="4" t="s">
        <v>36</v>
      </c>
      <c r="Q665" s="4" t="s">
        <v>27</v>
      </c>
      <c r="R665" s="4" t="s">
        <v>2079</v>
      </c>
    </row>
    <row r="666" spans="1:18">
      <c r="A666">
        <v>665</v>
      </c>
      <c r="B666" s="3">
        <v>46207.765439814801</v>
      </c>
      <c r="C666" s="3">
        <v>46207.769884259302</v>
      </c>
      <c r="D666" s="4" t="s">
        <v>18</v>
      </c>
      <c r="E666" s="4"/>
      <c r="F666" s="1">
        <v>46207</v>
      </c>
      <c r="G666" s="4" t="s">
        <v>2084</v>
      </c>
      <c r="H666" s="4" t="s">
        <v>2085</v>
      </c>
      <c r="I666" s="5" t="s">
        <v>2086</v>
      </c>
      <c r="J666" s="4" t="s">
        <v>2087</v>
      </c>
      <c r="K666" s="4" t="s">
        <v>2088</v>
      </c>
      <c r="L666" s="4" t="s">
        <v>32</v>
      </c>
      <c r="M666" s="4" t="s">
        <v>226</v>
      </c>
      <c r="N666" s="4" t="s">
        <v>2002</v>
      </c>
      <c r="O666" s="4" t="s">
        <v>25</v>
      </c>
      <c r="P666" s="4" t="s">
        <v>36</v>
      </c>
      <c r="Q666" s="4" t="s">
        <v>27</v>
      </c>
      <c r="R666" s="4"/>
    </row>
    <row r="667" spans="1:18">
      <c r="A667">
        <v>666</v>
      </c>
      <c r="B667" s="3">
        <v>46208.448148148098</v>
      </c>
      <c r="C667" s="3">
        <v>46208.449224536998</v>
      </c>
      <c r="D667" s="4" t="s">
        <v>18</v>
      </c>
      <c r="E667" s="4"/>
      <c r="F667" s="1">
        <v>46208</v>
      </c>
      <c r="G667" s="4" t="s">
        <v>386</v>
      </c>
      <c r="H667" s="4" t="s">
        <v>62</v>
      </c>
      <c r="I667" s="5" t="s">
        <v>2089</v>
      </c>
      <c r="J667" s="4" t="s">
        <v>2090</v>
      </c>
      <c r="K667" s="4" t="s">
        <v>492</v>
      </c>
      <c r="L667" s="4" t="s">
        <v>148</v>
      </c>
      <c r="M667" s="4" t="s">
        <v>112</v>
      </c>
      <c r="N667" s="4" t="s">
        <v>896</v>
      </c>
      <c r="O667" s="4" t="s">
        <v>25</v>
      </c>
      <c r="P667" s="4" t="s">
        <v>36</v>
      </c>
      <c r="Q667" s="4" t="s">
        <v>79</v>
      </c>
      <c r="R667" s="4"/>
    </row>
    <row r="668" spans="1:18">
      <c r="A668">
        <v>667</v>
      </c>
      <c r="B668" s="3">
        <v>46208.449247685203</v>
      </c>
      <c r="C668" s="3">
        <v>46208.450254629599</v>
      </c>
      <c r="D668" s="4" t="s">
        <v>18</v>
      </c>
      <c r="E668" s="4"/>
      <c r="F668" s="1">
        <v>46208</v>
      </c>
      <c r="G668" s="4" t="s">
        <v>83</v>
      </c>
      <c r="H668" s="4" t="s">
        <v>62</v>
      </c>
      <c r="I668" s="5" t="s">
        <v>2091</v>
      </c>
      <c r="J668" s="4" t="s">
        <v>1117</v>
      </c>
      <c r="K668" s="4" t="s">
        <v>665</v>
      </c>
      <c r="L668" s="4" t="s">
        <v>148</v>
      </c>
      <c r="M668" s="4" t="s">
        <v>112</v>
      </c>
      <c r="N668" s="4" t="s">
        <v>896</v>
      </c>
      <c r="O668" s="4" t="s">
        <v>25</v>
      </c>
      <c r="P668" s="4" t="s">
        <v>92</v>
      </c>
      <c r="Q668" s="4" t="s">
        <v>79</v>
      </c>
      <c r="R668" s="4"/>
    </row>
    <row r="669" spans="1:18">
      <c r="A669">
        <v>668</v>
      </c>
      <c r="B669" s="3">
        <v>46208.465972222199</v>
      </c>
      <c r="C669" s="3">
        <v>46208.467824074098</v>
      </c>
      <c r="D669" s="4" t="s">
        <v>18</v>
      </c>
      <c r="E669" s="4"/>
      <c r="F669" s="1">
        <v>46208</v>
      </c>
      <c r="G669" s="4" t="s">
        <v>2085</v>
      </c>
      <c r="H669" s="4" t="s">
        <v>2092</v>
      </c>
      <c r="I669" s="5" t="s">
        <v>2093</v>
      </c>
      <c r="J669" s="4" t="s">
        <v>2094</v>
      </c>
      <c r="K669" s="4" t="s">
        <v>31</v>
      </c>
      <c r="L669" s="4" t="s">
        <v>32</v>
      </c>
      <c r="M669" s="4" t="s">
        <v>24</v>
      </c>
      <c r="N669" s="4" t="s">
        <v>61</v>
      </c>
      <c r="O669" s="4" t="s">
        <v>35</v>
      </c>
      <c r="P669" s="4" t="s">
        <v>36</v>
      </c>
      <c r="Q669" s="4" t="s">
        <v>27</v>
      </c>
      <c r="R669" s="4"/>
    </row>
    <row r="670" spans="1:18">
      <c r="A670">
        <v>669</v>
      </c>
      <c r="B670" s="3">
        <v>46208.473171296297</v>
      </c>
      <c r="C670" s="3">
        <v>46208.473993055602</v>
      </c>
      <c r="D670" s="4" t="s">
        <v>18</v>
      </c>
      <c r="E670" s="4"/>
      <c r="F670" s="1">
        <v>46208</v>
      </c>
      <c r="G670" s="4" t="s">
        <v>83</v>
      </c>
      <c r="H670" s="4" t="s">
        <v>62</v>
      </c>
      <c r="I670" s="5" t="s">
        <v>2095</v>
      </c>
      <c r="J670" s="4" t="s">
        <v>2096</v>
      </c>
      <c r="K670" s="4" t="s">
        <v>2097</v>
      </c>
      <c r="L670" s="4" t="s">
        <v>148</v>
      </c>
      <c r="M670" s="4" t="s">
        <v>112</v>
      </c>
      <c r="N670" s="4" t="s">
        <v>896</v>
      </c>
      <c r="O670" s="4" t="s">
        <v>25</v>
      </c>
      <c r="P670" s="4" t="s">
        <v>36</v>
      </c>
      <c r="Q670" s="4" t="s">
        <v>79</v>
      </c>
      <c r="R670" s="4"/>
    </row>
    <row r="671" spans="1:18">
      <c r="A671">
        <v>670</v>
      </c>
      <c r="B671" s="3">
        <v>46208.474016203698</v>
      </c>
      <c r="C671" s="3">
        <v>46208.475937499999</v>
      </c>
      <c r="D671" s="4" t="s">
        <v>18</v>
      </c>
      <c r="E671" s="4"/>
      <c r="F671" s="1">
        <v>46208</v>
      </c>
      <c r="G671" s="4" t="s">
        <v>1733</v>
      </c>
      <c r="H671" s="4" t="s">
        <v>2098</v>
      </c>
      <c r="I671" s="5" t="s">
        <v>2099</v>
      </c>
      <c r="J671" s="4" t="s">
        <v>2100</v>
      </c>
      <c r="K671" s="4" t="s">
        <v>2101</v>
      </c>
      <c r="L671" s="4" t="s">
        <v>148</v>
      </c>
      <c r="M671" s="4" t="s">
        <v>112</v>
      </c>
      <c r="N671" s="4" t="s">
        <v>896</v>
      </c>
      <c r="O671" s="4" t="s">
        <v>35</v>
      </c>
      <c r="P671" s="4" t="s">
        <v>36</v>
      </c>
      <c r="Q671" s="4" t="s">
        <v>79</v>
      </c>
      <c r="R671" s="4" t="s">
        <v>1252</v>
      </c>
    </row>
    <row r="672" spans="1:18">
      <c r="A672">
        <v>671</v>
      </c>
      <c r="B672" s="3">
        <v>46208.551770833299</v>
      </c>
      <c r="C672" s="3">
        <v>46208.559733796297</v>
      </c>
      <c r="D672" s="4" t="s">
        <v>18</v>
      </c>
      <c r="E672" s="4"/>
      <c r="F672" s="1">
        <v>46208</v>
      </c>
      <c r="G672" s="4" t="s">
        <v>400</v>
      </c>
      <c r="H672" s="4" t="s">
        <v>365</v>
      </c>
      <c r="I672" s="5" t="s">
        <v>2102</v>
      </c>
      <c r="J672" s="4" t="s">
        <v>2103</v>
      </c>
      <c r="K672" s="4" t="s">
        <v>2104</v>
      </c>
      <c r="L672" s="4" t="s">
        <v>98</v>
      </c>
      <c r="M672" s="4" t="s">
        <v>24</v>
      </c>
      <c r="N672" s="4" t="s">
        <v>61</v>
      </c>
      <c r="O672" s="4" t="s">
        <v>25</v>
      </c>
      <c r="P672" s="4" t="s">
        <v>36</v>
      </c>
      <c r="Q672" s="4" t="s">
        <v>27</v>
      </c>
      <c r="R672" s="4"/>
    </row>
    <row r="673" spans="1:18">
      <c r="A673">
        <v>672</v>
      </c>
      <c r="B673" s="3">
        <v>46208.560347222199</v>
      </c>
      <c r="C673" s="3">
        <v>46208.563854166699</v>
      </c>
      <c r="D673" s="4" t="s">
        <v>18</v>
      </c>
      <c r="E673" s="4"/>
      <c r="F673" s="1">
        <v>46208</v>
      </c>
      <c r="G673" s="4" t="s">
        <v>2105</v>
      </c>
      <c r="H673" s="4" t="s">
        <v>2106</v>
      </c>
      <c r="I673" s="5" t="s">
        <v>2107</v>
      </c>
      <c r="J673" s="4" t="s">
        <v>2108</v>
      </c>
      <c r="K673" s="4" t="s">
        <v>346</v>
      </c>
      <c r="L673" s="4" t="s">
        <v>98</v>
      </c>
      <c r="M673" s="4" t="s">
        <v>61</v>
      </c>
      <c r="N673" s="4" t="s">
        <v>896</v>
      </c>
      <c r="O673" s="4" t="s">
        <v>35</v>
      </c>
      <c r="P673" s="4" t="s">
        <v>36</v>
      </c>
      <c r="Q673" s="4" t="s">
        <v>27</v>
      </c>
      <c r="R673" s="4"/>
    </row>
    <row r="674" spans="1:18">
      <c r="A674">
        <v>673</v>
      </c>
      <c r="B674" s="3">
        <v>46208.660937499997</v>
      </c>
      <c r="C674" s="3">
        <v>46208.662141203698</v>
      </c>
      <c r="D674" s="4" t="s">
        <v>18</v>
      </c>
      <c r="E674" s="4"/>
      <c r="F674" s="1">
        <v>46208</v>
      </c>
      <c r="G674" s="4" t="s">
        <v>62</v>
      </c>
      <c r="H674" s="4" t="s">
        <v>62</v>
      </c>
      <c r="I674" s="5" t="s">
        <v>2109</v>
      </c>
      <c r="J674" s="4" t="s">
        <v>2110</v>
      </c>
      <c r="K674" s="4" t="s">
        <v>2111</v>
      </c>
      <c r="L674" s="4" t="s">
        <v>1560</v>
      </c>
      <c r="M674" s="4" t="s">
        <v>112</v>
      </c>
      <c r="N674" s="4" t="s">
        <v>896</v>
      </c>
      <c r="O674" s="4" t="s">
        <v>25</v>
      </c>
      <c r="P674" s="4" t="s">
        <v>69</v>
      </c>
      <c r="Q674" s="4" t="s">
        <v>93</v>
      </c>
      <c r="R674" s="4"/>
    </row>
    <row r="675" spans="1:18">
      <c r="A675">
        <v>674</v>
      </c>
      <c r="B675" s="3">
        <v>46208.662164351903</v>
      </c>
      <c r="C675" s="3">
        <v>46208.663101851896</v>
      </c>
      <c r="D675" s="4" t="s">
        <v>18</v>
      </c>
      <c r="E675" s="4"/>
      <c r="F675" s="1">
        <v>46208</v>
      </c>
      <c r="G675" s="4" t="s">
        <v>185</v>
      </c>
      <c r="H675" s="4" t="s">
        <v>62</v>
      </c>
      <c r="I675" s="5" t="s">
        <v>2112</v>
      </c>
      <c r="J675" s="4" t="s">
        <v>2113</v>
      </c>
      <c r="K675" s="4" t="s">
        <v>2111</v>
      </c>
      <c r="L675" s="4" t="s">
        <v>1560</v>
      </c>
      <c r="M675" s="4" t="s">
        <v>60</v>
      </c>
      <c r="N675" s="4" t="s">
        <v>896</v>
      </c>
      <c r="O675" s="4" t="s">
        <v>25</v>
      </c>
      <c r="P675" s="4" t="s">
        <v>50</v>
      </c>
      <c r="Q675" s="4" t="s">
        <v>27</v>
      </c>
      <c r="R675" s="4" t="s">
        <v>2079</v>
      </c>
    </row>
    <row r="676" spans="1:18">
      <c r="A676">
        <v>675</v>
      </c>
      <c r="B676" s="3">
        <v>46208.663136574098</v>
      </c>
      <c r="C676" s="3">
        <v>46208.664085648197</v>
      </c>
      <c r="D676" s="4" t="s">
        <v>18</v>
      </c>
      <c r="E676" s="4"/>
      <c r="F676" s="1">
        <v>46208</v>
      </c>
      <c r="G676" s="4" t="s">
        <v>134</v>
      </c>
      <c r="H676" s="4" t="s">
        <v>62</v>
      </c>
      <c r="I676" s="5" t="s">
        <v>2114</v>
      </c>
      <c r="J676" s="4" t="s">
        <v>2115</v>
      </c>
      <c r="K676" s="4" t="s">
        <v>2116</v>
      </c>
      <c r="L676" s="4" t="s">
        <v>1560</v>
      </c>
      <c r="M676" s="4" t="s">
        <v>112</v>
      </c>
      <c r="N676" s="4" t="s">
        <v>896</v>
      </c>
      <c r="O676" s="4" t="s">
        <v>25</v>
      </c>
      <c r="P676" s="4" t="s">
        <v>92</v>
      </c>
      <c r="Q676" s="4" t="s">
        <v>27</v>
      </c>
      <c r="R676" s="4" t="s">
        <v>2079</v>
      </c>
    </row>
    <row r="677" spans="1:18">
      <c r="A677">
        <v>676</v>
      </c>
      <c r="B677" s="3">
        <v>46208.6641550926</v>
      </c>
      <c r="C677" s="3">
        <v>46208.665775463</v>
      </c>
      <c r="D677" s="4" t="s">
        <v>18</v>
      </c>
      <c r="E677" s="4"/>
      <c r="F677" s="1">
        <v>46208</v>
      </c>
      <c r="G677" s="4" t="s">
        <v>134</v>
      </c>
      <c r="H677" s="4" t="s">
        <v>62</v>
      </c>
      <c r="I677" s="5" t="s">
        <v>2117</v>
      </c>
      <c r="J677" s="4" t="s">
        <v>2118</v>
      </c>
      <c r="K677" s="4" t="s">
        <v>2083</v>
      </c>
      <c r="L677" s="4" t="s">
        <v>1560</v>
      </c>
      <c r="M677" s="4" t="s">
        <v>112</v>
      </c>
      <c r="N677" s="4" t="s">
        <v>896</v>
      </c>
      <c r="O677" s="4" t="s">
        <v>25</v>
      </c>
      <c r="P677" s="4" t="s">
        <v>36</v>
      </c>
      <c r="Q677" s="4" t="s">
        <v>27</v>
      </c>
      <c r="R677" s="4" t="s">
        <v>2079</v>
      </c>
    </row>
    <row r="678" spans="1:18">
      <c r="A678">
        <v>677</v>
      </c>
      <c r="B678" s="3">
        <v>46208.743680555599</v>
      </c>
      <c r="C678" s="3">
        <v>46208.745891203696</v>
      </c>
      <c r="D678" s="4" t="s">
        <v>18</v>
      </c>
      <c r="E678" s="4"/>
      <c r="F678" s="1">
        <v>46208</v>
      </c>
      <c r="G678" s="4" t="s">
        <v>400</v>
      </c>
      <c r="H678" s="4" t="s">
        <v>2119</v>
      </c>
      <c r="I678" s="5" t="s">
        <v>2120</v>
      </c>
      <c r="J678" s="4" t="s">
        <v>2121</v>
      </c>
      <c r="K678" s="4" t="s">
        <v>2122</v>
      </c>
      <c r="L678" s="4" t="s">
        <v>91</v>
      </c>
      <c r="M678" s="4" t="s">
        <v>112</v>
      </c>
      <c r="N678" s="4" t="s">
        <v>896</v>
      </c>
      <c r="O678" s="4" t="s">
        <v>25</v>
      </c>
      <c r="P678" s="4" t="s">
        <v>92</v>
      </c>
      <c r="Q678" s="4" t="s">
        <v>79</v>
      </c>
      <c r="R678" s="4"/>
    </row>
    <row r="679" spans="1:18">
      <c r="A679">
        <v>678</v>
      </c>
      <c r="B679" s="3">
        <v>46208.746018518497</v>
      </c>
      <c r="C679" s="3">
        <v>46208.747673611098</v>
      </c>
      <c r="D679" s="4" t="s">
        <v>18</v>
      </c>
      <c r="E679" s="4"/>
      <c r="F679" s="1">
        <v>46208</v>
      </c>
      <c r="G679" s="4" t="s">
        <v>514</v>
      </c>
      <c r="H679" s="4" t="s">
        <v>397</v>
      </c>
      <c r="I679" s="5" t="s">
        <v>2123</v>
      </c>
      <c r="J679" s="4" t="s">
        <v>2124</v>
      </c>
      <c r="K679" s="4" t="s">
        <v>2125</v>
      </c>
      <c r="L679" s="4" t="s">
        <v>91</v>
      </c>
      <c r="M679" s="4" t="s">
        <v>24</v>
      </c>
      <c r="N679" s="4" t="s">
        <v>112</v>
      </c>
      <c r="O679" s="4" t="s">
        <v>25</v>
      </c>
      <c r="P679" s="4" t="s">
        <v>69</v>
      </c>
      <c r="Q679" s="4" t="s">
        <v>27</v>
      </c>
      <c r="R679" s="4"/>
    </row>
    <row r="680" spans="1:18">
      <c r="A680">
        <v>679</v>
      </c>
      <c r="B680" s="3">
        <v>46208.747835648101</v>
      </c>
      <c r="C680" s="3">
        <v>46208.749247685198</v>
      </c>
      <c r="D680" s="4" t="s">
        <v>18</v>
      </c>
      <c r="E680" s="4"/>
      <c r="F680" s="1">
        <v>46208</v>
      </c>
      <c r="G680" s="4" t="s">
        <v>410</v>
      </c>
      <c r="H680" s="4" t="s">
        <v>2126</v>
      </c>
      <c r="I680" s="5" t="s">
        <v>2127</v>
      </c>
      <c r="J680" s="4" t="s">
        <v>2128</v>
      </c>
      <c r="K680" s="4" t="s">
        <v>2129</v>
      </c>
      <c r="L680" s="4" t="s">
        <v>91</v>
      </c>
      <c r="M680" s="4" t="s">
        <v>112</v>
      </c>
      <c r="N680" s="4" t="s">
        <v>896</v>
      </c>
      <c r="O680" s="4" t="s">
        <v>35</v>
      </c>
      <c r="P680" s="4" t="s">
        <v>92</v>
      </c>
      <c r="Q680" s="4" t="s">
        <v>79</v>
      </c>
      <c r="R680" s="4"/>
    </row>
    <row r="681" spans="1:18">
      <c r="A681">
        <v>680</v>
      </c>
      <c r="B681" s="3">
        <v>46209.387754629599</v>
      </c>
      <c r="C681" s="3">
        <v>46209.388865740701</v>
      </c>
      <c r="D681" s="4" t="s">
        <v>18</v>
      </c>
      <c r="E681" s="4"/>
      <c r="F681" s="1">
        <v>46209</v>
      </c>
      <c r="G681" s="4" t="s">
        <v>2130</v>
      </c>
      <c r="H681" s="4" t="s">
        <v>1720</v>
      </c>
      <c r="I681" s="5" t="s">
        <v>2131</v>
      </c>
      <c r="J681" s="4" t="s">
        <v>2132</v>
      </c>
      <c r="K681" s="4" t="s">
        <v>938</v>
      </c>
      <c r="L681" s="4" t="s">
        <v>91</v>
      </c>
      <c r="M681" s="4" t="s">
        <v>2041</v>
      </c>
      <c r="N681" s="4" t="s">
        <v>896</v>
      </c>
      <c r="O681" s="4" t="s">
        <v>25</v>
      </c>
      <c r="P681" s="4" t="s">
        <v>92</v>
      </c>
      <c r="Q681" s="4" t="s">
        <v>79</v>
      </c>
      <c r="R681" s="4"/>
    </row>
    <row r="682" spans="1:18">
      <c r="A682">
        <v>681</v>
      </c>
      <c r="B682" s="3">
        <v>46209.388923611099</v>
      </c>
      <c r="C682" s="3">
        <v>46209.390451388899</v>
      </c>
      <c r="D682" s="4" t="s">
        <v>18</v>
      </c>
      <c r="E682" s="4"/>
      <c r="F682" s="1">
        <v>46209</v>
      </c>
      <c r="G682" s="5" t="s">
        <v>2133</v>
      </c>
      <c r="H682" s="4" t="s">
        <v>2134</v>
      </c>
      <c r="I682" s="5" t="s">
        <v>2133</v>
      </c>
      <c r="J682" s="4" t="s">
        <v>2135</v>
      </c>
      <c r="K682" s="4" t="s">
        <v>1555</v>
      </c>
      <c r="L682" s="4" t="s">
        <v>91</v>
      </c>
      <c r="M682" s="4" t="s">
        <v>24</v>
      </c>
      <c r="N682" s="4" t="s">
        <v>2014</v>
      </c>
      <c r="O682" s="4" t="s">
        <v>25</v>
      </c>
      <c r="P682" s="4" t="s">
        <v>50</v>
      </c>
      <c r="Q682" s="4" t="s">
        <v>79</v>
      </c>
      <c r="R682" s="4"/>
    </row>
    <row r="683" spans="1:18">
      <c r="A683">
        <v>682</v>
      </c>
      <c r="B683" s="3">
        <v>46209.402037036998</v>
      </c>
      <c r="C683" s="3">
        <v>46209.407303240703</v>
      </c>
      <c r="D683" s="4" t="s">
        <v>18</v>
      </c>
      <c r="E683" s="4"/>
      <c r="F683" s="1">
        <v>46209</v>
      </c>
      <c r="G683" s="5" t="s">
        <v>2136</v>
      </c>
      <c r="H683" s="4" t="s">
        <v>2137</v>
      </c>
      <c r="I683" s="5" t="s">
        <v>2138</v>
      </c>
      <c r="J683" s="4" t="s">
        <v>2139</v>
      </c>
      <c r="K683" s="4" t="s">
        <v>2060</v>
      </c>
      <c r="L683" s="4" t="s">
        <v>32</v>
      </c>
      <c r="M683" s="4" t="s">
        <v>33</v>
      </c>
      <c r="N683" s="4" t="s">
        <v>2014</v>
      </c>
      <c r="O683" s="4" t="s">
        <v>35</v>
      </c>
      <c r="P683" s="4" t="s">
        <v>997</v>
      </c>
      <c r="Q683" s="4" t="s">
        <v>79</v>
      </c>
      <c r="R683" s="4"/>
    </row>
    <row r="684" spans="1:18">
      <c r="A684">
        <v>683</v>
      </c>
      <c r="B684" s="3">
        <v>46209.416226851899</v>
      </c>
      <c r="C684" s="3">
        <v>46209.418576388904</v>
      </c>
      <c r="D684" s="4" t="s">
        <v>18</v>
      </c>
      <c r="E684" s="4"/>
      <c r="F684" s="1">
        <v>46209</v>
      </c>
      <c r="G684" s="5" t="s">
        <v>519</v>
      </c>
      <c r="H684" s="4" t="s">
        <v>1207</v>
      </c>
      <c r="I684" s="5" t="s">
        <v>2140</v>
      </c>
      <c r="J684" s="4" t="s">
        <v>2141</v>
      </c>
      <c r="K684" s="4" t="s">
        <v>324</v>
      </c>
      <c r="L684" s="4" t="s">
        <v>266</v>
      </c>
      <c r="M684" s="4" t="s">
        <v>24</v>
      </c>
      <c r="N684" s="4" t="s">
        <v>226</v>
      </c>
      <c r="O684" s="4" t="s">
        <v>25</v>
      </c>
      <c r="P684" s="4" t="s">
        <v>36</v>
      </c>
      <c r="Q684" s="4" t="s">
        <v>27</v>
      </c>
      <c r="R684" s="4"/>
    </row>
    <row r="685" spans="1:18">
      <c r="A685">
        <v>684</v>
      </c>
      <c r="B685" s="3">
        <v>46209.416284722203</v>
      </c>
      <c r="C685" s="3">
        <v>46209.419305555602</v>
      </c>
      <c r="D685" s="4" t="s">
        <v>18</v>
      </c>
      <c r="E685" s="4"/>
      <c r="F685" s="1">
        <v>46209</v>
      </c>
      <c r="G685" s="5" t="s">
        <v>1311</v>
      </c>
      <c r="H685" s="4" t="s">
        <v>1311</v>
      </c>
      <c r="I685" s="5" t="s">
        <v>2142</v>
      </c>
      <c r="J685" s="4" t="s">
        <v>2143</v>
      </c>
      <c r="K685" s="4" t="s">
        <v>356</v>
      </c>
      <c r="L685" s="4" t="s">
        <v>98</v>
      </c>
      <c r="M685" s="4" t="s">
        <v>2041</v>
      </c>
      <c r="N685" s="4" t="s">
        <v>45</v>
      </c>
      <c r="O685" s="4" t="s">
        <v>25</v>
      </c>
      <c r="P685" s="4" t="s">
        <v>36</v>
      </c>
      <c r="Q685" s="4" t="s">
        <v>27</v>
      </c>
      <c r="R685" s="4"/>
    </row>
    <row r="686" spans="1:18">
      <c r="A686">
        <v>685</v>
      </c>
      <c r="B686" s="3">
        <v>46209.424814814804</v>
      </c>
      <c r="C686" s="3">
        <v>46209.427870370397</v>
      </c>
      <c r="D686" s="4" t="s">
        <v>18</v>
      </c>
      <c r="E686" s="4"/>
      <c r="F686" s="1">
        <v>46209</v>
      </c>
      <c r="G686" s="5" t="s">
        <v>1853</v>
      </c>
      <c r="H686" s="4" t="s">
        <v>1207</v>
      </c>
      <c r="I686" s="5" t="s">
        <v>2144</v>
      </c>
      <c r="J686" s="4" t="s">
        <v>2145</v>
      </c>
      <c r="K686" s="4" t="s">
        <v>783</v>
      </c>
      <c r="L686" s="4" t="s">
        <v>266</v>
      </c>
      <c r="M686" s="4" t="s">
        <v>24</v>
      </c>
      <c r="N686" s="4" t="s">
        <v>226</v>
      </c>
      <c r="O686" s="4" t="s">
        <v>25</v>
      </c>
      <c r="P686" s="4" t="s">
        <v>36</v>
      </c>
      <c r="Q686" s="4" t="s">
        <v>27</v>
      </c>
      <c r="R686" s="4"/>
    </row>
    <row r="687" spans="1:18">
      <c r="A687">
        <v>686</v>
      </c>
      <c r="B687" s="3">
        <v>46209.419328703698</v>
      </c>
      <c r="C687" s="3">
        <v>46209.432442129597</v>
      </c>
      <c r="D687" s="4" t="s">
        <v>18</v>
      </c>
      <c r="E687" s="4"/>
      <c r="F687" s="1">
        <v>46209</v>
      </c>
      <c r="G687" s="5" t="s">
        <v>2146</v>
      </c>
      <c r="H687" s="4" t="s">
        <v>1311</v>
      </c>
      <c r="I687" s="5" t="s">
        <v>2147</v>
      </c>
      <c r="J687" s="4" t="s">
        <v>2148</v>
      </c>
      <c r="K687" s="4" t="s">
        <v>212</v>
      </c>
      <c r="L687" s="4" t="s">
        <v>98</v>
      </c>
      <c r="M687" s="4" t="s">
        <v>2041</v>
      </c>
      <c r="N687" s="4" t="s">
        <v>45</v>
      </c>
      <c r="O687" s="4" t="s">
        <v>25</v>
      </c>
      <c r="P687" s="4" t="s">
        <v>92</v>
      </c>
      <c r="Q687" s="4" t="s">
        <v>93</v>
      </c>
      <c r="R687" s="4"/>
    </row>
    <row r="688" spans="1:18">
      <c r="A688">
        <v>687</v>
      </c>
      <c r="B688" s="3">
        <v>46209.526030092602</v>
      </c>
      <c r="C688" s="3">
        <v>46209.527650463002</v>
      </c>
      <c r="D688" s="4" t="s">
        <v>18</v>
      </c>
      <c r="E688" s="4"/>
      <c r="F688" s="1">
        <v>46209</v>
      </c>
      <c r="G688" s="5" t="s">
        <v>2149</v>
      </c>
      <c r="H688" s="4" t="s">
        <v>2150</v>
      </c>
      <c r="I688" s="5" t="s">
        <v>2149</v>
      </c>
      <c r="J688" s="4" t="s">
        <v>2151</v>
      </c>
      <c r="K688" s="4" t="s">
        <v>2067</v>
      </c>
      <c r="L688" s="4" t="s">
        <v>91</v>
      </c>
      <c r="M688" s="4" t="s">
        <v>45</v>
      </c>
      <c r="N688" s="4" t="s">
        <v>2014</v>
      </c>
      <c r="O688" s="4" t="s">
        <v>25</v>
      </c>
      <c r="P688" s="4" t="s">
        <v>50</v>
      </c>
      <c r="Q688" s="4" t="s">
        <v>79</v>
      </c>
      <c r="R688" s="4"/>
    </row>
    <row r="689" spans="1:18">
      <c r="A689">
        <v>688</v>
      </c>
      <c r="B689" s="3">
        <v>46209.532291666699</v>
      </c>
      <c r="C689" s="3">
        <v>46209.533125000002</v>
      </c>
      <c r="D689" s="4" t="s">
        <v>18</v>
      </c>
      <c r="E689" s="4"/>
      <c r="F689" s="1">
        <v>46210</v>
      </c>
      <c r="G689" s="5" t="s">
        <v>2006</v>
      </c>
      <c r="H689" s="4" t="s">
        <v>2006</v>
      </c>
      <c r="I689" s="5" t="s">
        <v>2152</v>
      </c>
      <c r="J689" s="4" t="s">
        <v>2153</v>
      </c>
      <c r="K689" s="4" t="s">
        <v>180</v>
      </c>
      <c r="L689" s="4" t="s">
        <v>91</v>
      </c>
      <c r="M689" s="4" t="s">
        <v>24</v>
      </c>
      <c r="N689" s="4" t="s">
        <v>45</v>
      </c>
      <c r="O689" s="4" t="s">
        <v>25</v>
      </c>
      <c r="P689" s="4" t="s">
        <v>36</v>
      </c>
      <c r="Q689" s="4" t="s">
        <v>79</v>
      </c>
      <c r="R689" s="4"/>
    </row>
    <row r="690" spans="1:18">
      <c r="A690">
        <v>689</v>
      </c>
      <c r="B690" s="3">
        <v>46209.624155092599</v>
      </c>
      <c r="C690" s="3">
        <v>46209.626377314802</v>
      </c>
      <c r="D690" s="4" t="s">
        <v>18</v>
      </c>
      <c r="E690" s="4"/>
      <c r="F690" s="1">
        <v>46209</v>
      </c>
      <c r="G690" s="5" t="s">
        <v>1401</v>
      </c>
      <c r="H690" s="4" t="s">
        <v>1401</v>
      </c>
      <c r="I690" s="5" t="s">
        <v>2154</v>
      </c>
      <c r="J690" s="4" t="s">
        <v>2036</v>
      </c>
      <c r="K690" s="4" t="s">
        <v>1765</v>
      </c>
      <c r="L690" s="4" t="s">
        <v>23</v>
      </c>
      <c r="M690" s="4" t="s">
        <v>33</v>
      </c>
      <c r="N690" s="4" t="s">
        <v>2014</v>
      </c>
      <c r="O690" s="4" t="s">
        <v>25</v>
      </c>
      <c r="P690" s="4" t="s">
        <v>36</v>
      </c>
      <c r="Q690" s="4" t="s">
        <v>79</v>
      </c>
      <c r="R690" s="4"/>
    </row>
    <row r="691" spans="1:18">
      <c r="A691">
        <v>690</v>
      </c>
      <c r="B691" s="3">
        <v>46209.658738425896</v>
      </c>
      <c r="C691" s="3">
        <v>46209.660393518498</v>
      </c>
      <c r="D691" s="4" t="s">
        <v>18</v>
      </c>
      <c r="E691" s="4"/>
      <c r="F691" s="1">
        <v>46209</v>
      </c>
      <c r="G691" s="5" t="s">
        <v>1541</v>
      </c>
      <c r="H691" s="4" t="s">
        <v>1541</v>
      </c>
      <c r="I691" s="5" t="s">
        <v>2155</v>
      </c>
      <c r="J691" s="4" t="s">
        <v>2156</v>
      </c>
      <c r="K691" s="4" t="s">
        <v>22</v>
      </c>
      <c r="L691" s="4" t="s">
        <v>23</v>
      </c>
      <c r="M691" s="4" t="s">
        <v>33</v>
      </c>
      <c r="N691" s="4" t="s">
        <v>2014</v>
      </c>
      <c r="O691" s="4" t="s">
        <v>25</v>
      </c>
      <c r="P691" s="4" t="s">
        <v>36</v>
      </c>
      <c r="Q691" s="4" t="s">
        <v>27</v>
      </c>
      <c r="R691" s="4"/>
    </row>
    <row r="692" spans="1:18">
      <c r="A692">
        <v>691</v>
      </c>
      <c r="B692" s="3">
        <v>46209.693252314799</v>
      </c>
      <c r="C692" s="3">
        <v>46209.696504629603</v>
      </c>
      <c r="D692" s="4" t="s">
        <v>18</v>
      </c>
      <c r="E692" s="4"/>
      <c r="F692" s="1">
        <v>46209</v>
      </c>
      <c r="G692" s="5" t="s">
        <v>531</v>
      </c>
      <c r="H692" s="4" t="s">
        <v>531</v>
      </c>
      <c r="I692" s="5" t="s">
        <v>2157</v>
      </c>
      <c r="J692" s="4" t="s">
        <v>2158</v>
      </c>
      <c r="K692" s="4" t="s">
        <v>492</v>
      </c>
      <c r="L692" s="4" t="s">
        <v>148</v>
      </c>
      <c r="M692" s="4" t="s">
        <v>2041</v>
      </c>
      <c r="N692" s="4" t="s">
        <v>896</v>
      </c>
      <c r="O692" s="4" t="s">
        <v>35</v>
      </c>
      <c r="P692" s="4" t="s">
        <v>36</v>
      </c>
      <c r="Q692" s="4" t="s">
        <v>27</v>
      </c>
      <c r="R692" s="4"/>
    </row>
    <row r="693" spans="1:18">
      <c r="A693">
        <v>692</v>
      </c>
      <c r="B693" s="3">
        <v>46209.6965277778</v>
      </c>
      <c r="C693" s="3">
        <v>46209.698206018496</v>
      </c>
      <c r="D693" s="4" t="s">
        <v>18</v>
      </c>
      <c r="E693" s="4"/>
      <c r="F693" s="1">
        <v>46209</v>
      </c>
      <c r="G693" s="5" t="s">
        <v>174</v>
      </c>
      <c r="H693" s="4" t="s">
        <v>591</v>
      </c>
      <c r="I693" s="5" t="s">
        <v>2159</v>
      </c>
      <c r="J693" s="4" t="s">
        <v>2160</v>
      </c>
      <c r="K693" s="4" t="s">
        <v>665</v>
      </c>
      <c r="L693" s="4" t="s">
        <v>148</v>
      </c>
      <c r="M693" s="4" t="s">
        <v>33</v>
      </c>
      <c r="N693" s="4" t="s">
        <v>112</v>
      </c>
      <c r="O693" s="4" t="s">
        <v>35</v>
      </c>
      <c r="P693" s="4" t="s">
        <v>36</v>
      </c>
      <c r="Q693" s="4" t="s">
        <v>27</v>
      </c>
      <c r="R693" s="4"/>
    </row>
    <row r="694" spans="1:18">
      <c r="A694">
        <v>693</v>
      </c>
      <c r="B694" s="3">
        <v>46209.697222222203</v>
      </c>
      <c r="C694" s="3">
        <v>46209.698923611097</v>
      </c>
      <c r="D694" s="4" t="s">
        <v>18</v>
      </c>
      <c r="E694" s="4"/>
      <c r="F694" s="1">
        <v>46209</v>
      </c>
      <c r="G694" s="5" t="s">
        <v>714</v>
      </c>
      <c r="H694" s="4" t="s">
        <v>458</v>
      </c>
      <c r="I694" s="5" t="s">
        <v>2161</v>
      </c>
      <c r="J694" s="4" t="s">
        <v>2162</v>
      </c>
      <c r="K694" s="4" t="s">
        <v>2163</v>
      </c>
      <c r="L694" s="4" t="s">
        <v>1560</v>
      </c>
      <c r="M694" s="4" t="s">
        <v>2041</v>
      </c>
      <c r="N694" s="4" t="s">
        <v>33</v>
      </c>
      <c r="O694" s="4" t="s">
        <v>25</v>
      </c>
      <c r="P694" s="4" t="s">
        <v>36</v>
      </c>
      <c r="Q694" s="4" t="s">
        <v>27</v>
      </c>
      <c r="R694" s="4"/>
    </row>
    <row r="695" spans="1:18">
      <c r="A695">
        <v>694</v>
      </c>
      <c r="B695" s="3">
        <v>46209.698310185202</v>
      </c>
      <c r="C695" s="3">
        <v>46209.700243055602</v>
      </c>
      <c r="D695" s="4" t="s">
        <v>18</v>
      </c>
      <c r="E695" s="4"/>
      <c r="F695" s="1">
        <v>46209</v>
      </c>
      <c r="G695" s="5" t="s">
        <v>771</v>
      </c>
      <c r="H695" s="4" t="s">
        <v>771</v>
      </c>
      <c r="I695" s="5" t="s">
        <v>2164</v>
      </c>
      <c r="J695" s="4" t="s">
        <v>2165</v>
      </c>
      <c r="K695" s="4" t="s">
        <v>1342</v>
      </c>
      <c r="L695" s="4" t="s">
        <v>148</v>
      </c>
      <c r="M695" s="4" t="s">
        <v>2041</v>
      </c>
      <c r="N695" s="4" t="s">
        <v>896</v>
      </c>
      <c r="O695" s="4" t="s">
        <v>35</v>
      </c>
      <c r="P695" s="4" t="s">
        <v>36</v>
      </c>
      <c r="Q695" s="4" t="s">
        <v>27</v>
      </c>
      <c r="R695" s="4"/>
    </row>
    <row r="696" spans="1:18">
      <c r="A696">
        <v>695</v>
      </c>
      <c r="B696" s="3">
        <v>46209.722523148099</v>
      </c>
      <c r="C696" s="3">
        <v>46209.728379629603</v>
      </c>
      <c r="D696" s="4" t="s">
        <v>18</v>
      </c>
      <c r="E696" s="4"/>
      <c r="F696" s="1">
        <v>46209</v>
      </c>
      <c r="G696" s="5" t="s">
        <v>2166</v>
      </c>
      <c r="H696" s="4" t="s">
        <v>2166</v>
      </c>
      <c r="I696" s="5" t="s">
        <v>2167</v>
      </c>
      <c r="J696" s="4" t="s">
        <v>2168</v>
      </c>
      <c r="K696" s="4" t="s">
        <v>331</v>
      </c>
      <c r="L696" s="4" t="s">
        <v>148</v>
      </c>
      <c r="M696" s="4" t="s">
        <v>2041</v>
      </c>
      <c r="N696" s="4" t="s">
        <v>896</v>
      </c>
      <c r="O696" s="4" t="s">
        <v>25</v>
      </c>
      <c r="P696" s="4" t="s">
        <v>36</v>
      </c>
      <c r="Q696" s="4" t="s">
        <v>79</v>
      </c>
      <c r="R696" s="4"/>
    </row>
    <row r="697" spans="1:18">
      <c r="A697">
        <v>696</v>
      </c>
      <c r="B697" s="3">
        <v>46209.727141203701</v>
      </c>
      <c r="C697" s="3">
        <v>46209.728969907403</v>
      </c>
      <c r="D697" s="4" t="s">
        <v>18</v>
      </c>
      <c r="E697" s="4"/>
      <c r="F697" s="1">
        <v>46209</v>
      </c>
      <c r="G697" s="5" t="s">
        <v>714</v>
      </c>
      <c r="H697" s="4" t="s">
        <v>458</v>
      </c>
      <c r="I697" s="5" t="s">
        <v>2169</v>
      </c>
      <c r="J697" s="4" t="s">
        <v>2170</v>
      </c>
      <c r="K697" s="4" t="s">
        <v>2111</v>
      </c>
      <c r="L697" s="4" t="s">
        <v>1560</v>
      </c>
      <c r="M697" s="4" t="s">
        <v>2041</v>
      </c>
      <c r="N697" s="4" t="s">
        <v>33</v>
      </c>
      <c r="O697" s="4" t="s">
        <v>25</v>
      </c>
      <c r="P697" s="4" t="s">
        <v>50</v>
      </c>
      <c r="Q697" s="4" t="s">
        <v>27</v>
      </c>
      <c r="R697" s="4" t="s">
        <v>2079</v>
      </c>
    </row>
    <row r="698" spans="1:18">
      <c r="A698">
        <v>697</v>
      </c>
      <c r="B698" s="3">
        <v>46210.416365740697</v>
      </c>
      <c r="C698" s="3">
        <v>46210.418900463003</v>
      </c>
      <c r="D698" s="4" t="s">
        <v>18</v>
      </c>
      <c r="E698" s="4"/>
      <c r="F698" s="1">
        <v>46210</v>
      </c>
      <c r="G698" s="5" t="s">
        <v>2171</v>
      </c>
      <c r="H698" s="4" t="s">
        <v>1207</v>
      </c>
      <c r="I698" s="5" t="s">
        <v>2172</v>
      </c>
      <c r="J698" s="4" t="s">
        <v>2173</v>
      </c>
      <c r="K698" s="4" t="s">
        <v>324</v>
      </c>
      <c r="L698" s="4" t="s">
        <v>266</v>
      </c>
      <c r="M698" s="4" t="s">
        <v>45</v>
      </c>
      <c r="N698" s="4" t="s">
        <v>33</v>
      </c>
      <c r="O698" s="4" t="s">
        <v>25</v>
      </c>
      <c r="P698" s="4" t="s">
        <v>69</v>
      </c>
      <c r="Q698" s="4" t="s">
        <v>27</v>
      </c>
      <c r="R698" s="4"/>
    </row>
    <row r="699" spans="1:18">
      <c r="A699">
        <v>698</v>
      </c>
      <c r="B699" s="3">
        <v>46210.434976851902</v>
      </c>
      <c r="C699" s="3">
        <v>46210.436064814799</v>
      </c>
      <c r="D699" s="4" t="s">
        <v>18</v>
      </c>
      <c r="E699" s="4"/>
      <c r="F699" s="1">
        <v>46210</v>
      </c>
      <c r="G699" s="5" t="s">
        <v>1484</v>
      </c>
      <c r="H699" s="4" t="s">
        <v>222</v>
      </c>
      <c r="I699" s="5" t="s">
        <v>2174</v>
      </c>
      <c r="J699" s="4" t="s">
        <v>2175</v>
      </c>
      <c r="K699" s="4" t="s">
        <v>783</v>
      </c>
      <c r="L699" s="4" t="s">
        <v>266</v>
      </c>
      <c r="M699" s="4" t="s">
        <v>45</v>
      </c>
      <c r="N699" s="4" t="s">
        <v>33</v>
      </c>
      <c r="O699" s="4" t="s">
        <v>25</v>
      </c>
      <c r="P699" s="4" t="s">
        <v>36</v>
      </c>
      <c r="Q699" s="4" t="s">
        <v>27</v>
      </c>
      <c r="R699" s="4"/>
    </row>
    <row r="700" spans="1:18">
      <c r="A700">
        <v>699</v>
      </c>
      <c r="B700" s="3">
        <v>46210.451284722199</v>
      </c>
      <c r="C700" s="3">
        <v>46210.453599537002</v>
      </c>
      <c r="D700" s="4" t="s">
        <v>18</v>
      </c>
      <c r="E700" s="4"/>
      <c r="F700" s="1">
        <v>46210</v>
      </c>
      <c r="G700" s="5" t="s">
        <v>2176</v>
      </c>
      <c r="H700" s="4" t="s">
        <v>2176</v>
      </c>
      <c r="I700" s="5" t="s">
        <v>2177</v>
      </c>
      <c r="J700" s="4" t="s">
        <v>2178</v>
      </c>
      <c r="K700" s="4" t="s">
        <v>359</v>
      </c>
      <c r="L700" s="4" t="s">
        <v>32</v>
      </c>
      <c r="M700" s="4" t="s">
        <v>24</v>
      </c>
      <c r="N700" s="4" t="s">
        <v>2014</v>
      </c>
      <c r="O700" s="4" t="s">
        <v>25</v>
      </c>
      <c r="P700" s="4" t="s">
        <v>86</v>
      </c>
      <c r="Q700" s="4" t="s">
        <v>93</v>
      </c>
      <c r="R700" s="4"/>
    </row>
    <row r="701" spans="1:18">
      <c r="A701">
        <v>700</v>
      </c>
      <c r="B701" s="3">
        <v>46210.455439814803</v>
      </c>
      <c r="C701" s="3">
        <v>46210.460150462997</v>
      </c>
      <c r="D701" s="4" t="s">
        <v>18</v>
      </c>
      <c r="E701" s="4"/>
      <c r="F701" s="1">
        <v>46210</v>
      </c>
      <c r="G701" s="5" t="s">
        <v>2179</v>
      </c>
      <c r="H701" s="4" t="s">
        <v>2180</v>
      </c>
      <c r="I701" s="5" t="s">
        <v>2181</v>
      </c>
      <c r="J701" s="4" t="s">
        <v>2182</v>
      </c>
      <c r="K701" s="4" t="s">
        <v>2183</v>
      </c>
      <c r="L701" s="4" t="s">
        <v>98</v>
      </c>
      <c r="M701" s="4" t="s">
        <v>2184</v>
      </c>
      <c r="N701" s="4" t="s">
        <v>45</v>
      </c>
      <c r="O701" s="4" t="s">
        <v>25</v>
      </c>
      <c r="P701" s="4" t="s">
        <v>36</v>
      </c>
      <c r="Q701" s="4" t="s">
        <v>27</v>
      </c>
      <c r="R701" s="4"/>
    </row>
    <row r="702" spans="1:18">
      <c r="A702">
        <v>701</v>
      </c>
      <c r="B702" s="3">
        <v>46210.5004050926</v>
      </c>
      <c r="C702" s="3">
        <v>46210.501608796301</v>
      </c>
      <c r="D702" s="4" t="s">
        <v>18</v>
      </c>
      <c r="E702" s="4"/>
      <c r="F702" s="1">
        <v>46210</v>
      </c>
      <c r="G702" s="5" t="s">
        <v>1905</v>
      </c>
      <c r="H702" s="4" t="s">
        <v>458</v>
      </c>
      <c r="I702" s="5" t="s">
        <v>2185</v>
      </c>
      <c r="J702" s="4" t="s">
        <v>2186</v>
      </c>
      <c r="K702" s="4" t="s">
        <v>180</v>
      </c>
      <c r="L702" s="4" t="s">
        <v>91</v>
      </c>
      <c r="M702" s="4" t="s">
        <v>24</v>
      </c>
      <c r="N702" s="4" t="s">
        <v>45</v>
      </c>
      <c r="O702" s="4" t="s">
        <v>25</v>
      </c>
      <c r="P702" s="4" t="s">
        <v>92</v>
      </c>
      <c r="Q702" s="4" t="s">
        <v>79</v>
      </c>
      <c r="R702" s="4"/>
    </row>
    <row r="703" spans="1:18">
      <c r="A703">
        <v>702</v>
      </c>
      <c r="B703" s="3">
        <v>46210.501805555599</v>
      </c>
      <c r="C703" s="3">
        <v>46210.502916666701</v>
      </c>
      <c r="D703" s="4" t="s">
        <v>18</v>
      </c>
      <c r="E703" s="4"/>
      <c r="F703" s="1">
        <v>46210</v>
      </c>
      <c r="G703" s="5" t="s">
        <v>2187</v>
      </c>
      <c r="H703" s="4" t="s">
        <v>83</v>
      </c>
      <c r="I703" s="5" t="s">
        <v>2188</v>
      </c>
      <c r="J703" s="4" t="s">
        <v>2189</v>
      </c>
      <c r="K703" s="4" t="s">
        <v>978</v>
      </c>
      <c r="L703" s="4" t="s">
        <v>91</v>
      </c>
      <c r="M703" s="4" t="s">
        <v>2041</v>
      </c>
      <c r="N703" s="4" t="s">
        <v>45</v>
      </c>
      <c r="O703" s="4" t="s">
        <v>25</v>
      </c>
      <c r="P703" s="4" t="s">
        <v>50</v>
      </c>
      <c r="Q703" s="4" t="s">
        <v>79</v>
      </c>
      <c r="R703" s="4"/>
    </row>
    <row r="704" spans="1:18">
      <c r="A704">
        <v>703</v>
      </c>
      <c r="B704" s="3">
        <v>46210.502951388902</v>
      </c>
      <c r="C704" s="3">
        <v>46210.504016203697</v>
      </c>
      <c r="D704" s="4" t="s">
        <v>18</v>
      </c>
      <c r="E704" s="4"/>
      <c r="F704" s="1">
        <v>46210</v>
      </c>
      <c r="G704" s="5" t="s">
        <v>458</v>
      </c>
      <c r="H704" s="4" t="s">
        <v>83</v>
      </c>
      <c r="I704" s="5" t="s">
        <v>2190</v>
      </c>
      <c r="J704" s="4" t="s">
        <v>2191</v>
      </c>
      <c r="K704" s="4" t="s">
        <v>1555</v>
      </c>
      <c r="L704" s="4" t="s">
        <v>91</v>
      </c>
      <c r="M704" s="4" t="s">
        <v>2041</v>
      </c>
      <c r="N704" s="4" t="s">
        <v>45</v>
      </c>
      <c r="O704" s="4" t="s">
        <v>25</v>
      </c>
      <c r="P704" s="4" t="s">
        <v>50</v>
      </c>
      <c r="Q704" s="4" t="s">
        <v>79</v>
      </c>
      <c r="R704" s="4"/>
    </row>
    <row r="705" spans="1:18">
      <c r="A705">
        <v>704</v>
      </c>
      <c r="B705" s="3">
        <v>46210.502662036997</v>
      </c>
      <c r="C705" s="3">
        <v>46210.504745370403</v>
      </c>
      <c r="D705" s="4" t="s">
        <v>18</v>
      </c>
      <c r="E705" s="4"/>
      <c r="F705" s="1">
        <v>46210</v>
      </c>
      <c r="G705" s="5" t="s">
        <v>2192</v>
      </c>
      <c r="H705" s="4" t="s">
        <v>2193</v>
      </c>
      <c r="I705" s="5" t="s">
        <v>2194</v>
      </c>
      <c r="J705" s="4" t="s">
        <v>2195</v>
      </c>
      <c r="K705" s="4" t="s">
        <v>2196</v>
      </c>
      <c r="L705" s="4" t="s">
        <v>32</v>
      </c>
      <c r="M705" s="4" t="s">
        <v>2041</v>
      </c>
      <c r="N705" s="4" t="s">
        <v>33</v>
      </c>
      <c r="O705" s="4" t="s">
        <v>25</v>
      </c>
      <c r="P705" s="4" t="s">
        <v>997</v>
      </c>
      <c r="Q705" s="4" t="s">
        <v>27</v>
      </c>
      <c r="R705" s="4"/>
    </row>
    <row r="706" spans="1:18">
      <c r="A706">
        <v>705</v>
      </c>
      <c r="B706" s="3">
        <v>46210.504085648201</v>
      </c>
      <c r="C706" s="3">
        <v>46210.504895833299</v>
      </c>
      <c r="D706" s="4" t="s">
        <v>18</v>
      </c>
      <c r="E706" s="4"/>
      <c r="F706" s="1">
        <v>46210</v>
      </c>
      <c r="G706" s="5" t="s">
        <v>458</v>
      </c>
      <c r="H706" s="4" t="s">
        <v>46</v>
      </c>
      <c r="I706" s="5" t="s">
        <v>2197</v>
      </c>
      <c r="J706" s="4" t="s">
        <v>2198</v>
      </c>
      <c r="K706" s="4" t="s">
        <v>938</v>
      </c>
      <c r="L706" s="4" t="s">
        <v>91</v>
      </c>
      <c r="M706" s="4" t="s">
        <v>45</v>
      </c>
      <c r="N706" s="4" t="s">
        <v>896</v>
      </c>
      <c r="O706" s="4" t="s">
        <v>25</v>
      </c>
      <c r="P706" s="4" t="s">
        <v>36</v>
      </c>
      <c r="Q706" s="4" t="s">
        <v>79</v>
      </c>
      <c r="R706" s="4"/>
    </row>
    <row r="707" spans="1:18">
      <c r="A707">
        <v>706</v>
      </c>
      <c r="B707" s="3">
        <v>46210.506747685198</v>
      </c>
      <c r="C707" s="3">
        <v>46210.5079050926</v>
      </c>
      <c r="D707" s="4" t="s">
        <v>18</v>
      </c>
      <c r="E707" s="4"/>
      <c r="F707" s="1">
        <v>46210</v>
      </c>
      <c r="G707" s="5" t="s">
        <v>2199</v>
      </c>
      <c r="H707" s="4" t="s">
        <v>619</v>
      </c>
      <c r="I707" s="5" t="s">
        <v>2200</v>
      </c>
      <c r="J707" s="4" t="s">
        <v>2201</v>
      </c>
      <c r="K707" s="4" t="s">
        <v>2202</v>
      </c>
      <c r="L707" s="4" t="s">
        <v>91</v>
      </c>
      <c r="M707" s="4" t="s">
        <v>33</v>
      </c>
      <c r="N707" s="4" t="s">
        <v>45</v>
      </c>
      <c r="O707" s="4" t="s">
        <v>25</v>
      </c>
      <c r="P707" s="4" t="s">
        <v>50</v>
      </c>
      <c r="Q707" s="4" t="s">
        <v>79</v>
      </c>
      <c r="R707" s="4"/>
    </row>
    <row r="708" spans="1:18">
      <c r="A708">
        <v>707</v>
      </c>
      <c r="B708" s="3">
        <v>46210.5179166667</v>
      </c>
      <c r="C708" s="3">
        <v>46210.5213657407</v>
      </c>
      <c r="D708" s="4" t="s">
        <v>18</v>
      </c>
      <c r="E708" s="4"/>
      <c r="F708" s="1">
        <v>46210</v>
      </c>
      <c r="G708" s="5" t="s">
        <v>83</v>
      </c>
      <c r="H708" s="4" t="s">
        <v>62</v>
      </c>
      <c r="I708" s="5" t="s">
        <v>2203</v>
      </c>
      <c r="J708" s="4" t="s">
        <v>2204</v>
      </c>
      <c r="K708" s="4" t="s">
        <v>2205</v>
      </c>
      <c r="L708" s="4" t="s">
        <v>1560</v>
      </c>
      <c r="M708" s="4" t="s">
        <v>24</v>
      </c>
      <c r="N708" s="4" t="s">
        <v>33</v>
      </c>
      <c r="O708" s="4" t="s">
        <v>25</v>
      </c>
      <c r="P708" s="4" t="s">
        <v>50</v>
      </c>
      <c r="Q708" s="4" t="s">
        <v>27</v>
      </c>
      <c r="R708" s="4" t="s">
        <v>2079</v>
      </c>
    </row>
    <row r="709" spans="1:18">
      <c r="A709">
        <v>708</v>
      </c>
      <c r="B709" s="3">
        <v>46210.628645833298</v>
      </c>
      <c r="C709" s="3">
        <v>46210.630497685197</v>
      </c>
      <c r="D709" s="4" t="s">
        <v>18</v>
      </c>
      <c r="E709" s="4"/>
      <c r="F709" s="1">
        <v>46210</v>
      </c>
      <c r="G709" s="5" t="s">
        <v>353</v>
      </c>
      <c r="H709" s="4" t="s">
        <v>353</v>
      </c>
      <c r="I709" s="5" t="s">
        <v>2206</v>
      </c>
      <c r="J709" s="4" t="s">
        <v>2207</v>
      </c>
      <c r="K709" s="4" t="s">
        <v>2208</v>
      </c>
      <c r="L709" s="4" t="s">
        <v>148</v>
      </c>
      <c r="M709" s="4" t="s">
        <v>2041</v>
      </c>
      <c r="N709" s="4" t="s">
        <v>112</v>
      </c>
      <c r="O709" s="4" t="s">
        <v>25</v>
      </c>
      <c r="P709" s="4" t="s">
        <v>36</v>
      </c>
      <c r="Q709" s="4" t="s">
        <v>79</v>
      </c>
      <c r="R709" s="4"/>
    </row>
    <row r="710" spans="1:18">
      <c r="A710">
        <v>709</v>
      </c>
      <c r="B710" s="3">
        <v>46210.635833333297</v>
      </c>
      <c r="C710" s="3">
        <v>46210.638113425899</v>
      </c>
      <c r="D710" s="4" t="s">
        <v>18</v>
      </c>
      <c r="E710" s="4"/>
      <c r="F710" s="1">
        <v>46210</v>
      </c>
      <c r="G710" s="5" t="s">
        <v>2209</v>
      </c>
      <c r="H710" s="4" t="s">
        <v>2210</v>
      </c>
      <c r="I710" s="5" t="s">
        <v>2211</v>
      </c>
      <c r="J710" s="4" t="s">
        <v>2212</v>
      </c>
      <c r="K710" s="4" t="s">
        <v>191</v>
      </c>
      <c r="L710" s="4" t="s">
        <v>148</v>
      </c>
      <c r="M710" s="4" t="s">
        <v>45</v>
      </c>
      <c r="N710" s="4" t="s">
        <v>896</v>
      </c>
      <c r="O710" s="4" t="s">
        <v>25</v>
      </c>
      <c r="P710" s="4" t="s">
        <v>36</v>
      </c>
      <c r="Q710" s="4" t="s">
        <v>79</v>
      </c>
      <c r="R710" s="4"/>
    </row>
    <row r="711" spans="1:18">
      <c r="A711">
        <v>710</v>
      </c>
      <c r="B711" s="3">
        <v>46210.699710648099</v>
      </c>
      <c r="C711" s="3">
        <v>46210.702372685198</v>
      </c>
      <c r="D711" s="4" t="s">
        <v>18</v>
      </c>
      <c r="E711" s="4"/>
      <c r="F711" s="1">
        <v>46210</v>
      </c>
      <c r="G711" s="5" t="s">
        <v>1455</v>
      </c>
      <c r="H711" s="4" t="s">
        <v>392</v>
      </c>
      <c r="I711" s="5" t="s">
        <v>2213</v>
      </c>
      <c r="J711" s="4" t="s">
        <v>2214</v>
      </c>
      <c r="K711" s="4" t="s">
        <v>1765</v>
      </c>
      <c r="L711" s="4" t="s">
        <v>23</v>
      </c>
      <c r="M711" s="4" t="s">
        <v>45</v>
      </c>
      <c r="N711" s="4" t="s">
        <v>896</v>
      </c>
      <c r="O711" s="4" t="s">
        <v>25</v>
      </c>
      <c r="P711" s="4" t="s">
        <v>36</v>
      </c>
      <c r="Q711" s="4" t="s">
        <v>79</v>
      </c>
      <c r="R711" s="4"/>
    </row>
    <row r="712" spans="1:18">
      <c r="A712" s="17">
        <v>711</v>
      </c>
      <c r="B712" s="3">
        <v>46210.7328935185</v>
      </c>
      <c r="C712" s="3">
        <v>46210.734363425901</v>
      </c>
      <c r="D712" s="4" t="s">
        <v>18</v>
      </c>
      <c r="E712" s="4"/>
      <c r="F712" s="1">
        <v>46210</v>
      </c>
      <c r="G712" s="5" t="s">
        <v>2215</v>
      </c>
      <c r="H712" s="4" t="s">
        <v>2216</v>
      </c>
      <c r="I712" s="5" t="s">
        <v>2217</v>
      </c>
      <c r="J712" s="4" t="s">
        <v>2218</v>
      </c>
      <c r="K712" s="4" t="s">
        <v>359</v>
      </c>
      <c r="L712" s="4" t="s">
        <v>98</v>
      </c>
      <c r="M712" s="4" t="s">
        <v>33</v>
      </c>
      <c r="N712" s="4" t="s">
        <v>45</v>
      </c>
      <c r="O712" s="4" t="s">
        <v>25</v>
      </c>
      <c r="P712" s="4" t="s">
        <v>50</v>
      </c>
      <c r="Q712" s="4" t="s">
        <v>27</v>
      </c>
      <c r="R712" s="4"/>
    </row>
    <row r="713" spans="1:18">
      <c r="A713" s="17">
        <v>712</v>
      </c>
      <c r="B713" s="3">
        <v>46210.734050925901</v>
      </c>
      <c r="C713" s="3">
        <v>46210.735891203702</v>
      </c>
      <c r="D713" s="4" t="s">
        <v>18</v>
      </c>
      <c r="E713" s="4"/>
      <c r="F713" s="1">
        <v>46210</v>
      </c>
      <c r="G713" s="5" t="s">
        <v>1148</v>
      </c>
      <c r="H713" s="4" t="s">
        <v>2219</v>
      </c>
      <c r="I713" s="5" t="s">
        <v>2181</v>
      </c>
      <c r="J713" s="4" t="s">
        <v>2220</v>
      </c>
      <c r="K713" s="4" t="s">
        <v>356</v>
      </c>
      <c r="L713" s="4" t="s">
        <v>98</v>
      </c>
      <c r="M713" s="4" t="s">
        <v>33</v>
      </c>
      <c r="N713" s="4" t="s">
        <v>45</v>
      </c>
      <c r="O713" s="4" t="s">
        <v>25</v>
      </c>
      <c r="P713" s="4" t="s">
        <v>36</v>
      </c>
      <c r="Q713" s="4" t="s">
        <v>27</v>
      </c>
      <c r="R713" s="4"/>
    </row>
    <row r="714" spans="1:18">
      <c r="A714" s="17">
        <v>713</v>
      </c>
      <c r="B714" s="3">
        <v>46210.756481481498</v>
      </c>
      <c r="C714" s="3">
        <v>46210.758368055598</v>
      </c>
      <c r="D714" s="4" t="s">
        <v>18</v>
      </c>
      <c r="E714" s="4"/>
      <c r="F714" s="1">
        <v>46210</v>
      </c>
      <c r="G714" s="5" t="s">
        <v>2221</v>
      </c>
      <c r="H714" s="4" t="s">
        <v>2222</v>
      </c>
      <c r="I714" s="5" t="s">
        <v>2223</v>
      </c>
      <c r="J714" s="4" t="s">
        <v>2224</v>
      </c>
      <c r="K714" s="4" t="s">
        <v>2225</v>
      </c>
      <c r="L714" s="4" t="s">
        <v>32</v>
      </c>
      <c r="M714" s="4" t="s">
        <v>2041</v>
      </c>
      <c r="N714" s="4" t="s">
        <v>2014</v>
      </c>
      <c r="O714" s="4" t="s">
        <v>35</v>
      </c>
      <c r="P714" s="4" t="s">
        <v>36</v>
      </c>
      <c r="Q714" s="4" t="s">
        <v>27</v>
      </c>
      <c r="R714" s="4"/>
    </row>
    <row r="715" spans="1:18">
      <c r="A715" s="17">
        <v>714</v>
      </c>
      <c r="B715" s="3">
        <v>46211.339432870402</v>
      </c>
      <c r="C715" s="3">
        <v>46211.341724537</v>
      </c>
      <c r="D715" s="4" t="s">
        <v>18</v>
      </c>
      <c r="E715" s="4"/>
      <c r="F715" s="1">
        <v>46211</v>
      </c>
      <c r="G715" s="5" t="s">
        <v>283</v>
      </c>
      <c r="H715" s="4" t="s">
        <v>1455</v>
      </c>
      <c r="I715" s="5" t="s">
        <v>2226</v>
      </c>
      <c r="J715" s="4" t="s">
        <v>2227</v>
      </c>
      <c r="K715" s="4" t="s">
        <v>2228</v>
      </c>
      <c r="L715" s="4" t="s">
        <v>23</v>
      </c>
      <c r="M715" s="4" t="s">
        <v>24</v>
      </c>
      <c r="N715" s="4" t="s">
        <v>2014</v>
      </c>
      <c r="O715" s="4" t="s">
        <v>25</v>
      </c>
      <c r="P715" s="4" t="s">
        <v>36</v>
      </c>
      <c r="Q715" s="4" t="s">
        <v>79</v>
      </c>
      <c r="R715" s="4" t="s">
        <v>2229</v>
      </c>
    </row>
    <row r="716" spans="1:18">
      <c r="A716" s="17">
        <v>715</v>
      </c>
      <c r="B716" s="3">
        <v>46211.404328703698</v>
      </c>
      <c r="C716" s="3">
        <v>46211.407939814802</v>
      </c>
      <c r="D716" s="4" t="s">
        <v>18</v>
      </c>
      <c r="E716" s="4"/>
      <c r="F716" s="1">
        <v>46211</v>
      </c>
      <c r="G716" s="5" t="s">
        <v>514</v>
      </c>
      <c r="H716" s="4" t="s">
        <v>343</v>
      </c>
      <c r="I716" s="5" t="s">
        <v>2230</v>
      </c>
      <c r="J716" s="4" t="s">
        <v>2231</v>
      </c>
      <c r="K716" s="4" t="s">
        <v>359</v>
      </c>
      <c r="L716" s="4" t="s">
        <v>32</v>
      </c>
      <c r="M716" s="4" t="s">
        <v>24</v>
      </c>
      <c r="N716" s="4" t="s">
        <v>2014</v>
      </c>
      <c r="O716" s="4" t="s">
        <v>25</v>
      </c>
      <c r="P716" s="4" t="s">
        <v>86</v>
      </c>
      <c r="Q716" s="4" t="s">
        <v>27</v>
      </c>
      <c r="R716" s="4"/>
    </row>
    <row r="717" spans="1:18">
      <c r="A717" s="17">
        <v>716</v>
      </c>
      <c r="B717" s="3">
        <v>46211.410069444399</v>
      </c>
      <c r="C717" s="3">
        <v>46211.411967592598</v>
      </c>
      <c r="D717" s="4" t="s">
        <v>18</v>
      </c>
      <c r="E717" s="4"/>
      <c r="F717" s="1">
        <v>46211</v>
      </c>
      <c r="G717" s="5" t="s">
        <v>19</v>
      </c>
      <c r="H717" s="4" t="s">
        <v>2232</v>
      </c>
      <c r="I717" s="5" t="s">
        <v>2233</v>
      </c>
      <c r="J717" s="4" t="s">
        <v>2234</v>
      </c>
      <c r="K717" s="4" t="s">
        <v>424</v>
      </c>
      <c r="L717" s="4" t="s">
        <v>32</v>
      </c>
      <c r="M717" s="4" t="s">
        <v>24</v>
      </c>
      <c r="N717" s="4" t="s">
        <v>2014</v>
      </c>
      <c r="O717" s="4" t="s">
        <v>25</v>
      </c>
      <c r="P717" s="4" t="s">
        <v>86</v>
      </c>
      <c r="Q717" s="4" t="s">
        <v>93</v>
      </c>
      <c r="R717" s="4"/>
    </row>
    <row r="718" spans="1:18">
      <c r="A718" s="17">
        <v>717</v>
      </c>
      <c r="B718" s="3">
        <v>46211.415405092601</v>
      </c>
      <c r="C718" s="3">
        <v>46211.419467592597</v>
      </c>
      <c r="D718" s="4" t="s">
        <v>18</v>
      </c>
      <c r="E718" s="4"/>
      <c r="F718" s="1">
        <v>46211</v>
      </c>
      <c r="G718" s="5" t="s">
        <v>353</v>
      </c>
      <c r="H718" s="4" t="s">
        <v>174</v>
      </c>
      <c r="I718" s="5" t="s">
        <v>2235</v>
      </c>
      <c r="J718" s="4" t="s">
        <v>2236</v>
      </c>
      <c r="K718" s="4" t="s">
        <v>356</v>
      </c>
      <c r="L718" s="4" t="s">
        <v>98</v>
      </c>
      <c r="M718" s="4" t="s">
        <v>61</v>
      </c>
      <c r="N718" s="4" t="s">
        <v>2014</v>
      </c>
      <c r="O718" s="4" t="s">
        <v>25</v>
      </c>
      <c r="P718" s="4" t="s">
        <v>36</v>
      </c>
      <c r="Q718" s="4" t="s">
        <v>93</v>
      </c>
      <c r="R718" s="4"/>
    </row>
    <row r="719" spans="1:18">
      <c r="A719" s="17">
        <v>718</v>
      </c>
      <c r="B719" s="3">
        <v>46211.4245717593</v>
      </c>
      <c r="C719" s="3">
        <v>46211.426053240699</v>
      </c>
      <c r="D719" s="4" t="s">
        <v>18</v>
      </c>
      <c r="E719" s="4"/>
      <c r="F719" s="1">
        <v>46211</v>
      </c>
      <c r="G719" s="5" t="s">
        <v>900</v>
      </c>
      <c r="H719" s="4" t="s">
        <v>554</v>
      </c>
      <c r="I719" s="5" t="s">
        <v>2237</v>
      </c>
      <c r="J719" s="4" t="s">
        <v>2238</v>
      </c>
      <c r="K719" s="4" t="s">
        <v>324</v>
      </c>
      <c r="L719" s="4" t="s">
        <v>266</v>
      </c>
      <c r="M719" s="4" t="s">
        <v>2041</v>
      </c>
      <c r="N719" s="4" t="s">
        <v>33</v>
      </c>
      <c r="O719" s="4" t="s">
        <v>25</v>
      </c>
      <c r="P719" s="4" t="s">
        <v>69</v>
      </c>
      <c r="Q719" s="4" t="s">
        <v>27</v>
      </c>
      <c r="R719" s="4"/>
    </row>
    <row r="720" spans="1:18">
      <c r="A720" s="17">
        <v>719</v>
      </c>
      <c r="B720" s="3">
        <v>46211.4197569444</v>
      </c>
      <c r="C720" s="3">
        <v>46211.464525463001</v>
      </c>
      <c r="D720" s="4" t="s">
        <v>18</v>
      </c>
      <c r="E720" s="4"/>
      <c r="F720" s="1">
        <v>46211</v>
      </c>
      <c r="G720" s="5" t="s">
        <v>353</v>
      </c>
      <c r="H720" s="4" t="s">
        <v>1311</v>
      </c>
      <c r="I720" s="5" t="s">
        <v>2239</v>
      </c>
      <c r="J720" s="4" t="s">
        <v>2240</v>
      </c>
      <c r="K720" s="4" t="s">
        <v>143</v>
      </c>
      <c r="L720" s="4" t="s">
        <v>98</v>
      </c>
      <c r="M720" s="4" t="s">
        <v>33</v>
      </c>
      <c r="N720" s="4" t="s">
        <v>2014</v>
      </c>
      <c r="O720" s="4" t="s">
        <v>25</v>
      </c>
      <c r="P720" s="4" t="s">
        <v>50</v>
      </c>
      <c r="Q720" s="4" t="s">
        <v>93</v>
      </c>
      <c r="R720" s="4"/>
    </row>
    <row r="721" spans="1:18">
      <c r="A721" s="17">
        <v>720</v>
      </c>
      <c r="B721" s="3">
        <v>46211.483888888899</v>
      </c>
      <c r="C721" s="3">
        <v>46211.485567129603</v>
      </c>
      <c r="D721" s="4" t="s">
        <v>18</v>
      </c>
      <c r="E721" s="4"/>
      <c r="F721" s="1">
        <v>46211</v>
      </c>
      <c r="G721" s="5" t="s">
        <v>62</v>
      </c>
      <c r="H721" s="4" t="s">
        <v>1951</v>
      </c>
      <c r="I721" s="5" t="s">
        <v>2241</v>
      </c>
      <c r="J721" s="4" t="s">
        <v>2242</v>
      </c>
      <c r="K721" s="4" t="s">
        <v>1215</v>
      </c>
      <c r="L721" s="4" t="s">
        <v>91</v>
      </c>
      <c r="M721" s="4" t="s">
        <v>61</v>
      </c>
      <c r="N721" s="4" t="s">
        <v>2014</v>
      </c>
      <c r="O721" s="4" t="s">
        <v>25</v>
      </c>
      <c r="P721" s="4" t="s">
        <v>50</v>
      </c>
      <c r="Q721" s="4" t="s">
        <v>79</v>
      </c>
      <c r="R721" s="4"/>
    </row>
    <row r="722" spans="1:18">
      <c r="A722" s="17">
        <v>721</v>
      </c>
      <c r="B722" s="3">
        <v>46211.485694444404</v>
      </c>
      <c r="C722" s="3">
        <v>46211.487372685202</v>
      </c>
      <c r="D722" s="4" t="s">
        <v>18</v>
      </c>
      <c r="E722" s="4"/>
      <c r="F722" s="1">
        <v>46211</v>
      </c>
      <c r="G722" s="5" t="s">
        <v>134</v>
      </c>
      <c r="H722" s="4" t="s">
        <v>454</v>
      </c>
      <c r="I722" s="5" t="s">
        <v>2243</v>
      </c>
      <c r="J722" s="4" t="s">
        <v>2244</v>
      </c>
      <c r="K722" s="4" t="s">
        <v>1555</v>
      </c>
      <c r="L722" s="4" t="s">
        <v>91</v>
      </c>
      <c r="M722" s="4" t="s">
        <v>61</v>
      </c>
      <c r="N722" s="4" t="s">
        <v>2014</v>
      </c>
      <c r="O722" s="4" t="s">
        <v>25</v>
      </c>
      <c r="P722" s="4" t="s">
        <v>50</v>
      </c>
      <c r="Q722" s="4" t="s">
        <v>79</v>
      </c>
      <c r="R722" s="4"/>
    </row>
    <row r="723" spans="1:18">
      <c r="A723" s="17">
        <v>722</v>
      </c>
      <c r="B723" s="3">
        <v>46211.589918981503</v>
      </c>
      <c r="C723" s="3">
        <v>46211.592650462997</v>
      </c>
      <c r="D723" s="4" t="s">
        <v>18</v>
      </c>
      <c r="E723" s="4"/>
      <c r="F723" s="1">
        <v>46211</v>
      </c>
      <c r="G723" s="5" t="s">
        <v>386</v>
      </c>
      <c r="H723" s="4" t="s">
        <v>62</v>
      </c>
      <c r="I723" s="5" t="s">
        <v>2245</v>
      </c>
      <c r="J723" s="4" t="s">
        <v>2246</v>
      </c>
      <c r="K723" s="4" t="s">
        <v>2205</v>
      </c>
      <c r="L723" s="4" t="s">
        <v>1560</v>
      </c>
      <c r="M723" s="4" t="s">
        <v>24</v>
      </c>
      <c r="N723" s="4" t="s">
        <v>33</v>
      </c>
      <c r="O723" s="4" t="s">
        <v>25</v>
      </c>
      <c r="P723" s="4" t="s">
        <v>50</v>
      </c>
      <c r="Q723" s="4" t="s">
        <v>27</v>
      </c>
      <c r="R723" s="4" t="s">
        <v>2247</v>
      </c>
    </row>
    <row r="724" spans="1:18">
      <c r="A724" s="17">
        <v>723</v>
      </c>
      <c r="B724" s="3">
        <v>46211.602025462998</v>
      </c>
      <c r="C724" s="3">
        <v>46211.604664351798</v>
      </c>
      <c r="D724" s="4" t="s">
        <v>18</v>
      </c>
      <c r="E724" s="4"/>
      <c r="F724" s="1">
        <v>46211</v>
      </c>
      <c r="G724" s="5" t="s">
        <v>386</v>
      </c>
      <c r="H724" s="4" t="s">
        <v>134</v>
      </c>
      <c r="I724" s="5" t="s">
        <v>2248</v>
      </c>
      <c r="J724" s="4" t="s">
        <v>2249</v>
      </c>
      <c r="K724" s="4" t="s">
        <v>2250</v>
      </c>
      <c r="L724" s="4" t="s">
        <v>1560</v>
      </c>
      <c r="M724" s="4" t="s">
        <v>2041</v>
      </c>
      <c r="N724" s="4" t="s">
        <v>33</v>
      </c>
      <c r="O724" s="4" t="s">
        <v>35</v>
      </c>
      <c r="P724" s="4" t="s">
        <v>213</v>
      </c>
      <c r="Q724" s="4" t="s">
        <v>79</v>
      </c>
      <c r="R724" s="4" t="s">
        <v>2079</v>
      </c>
    </row>
    <row r="725" spans="1:18">
      <c r="A725" s="17">
        <v>724</v>
      </c>
      <c r="B725" s="3">
        <v>46211.655023148203</v>
      </c>
      <c r="C725" s="3">
        <v>46211.656423611101</v>
      </c>
      <c r="D725" s="4" t="s">
        <v>18</v>
      </c>
      <c r="E725" s="4"/>
      <c r="F725" s="1">
        <v>46211</v>
      </c>
      <c r="G725" s="5" t="s">
        <v>554</v>
      </c>
      <c r="H725" s="4" t="s">
        <v>2251</v>
      </c>
      <c r="I725" s="5" t="s">
        <v>2252</v>
      </c>
      <c r="J725" s="4" t="s">
        <v>2253</v>
      </c>
      <c r="K725" s="4" t="s">
        <v>783</v>
      </c>
      <c r="L725" s="4" t="s">
        <v>266</v>
      </c>
      <c r="M725" s="4" t="s">
        <v>226</v>
      </c>
      <c r="N725" s="4" t="s">
        <v>33</v>
      </c>
      <c r="O725" s="4" t="s">
        <v>25</v>
      </c>
      <c r="P725" s="4" t="s">
        <v>36</v>
      </c>
      <c r="Q725" s="4" t="s">
        <v>27</v>
      </c>
      <c r="R725" s="4"/>
    </row>
    <row r="726" spans="1:18">
      <c r="A726" s="17">
        <v>725</v>
      </c>
      <c r="B726" s="3">
        <v>46211.656446759298</v>
      </c>
      <c r="C726" s="3">
        <v>46211.657546296301</v>
      </c>
      <c r="D726" s="4" t="s">
        <v>18</v>
      </c>
      <c r="E726" s="4"/>
      <c r="F726" s="1">
        <v>46211</v>
      </c>
      <c r="G726" s="5" t="s">
        <v>2254</v>
      </c>
      <c r="H726" s="4" t="s">
        <v>2255</v>
      </c>
      <c r="I726" s="5" t="s">
        <v>2256</v>
      </c>
      <c r="J726" s="4" t="s">
        <v>2257</v>
      </c>
      <c r="K726" s="4" t="s">
        <v>783</v>
      </c>
      <c r="L726" s="4" t="s">
        <v>266</v>
      </c>
      <c r="M726" s="4" t="s">
        <v>2184</v>
      </c>
      <c r="N726" s="4" t="s">
        <v>33</v>
      </c>
      <c r="O726" s="4" t="s">
        <v>35</v>
      </c>
      <c r="P726" s="4" t="s">
        <v>835</v>
      </c>
      <c r="Q726" s="4" t="s">
        <v>27</v>
      </c>
      <c r="R726" s="4"/>
    </row>
    <row r="727" spans="1:18">
      <c r="A727" s="17">
        <v>726</v>
      </c>
      <c r="B727" s="3">
        <v>46211.702824074098</v>
      </c>
      <c r="C727" s="3">
        <v>46211.705254629604</v>
      </c>
      <c r="D727" s="4" t="s">
        <v>18</v>
      </c>
      <c r="E727" s="4"/>
      <c r="F727" s="1">
        <v>46211</v>
      </c>
      <c r="G727" s="5" t="s">
        <v>2258</v>
      </c>
      <c r="H727" s="4" t="s">
        <v>1653</v>
      </c>
      <c r="I727" s="5" t="s">
        <v>2259</v>
      </c>
      <c r="J727" s="4" t="s">
        <v>2260</v>
      </c>
      <c r="K727" s="4" t="s">
        <v>191</v>
      </c>
      <c r="L727" s="4" t="s">
        <v>148</v>
      </c>
      <c r="M727" s="4" t="s">
        <v>2041</v>
      </c>
      <c r="N727" s="4" t="s">
        <v>896</v>
      </c>
      <c r="O727" s="4" t="s">
        <v>25</v>
      </c>
      <c r="P727" s="4" t="s">
        <v>36</v>
      </c>
      <c r="Q727" s="4" t="s">
        <v>79</v>
      </c>
      <c r="R727" s="4"/>
    </row>
    <row r="728" spans="1:18">
      <c r="A728" s="17">
        <v>727</v>
      </c>
      <c r="B728" s="3">
        <v>46211.723680555602</v>
      </c>
      <c r="C728" s="3">
        <v>46211.725914351897</v>
      </c>
      <c r="D728" s="4" t="s">
        <v>18</v>
      </c>
      <c r="E728" s="4"/>
      <c r="F728" s="1">
        <v>46211</v>
      </c>
      <c r="G728" s="5" t="s">
        <v>2261</v>
      </c>
      <c r="H728" s="4" t="s">
        <v>2261</v>
      </c>
      <c r="I728" s="5" t="s">
        <v>2262</v>
      </c>
      <c r="J728" s="4" t="s">
        <v>2263</v>
      </c>
      <c r="K728" s="4" t="s">
        <v>191</v>
      </c>
      <c r="L728" s="4" t="s">
        <v>148</v>
      </c>
      <c r="M728" s="4" t="s">
        <v>2041</v>
      </c>
      <c r="N728" s="4" t="s">
        <v>896</v>
      </c>
      <c r="O728" s="4" t="s">
        <v>25</v>
      </c>
      <c r="P728" s="4" t="s">
        <v>36</v>
      </c>
      <c r="Q728" s="4" t="s">
        <v>79</v>
      </c>
      <c r="R728" s="4"/>
    </row>
    <row r="729" spans="1:18">
      <c r="A729" s="17">
        <v>728</v>
      </c>
      <c r="B729" s="3">
        <v>46211.7278240741</v>
      </c>
      <c r="C729" s="3">
        <v>46211.729733796303</v>
      </c>
      <c r="D729" s="4" t="s">
        <v>18</v>
      </c>
      <c r="E729" s="4"/>
      <c r="F729" s="1">
        <v>46211</v>
      </c>
      <c r="G729" s="5" t="s">
        <v>1653</v>
      </c>
      <c r="H729" s="4" t="s">
        <v>1653</v>
      </c>
      <c r="I729" s="5" t="s">
        <v>2264</v>
      </c>
      <c r="J729" s="4" t="s">
        <v>2265</v>
      </c>
      <c r="K729" s="4" t="s">
        <v>2266</v>
      </c>
      <c r="L729" s="4" t="s">
        <v>148</v>
      </c>
      <c r="M729" s="4" t="s">
        <v>2041</v>
      </c>
      <c r="N729" s="4" t="s">
        <v>896</v>
      </c>
      <c r="O729" s="4" t="s">
        <v>25</v>
      </c>
      <c r="P729" s="4" t="s">
        <v>36</v>
      </c>
      <c r="Q729" s="4" t="s">
        <v>79</v>
      </c>
      <c r="R729" s="4"/>
    </row>
    <row r="730" spans="1:18">
      <c r="A730" s="17">
        <v>729</v>
      </c>
      <c r="B730" s="3">
        <v>46211.731064814798</v>
      </c>
      <c r="C730" s="3">
        <v>46211.733136574097</v>
      </c>
      <c r="D730" s="4" t="s">
        <v>18</v>
      </c>
      <c r="E730" s="4"/>
      <c r="F730" s="1">
        <v>46211</v>
      </c>
      <c r="G730" s="5" t="s">
        <v>1653</v>
      </c>
      <c r="H730" s="4" t="s">
        <v>1653</v>
      </c>
      <c r="I730" s="5" t="s">
        <v>2267</v>
      </c>
      <c r="J730" s="4" t="s">
        <v>2268</v>
      </c>
      <c r="K730" s="4" t="s">
        <v>665</v>
      </c>
      <c r="L730" s="4" t="s">
        <v>148</v>
      </c>
      <c r="M730" s="4" t="s">
        <v>2041</v>
      </c>
      <c r="N730" s="4" t="s">
        <v>896</v>
      </c>
      <c r="O730" s="4" t="s">
        <v>25</v>
      </c>
      <c r="P730" s="4" t="s">
        <v>36</v>
      </c>
      <c r="Q730" s="4" t="s">
        <v>79</v>
      </c>
      <c r="R730" s="4"/>
    </row>
    <row r="731" spans="1:18">
      <c r="A731" s="17">
        <v>730</v>
      </c>
      <c r="B731" s="3">
        <v>46211.738344907397</v>
      </c>
      <c r="C731" s="3">
        <v>46211.741620370398</v>
      </c>
      <c r="D731" s="4" t="s">
        <v>18</v>
      </c>
      <c r="E731" s="4"/>
      <c r="F731" s="1">
        <v>46211</v>
      </c>
      <c r="G731" s="5" t="s">
        <v>62</v>
      </c>
      <c r="H731" s="4" t="s">
        <v>62</v>
      </c>
      <c r="I731" s="5" t="s">
        <v>2269</v>
      </c>
      <c r="J731" s="4" t="s">
        <v>2270</v>
      </c>
      <c r="K731" s="4" t="s">
        <v>2271</v>
      </c>
      <c r="L731" s="4" t="s">
        <v>1874</v>
      </c>
      <c r="M731" s="4" t="s">
        <v>226</v>
      </c>
      <c r="N731" s="4" t="s">
        <v>33</v>
      </c>
      <c r="O731" s="4" t="s">
        <v>25</v>
      </c>
      <c r="P731" s="4" t="s">
        <v>92</v>
      </c>
      <c r="Q731" s="4" t="s">
        <v>93</v>
      </c>
      <c r="R731" s="4"/>
    </row>
    <row r="732" spans="1:18">
      <c r="A732" s="17">
        <v>731</v>
      </c>
      <c r="B732" s="3">
        <v>46211.789756944403</v>
      </c>
      <c r="C732" s="3">
        <v>46211.791909722197</v>
      </c>
      <c r="D732" s="4" t="s">
        <v>18</v>
      </c>
      <c r="E732" s="4"/>
      <c r="F732" s="1">
        <v>46211</v>
      </c>
      <c r="G732" s="5" t="s">
        <v>742</v>
      </c>
      <c r="H732" s="4" t="s">
        <v>742</v>
      </c>
      <c r="I732" s="5" t="s">
        <v>2272</v>
      </c>
      <c r="J732" s="4" t="s">
        <v>2273</v>
      </c>
      <c r="K732" s="4" t="s">
        <v>1111</v>
      </c>
      <c r="L732" s="4" t="s">
        <v>23</v>
      </c>
      <c r="M732" s="4" t="s">
        <v>33</v>
      </c>
      <c r="N732" s="4" t="s">
        <v>2014</v>
      </c>
      <c r="O732" s="4" t="s">
        <v>25</v>
      </c>
      <c r="P732" s="4" t="s">
        <v>36</v>
      </c>
      <c r="Q732" s="4" t="s">
        <v>27</v>
      </c>
      <c r="R732" s="4"/>
    </row>
    <row r="733" spans="1:18">
      <c r="A733" s="17">
        <v>732</v>
      </c>
      <c r="B733" s="3">
        <v>46211.875625000001</v>
      </c>
      <c r="C733" s="3">
        <v>46211.879120370402</v>
      </c>
      <c r="D733" s="4" t="s">
        <v>18</v>
      </c>
      <c r="E733" s="4"/>
      <c r="F733" s="1">
        <v>46211</v>
      </c>
      <c r="G733" s="5" t="s">
        <v>2274</v>
      </c>
      <c r="H733" s="4" t="s">
        <v>2274</v>
      </c>
      <c r="I733" s="5" t="s">
        <v>2275</v>
      </c>
      <c r="J733" s="4" t="s">
        <v>2276</v>
      </c>
      <c r="K733" s="4" t="s">
        <v>31</v>
      </c>
      <c r="L733" s="4" t="s">
        <v>32</v>
      </c>
      <c r="M733" s="4" t="s">
        <v>61</v>
      </c>
      <c r="N733" s="4" t="s">
        <v>45</v>
      </c>
      <c r="O733" s="4" t="s">
        <v>35</v>
      </c>
      <c r="P733" s="4" t="s">
        <v>92</v>
      </c>
      <c r="Q733" s="4" t="s">
        <v>79</v>
      </c>
      <c r="R733" s="4"/>
    </row>
    <row r="734" spans="1:18">
      <c r="A734" s="17">
        <v>733</v>
      </c>
      <c r="B734" s="3">
        <v>46212.321354166699</v>
      </c>
      <c r="C734" s="3">
        <v>46212.324398148201</v>
      </c>
      <c r="D734" s="4" t="s">
        <v>18</v>
      </c>
      <c r="E734" s="4"/>
      <c r="F734" s="1">
        <v>46212</v>
      </c>
      <c r="G734" s="5" t="s">
        <v>283</v>
      </c>
      <c r="H734" s="4" t="s">
        <v>1576</v>
      </c>
      <c r="I734" s="5" t="s">
        <v>2277</v>
      </c>
      <c r="J734" s="4" t="s">
        <v>2278</v>
      </c>
      <c r="K734" s="4" t="s">
        <v>1765</v>
      </c>
      <c r="L734" s="4" t="s">
        <v>23</v>
      </c>
      <c r="M734" s="4" t="s">
        <v>24</v>
      </c>
      <c r="N734" s="4" t="s">
        <v>2014</v>
      </c>
      <c r="O734" s="4" t="s">
        <v>25</v>
      </c>
      <c r="P734" s="4" t="s">
        <v>36</v>
      </c>
      <c r="Q734" s="4" t="s">
        <v>79</v>
      </c>
      <c r="R734" s="4"/>
    </row>
    <row r="735" spans="1:18">
      <c r="A735" s="17">
        <v>734</v>
      </c>
      <c r="B735" s="3">
        <v>46212.440821759301</v>
      </c>
      <c r="C735" s="3">
        <v>46212.444525462997</v>
      </c>
      <c r="D735" s="4" t="s">
        <v>18</v>
      </c>
      <c r="E735" s="4"/>
      <c r="F735" s="1">
        <v>46212</v>
      </c>
      <c r="G735" s="5" t="s">
        <v>2279</v>
      </c>
      <c r="H735" s="4" t="s">
        <v>2280</v>
      </c>
      <c r="I735" s="5" t="s">
        <v>2281</v>
      </c>
      <c r="J735" s="4" t="s">
        <v>2282</v>
      </c>
      <c r="K735" s="4" t="s">
        <v>2283</v>
      </c>
      <c r="L735" s="4" t="s">
        <v>98</v>
      </c>
      <c r="M735" s="4" t="s">
        <v>24</v>
      </c>
      <c r="N735" s="4" t="s">
        <v>45</v>
      </c>
      <c r="O735" s="4" t="s">
        <v>25</v>
      </c>
      <c r="P735" s="4" t="s">
        <v>50</v>
      </c>
      <c r="Q735" s="4" t="s">
        <v>27</v>
      </c>
      <c r="R735" s="4"/>
    </row>
    <row r="736" spans="1:18">
      <c r="A736" s="17">
        <v>735</v>
      </c>
      <c r="B736" s="3">
        <v>46212.443657407399</v>
      </c>
      <c r="C736" s="3">
        <v>46212.4448148148</v>
      </c>
      <c r="D736" s="4" t="s">
        <v>18</v>
      </c>
      <c r="E736" s="4"/>
      <c r="F736" s="1">
        <v>46212</v>
      </c>
      <c r="G736" s="5" t="s">
        <v>1207</v>
      </c>
      <c r="H736" s="4" t="s">
        <v>1207</v>
      </c>
      <c r="I736" s="5" t="s">
        <v>2284</v>
      </c>
      <c r="J736" s="4" t="s">
        <v>2238</v>
      </c>
      <c r="K736" s="4" t="s">
        <v>324</v>
      </c>
      <c r="L736" s="4" t="s">
        <v>266</v>
      </c>
      <c r="M736" s="4" t="s">
        <v>112</v>
      </c>
      <c r="N736" s="4" t="s">
        <v>226</v>
      </c>
      <c r="O736" s="4" t="s">
        <v>25</v>
      </c>
      <c r="P736" s="4" t="s">
        <v>69</v>
      </c>
      <c r="Q736" s="4" t="s">
        <v>27</v>
      </c>
      <c r="R736" s="4"/>
    </row>
    <row r="737" spans="1:18">
      <c r="A737" s="17">
        <v>736</v>
      </c>
      <c r="B737" s="3">
        <v>46212.450439814798</v>
      </c>
      <c r="C737" s="3">
        <v>46212.452592592599</v>
      </c>
      <c r="D737" s="4" t="s">
        <v>18</v>
      </c>
      <c r="E737" s="4"/>
      <c r="F737" s="1">
        <v>46212</v>
      </c>
      <c r="G737" s="5" t="s">
        <v>222</v>
      </c>
      <c r="H737" s="4" t="s">
        <v>2285</v>
      </c>
      <c r="I737" s="5" t="s">
        <v>2050</v>
      </c>
      <c r="J737" s="4" t="s">
        <v>2286</v>
      </c>
      <c r="K737" s="4" t="s">
        <v>783</v>
      </c>
      <c r="L737" s="4" t="s">
        <v>2287</v>
      </c>
      <c r="M737" s="4" t="s">
        <v>112</v>
      </c>
      <c r="N737" s="4" t="s">
        <v>226</v>
      </c>
      <c r="O737" s="4" t="s">
        <v>25</v>
      </c>
      <c r="P737" s="4" t="s">
        <v>36</v>
      </c>
      <c r="Q737" s="4" t="s">
        <v>27</v>
      </c>
      <c r="R737" s="4"/>
    </row>
    <row r="738" spans="1:18">
      <c r="A738" s="17">
        <v>737</v>
      </c>
      <c r="B738" s="3">
        <v>46212.452615740702</v>
      </c>
      <c r="C738" s="3">
        <v>46212.453449074099</v>
      </c>
      <c r="D738" s="4" t="s">
        <v>18</v>
      </c>
      <c r="E738" s="4"/>
      <c r="F738" s="1">
        <v>46212</v>
      </c>
      <c r="G738" s="5" t="s">
        <v>222</v>
      </c>
      <c r="H738" s="4" t="s">
        <v>2288</v>
      </c>
      <c r="I738" s="5" t="s">
        <v>2289</v>
      </c>
      <c r="J738" s="4" t="s">
        <v>2290</v>
      </c>
      <c r="K738" s="4" t="s">
        <v>783</v>
      </c>
      <c r="L738" s="4" t="s">
        <v>266</v>
      </c>
      <c r="M738" s="4" t="s">
        <v>2184</v>
      </c>
      <c r="N738" s="4" t="s">
        <v>226</v>
      </c>
      <c r="O738" s="4" t="s">
        <v>35</v>
      </c>
      <c r="P738" s="4" t="s">
        <v>835</v>
      </c>
      <c r="Q738" s="4" t="s">
        <v>27</v>
      </c>
      <c r="R738" s="4"/>
    </row>
    <row r="739" spans="1:18">
      <c r="A739" s="17">
        <v>738</v>
      </c>
      <c r="B739" s="3">
        <v>46212.609027777798</v>
      </c>
      <c r="C739" s="3">
        <v>46212.6106828704</v>
      </c>
      <c r="D739" s="4" t="s">
        <v>18</v>
      </c>
      <c r="E739" s="4"/>
      <c r="F739" s="1">
        <v>46212</v>
      </c>
      <c r="G739" s="5" t="s">
        <v>1032</v>
      </c>
      <c r="H739" s="4" t="s">
        <v>386</v>
      </c>
      <c r="I739" s="5" t="s">
        <v>2291</v>
      </c>
      <c r="J739" s="4" t="s">
        <v>2292</v>
      </c>
      <c r="K739" s="4" t="s">
        <v>2083</v>
      </c>
      <c r="L739" s="4" t="s">
        <v>1560</v>
      </c>
      <c r="M739" s="4" t="s">
        <v>2041</v>
      </c>
      <c r="N739" s="4" t="s">
        <v>33</v>
      </c>
      <c r="O739" s="4" t="s">
        <v>25</v>
      </c>
      <c r="P739" s="4" t="s">
        <v>36</v>
      </c>
      <c r="Q739" s="4" t="s">
        <v>27</v>
      </c>
      <c r="R739" s="4"/>
    </row>
    <row r="740" spans="1:18">
      <c r="A740" s="17">
        <v>739</v>
      </c>
      <c r="B740" s="3">
        <v>46212.623101851903</v>
      </c>
      <c r="C740" s="3">
        <v>46212.625277777799</v>
      </c>
      <c r="D740" s="4" t="s">
        <v>18</v>
      </c>
      <c r="E740" s="4"/>
      <c r="F740" s="1">
        <v>46212</v>
      </c>
      <c r="G740" s="5" t="s">
        <v>1584</v>
      </c>
      <c r="H740" s="4" t="s">
        <v>177</v>
      </c>
      <c r="I740" s="5" t="s">
        <v>2293</v>
      </c>
      <c r="J740" s="4" t="s">
        <v>2294</v>
      </c>
      <c r="K740" s="4" t="s">
        <v>356</v>
      </c>
      <c r="L740" s="4" t="s">
        <v>98</v>
      </c>
      <c r="M740" s="4" t="s">
        <v>33</v>
      </c>
      <c r="N740" s="4" t="s">
        <v>2014</v>
      </c>
      <c r="O740" s="4" t="s">
        <v>25</v>
      </c>
      <c r="P740" s="4" t="s">
        <v>36</v>
      </c>
      <c r="Q740" s="4" t="s">
        <v>93</v>
      </c>
      <c r="R740" s="4"/>
    </row>
    <row r="741" spans="1:18">
      <c r="A741" s="17">
        <v>740</v>
      </c>
      <c r="B741" s="3">
        <v>46212.706400463001</v>
      </c>
      <c r="C741" s="3">
        <v>46212.709479166697</v>
      </c>
      <c r="D741" s="4" t="s">
        <v>18</v>
      </c>
      <c r="E741" s="4"/>
      <c r="F741" s="1">
        <v>46212</v>
      </c>
      <c r="G741" s="5" t="s">
        <v>2295</v>
      </c>
      <c r="H741" s="4" t="s">
        <v>2295</v>
      </c>
      <c r="I741" s="5" t="s">
        <v>2296</v>
      </c>
      <c r="J741" s="4" t="s">
        <v>2297</v>
      </c>
      <c r="K741" s="4" t="s">
        <v>191</v>
      </c>
      <c r="L741" s="4" t="s">
        <v>148</v>
      </c>
      <c r="M741" s="4" t="s">
        <v>2041</v>
      </c>
      <c r="N741" s="4" t="s">
        <v>896</v>
      </c>
      <c r="O741" s="4" t="s">
        <v>25</v>
      </c>
      <c r="P741" s="4" t="s">
        <v>36</v>
      </c>
      <c r="Q741" s="4" t="s">
        <v>79</v>
      </c>
      <c r="R741" s="4"/>
    </row>
    <row r="742" spans="1:18">
      <c r="A742" s="17">
        <v>741</v>
      </c>
      <c r="B742" s="3">
        <v>46212.728738425903</v>
      </c>
      <c r="C742" s="3">
        <v>46212.731354166703</v>
      </c>
      <c r="D742" s="4" t="s">
        <v>18</v>
      </c>
      <c r="E742" s="4"/>
      <c r="F742" s="1">
        <v>46213</v>
      </c>
      <c r="G742" s="5" t="s">
        <v>1653</v>
      </c>
      <c r="H742" s="4" t="s">
        <v>353</v>
      </c>
      <c r="I742" s="5" t="s">
        <v>2298</v>
      </c>
      <c r="J742" s="4" t="s">
        <v>2299</v>
      </c>
      <c r="K742" s="4" t="s">
        <v>2300</v>
      </c>
      <c r="L742" s="4" t="s">
        <v>148</v>
      </c>
      <c r="M742" s="4" t="s">
        <v>112</v>
      </c>
      <c r="N742" s="4" t="s">
        <v>896</v>
      </c>
      <c r="O742" s="4" t="s">
        <v>25</v>
      </c>
      <c r="P742" s="4" t="s">
        <v>36</v>
      </c>
      <c r="Q742" s="4" t="s">
        <v>79</v>
      </c>
      <c r="R742" s="4"/>
    </row>
    <row r="743" spans="1:18">
      <c r="A743" s="17">
        <v>742</v>
      </c>
      <c r="B743" s="3">
        <v>46212.746863425898</v>
      </c>
      <c r="C743" s="3">
        <v>46212.748356481497</v>
      </c>
      <c r="D743" s="4" t="s">
        <v>18</v>
      </c>
      <c r="E743" s="4"/>
      <c r="F743" s="1">
        <v>46212</v>
      </c>
      <c r="G743" s="5" t="s">
        <v>37</v>
      </c>
      <c r="H743" s="4" t="s">
        <v>458</v>
      </c>
      <c r="I743" s="5" t="s">
        <v>2301</v>
      </c>
      <c r="J743" s="4" t="s">
        <v>2302</v>
      </c>
      <c r="K743" s="4" t="s">
        <v>1555</v>
      </c>
      <c r="L743" s="4" t="s">
        <v>91</v>
      </c>
      <c r="M743" s="4" t="s">
        <v>33</v>
      </c>
      <c r="N743" s="4" t="s">
        <v>2014</v>
      </c>
      <c r="O743" s="4" t="s">
        <v>25</v>
      </c>
      <c r="P743" s="4" t="s">
        <v>50</v>
      </c>
      <c r="Q743" s="4" t="s">
        <v>79</v>
      </c>
      <c r="R743" s="4" t="s">
        <v>732</v>
      </c>
    </row>
    <row r="744" spans="1:18">
      <c r="A744" s="17">
        <v>743</v>
      </c>
      <c r="B744" s="3">
        <v>46212.748495370397</v>
      </c>
      <c r="C744" s="3">
        <v>46212.750983796301</v>
      </c>
      <c r="D744" s="4" t="s">
        <v>18</v>
      </c>
      <c r="E744" s="4"/>
      <c r="F744" s="1">
        <v>46212</v>
      </c>
      <c r="G744" s="5" t="s">
        <v>386</v>
      </c>
      <c r="H744" s="4" t="s">
        <v>386</v>
      </c>
      <c r="I744" s="5" t="s">
        <v>2303</v>
      </c>
      <c r="J744" s="4" t="s">
        <v>2304</v>
      </c>
      <c r="K744" s="4" t="s">
        <v>1407</v>
      </c>
      <c r="L744" s="4" t="s">
        <v>91</v>
      </c>
      <c r="M744" s="4" t="s">
        <v>2041</v>
      </c>
      <c r="N744" s="4" t="s">
        <v>896</v>
      </c>
      <c r="O744" s="4" t="s">
        <v>25</v>
      </c>
      <c r="P744" s="4" t="s">
        <v>50</v>
      </c>
      <c r="Q744" s="4" t="s">
        <v>79</v>
      </c>
      <c r="R744" s="4"/>
    </row>
    <row r="745" spans="1:18">
      <c r="A745" s="17">
        <v>744</v>
      </c>
      <c r="B745" s="3">
        <v>46212.751053240703</v>
      </c>
      <c r="C745" s="3">
        <v>46212.752847222197</v>
      </c>
      <c r="D745" s="4" t="s">
        <v>18</v>
      </c>
      <c r="E745" s="4"/>
      <c r="F745" s="1">
        <v>46212</v>
      </c>
      <c r="G745" s="5" t="s">
        <v>2305</v>
      </c>
      <c r="H745" s="4" t="s">
        <v>434</v>
      </c>
      <c r="I745" s="5" t="s">
        <v>2306</v>
      </c>
      <c r="J745" s="4" t="s">
        <v>2307</v>
      </c>
      <c r="K745" s="4" t="s">
        <v>899</v>
      </c>
      <c r="L745" s="4" t="s">
        <v>91</v>
      </c>
      <c r="M745" s="4" t="s">
        <v>24</v>
      </c>
      <c r="N745" s="4" t="s">
        <v>45</v>
      </c>
      <c r="O745" s="4" t="s">
        <v>25</v>
      </c>
      <c r="P745" s="4" t="s">
        <v>69</v>
      </c>
      <c r="Q745" s="4" t="s">
        <v>27</v>
      </c>
      <c r="R745" s="4" t="s">
        <v>732</v>
      </c>
    </row>
    <row r="746" spans="1:18">
      <c r="A746" s="17">
        <v>745</v>
      </c>
      <c r="B746" s="3">
        <v>46212.839710648099</v>
      </c>
      <c r="C746" s="3">
        <v>46212.845347222203</v>
      </c>
      <c r="D746" s="4" t="s">
        <v>18</v>
      </c>
      <c r="E746" s="4"/>
      <c r="F746" s="1">
        <v>46212</v>
      </c>
      <c r="G746" s="5" t="s">
        <v>2308</v>
      </c>
      <c r="H746" s="4" t="s">
        <v>2309</v>
      </c>
      <c r="I746" s="5" t="s">
        <v>2310</v>
      </c>
      <c r="J746" s="4" t="s">
        <v>2311</v>
      </c>
      <c r="K746" s="4" t="s">
        <v>22</v>
      </c>
      <c r="L746" s="4" t="s">
        <v>32</v>
      </c>
      <c r="M746" s="4" t="s">
        <v>33</v>
      </c>
      <c r="N746" s="4" t="s">
        <v>2014</v>
      </c>
      <c r="O746" s="4" t="s">
        <v>25</v>
      </c>
      <c r="P746" s="4" t="s">
        <v>69</v>
      </c>
      <c r="Q746" s="4" t="s">
        <v>93</v>
      </c>
      <c r="R746" s="4"/>
    </row>
    <row r="747" spans="1:18">
      <c r="A747" s="17">
        <v>746</v>
      </c>
      <c r="B747" s="3">
        <v>46213.417094907403</v>
      </c>
      <c r="C747" s="3">
        <v>46213.417997685203</v>
      </c>
      <c r="D747" s="4" t="s">
        <v>18</v>
      </c>
      <c r="E747" s="4"/>
      <c r="F747" s="1">
        <v>46213</v>
      </c>
      <c r="G747" s="5" t="s">
        <v>794</v>
      </c>
      <c r="H747" s="4" t="s">
        <v>519</v>
      </c>
      <c r="I747" s="5" t="s">
        <v>2312</v>
      </c>
      <c r="J747" s="4" t="s">
        <v>2313</v>
      </c>
      <c r="K747" s="4" t="s">
        <v>2314</v>
      </c>
      <c r="L747" s="4" t="s">
        <v>266</v>
      </c>
      <c r="M747" s="4" t="s">
        <v>226</v>
      </c>
      <c r="N747" s="4" t="s">
        <v>33</v>
      </c>
      <c r="O747" s="4" t="s">
        <v>25</v>
      </c>
      <c r="P747" s="4" t="s">
        <v>69</v>
      </c>
      <c r="Q747" s="4" t="s">
        <v>27</v>
      </c>
      <c r="R747" s="4"/>
    </row>
    <row r="748" spans="1:18">
      <c r="A748" s="17">
        <v>747</v>
      </c>
      <c r="B748" s="3">
        <v>46213.442511574103</v>
      </c>
      <c r="C748" s="3">
        <v>46213.445601851898</v>
      </c>
      <c r="D748" s="4" t="s">
        <v>18</v>
      </c>
      <c r="E748" s="4"/>
      <c r="F748" s="1">
        <v>46213</v>
      </c>
      <c r="G748" s="5" t="s">
        <v>1401</v>
      </c>
      <c r="H748" s="4" t="s">
        <v>2315</v>
      </c>
      <c r="I748" s="5" t="s">
        <v>2316</v>
      </c>
      <c r="J748" s="4" t="s">
        <v>2317</v>
      </c>
      <c r="K748" s="4" t="s">
        <v>1765</v>
      </c>
      <c r="L748" s="4" t="s">
        <v>23</v>
      </c>
      <c r="M748" s="4" t="s">
        <v>45</v>
      </c>
      <c r="N748" s="4" t="s">
        <v>2014</v>
      </c>
      <c r="O748" s="4" t="s">
        <v>25</v>
      </c>
      <c r="P748" s="4" t="s">
        <v>36</v>
      </c>
      <c r="Q748" s="4" t="s">
        <v>79</v>
      </c>
      <c r="R748" s="4"/>
    </row>
    <row r="749" spans="1:18">
      <c r="A749" s="17">
        <v>748</v>
      </c>
      <c r="B749" s="3">
        <v>46213.457858796297</v>
      </c>
      <c r="C749" s="3">
        <v>46213.459618055596</v>
      </c>
      <c r="D749" s="4" t="s">
        <v>18</v>
      </c>
      <c r="E749" s="4"/>
      <c r="F749" s="1">
        <v>46213</v>
      </c>
      <c r="G749" s="5" t="s">
        <v>1071</v>
      </c>
      <c r="H749" s="4" t="s">
        <v>2318</v>
      </c>
      <c r="I749" s="5" t="s">
        <v>2319</v>
      </c>
      <c r="J749" s="4" t="s">
        <v>2320</v>
      </c>
      <c r="K749" s="4" t="s">
        <v>356</v>
      </c>
      <c r="L749" s="4" t="s">
        <v>98</v>
      </c>
      <c r="M749" s="4" t="s">
        <v>45</v>
      </c>
      <c r="N749" s="4" t="s">
        <v>2014</v>
      </c>
      <c r="O749" s="4" t="s">
        <v>25</v>
      </c>
      <c r="P749" s="4" t="s">
        <v>36</v>
      </c>
      <c r="Q749" s="4" t="s">
        <v>93</v>
      </c>
      <c r="R749" s="4"/>
    </row>
    <row r="750" spans="1:18">
      <c r="A750" s="17">
        <v>749</v>
      </c>
      <c r="B750" s="3">
        <v>46213.4588657407</v>
      </c>
      <c r="C750" s="3">
        <v>46213.460300925901</v>
      </c>
      <c r="D750" s="4" t="s">
        <v>18</v>
      </c>
      <c r="E750" s="4"/>
      <c r="F750" s="1">
        <v>46213</v>
      </c>
      <c r="G750" s="5" t="s">
        <v>519</v>
      </c>
      <c r="H750" s="4" t="s">
        <v>222</v>
      </c>
      <c r="I750" s="5" t="s">
        <v>2321</v>
      </c>
      <c r="J750" s="4" t="s">
        <v>2322</v>
      </c>
      <c r="K750" s="4" t="s">
        <v>783</v>
      </c>
      <c r="L750" s="4" t="s">
        <v>266</v>
      </c>
      <c r="M750" s="4" t="s">
        <v>2184</v>
      </c>
      <c r="N750" s="4" t="s">
        <v>33</v>
      </c>
      <c r="O750" s="4" t="s">
        <v>25</v>
      </c>
      <c r="P750" s="4" t="s">
        <v>835</v>
      </c>
      <c r="Q750" s="4" t="s">
        <v>27</v>
      </c>
      <c r="R750" s="4"/>
    </row>
    <row r="751" spans="1:18">
      <c r="A751" s="17">
        <v>750</v>
      </c>
      <c r="B751" s="3">
        <v>46213.459652777798</v>
      </c>
      <c r="C751" s="3">
        <v>46213.462534722203</v>
      </c>
      <c r="D751" s="4" t="s">
        <v>18</v>
      </c>
      <c r="E751" s="4"/>
      <c r="F751" s="1">
        <v>46213</v>
      </c>
      <c r="G751" s="5" t="s">
        <v>1071</v>
      </c>
      <c r="H751" s="4" t="s">
        <v>2323</v>
      </c>
      <c r="I751" s="5" t="s">
        <v>2324</v>
      </c>
      <c r="J751" s="4" t="s">
        <v>2325</v>
      </c>
      <c r="K751" s="4" t="s">
        <v>212</v>
      </c>
      <c r="L751" s="4" t="s">
        <v>98</v>
      </c>
      <c r="M751" s="4" t="s">
        <v>45</v>
      </c>
      <c r="N751" s="4" t="s">
        <v>2014</v>
      </c>
      <c r="O751" s="4" t="s">
        <v>25</v>
      </c>
      <c r="P751" s="4" t="s">
        <v>36</v>
      </c>
      <c r="Q751" s="4" t="s">
        <v>27</v>
      </c>
      <c r="R751" s="4"/>
    </row>
    <row r="752" spans="1:18">
      <c r="A752" s="17">
        <v>751</v>
      </c>
      <c r="B752" s="3">
        <v>46213.463900463001</v>
      </c>
      <c r="C752" s="3">
        <v>46213.465034722198</v>
      </c>
      <c r="D752" s="4" t="s">
        <v>18</v>
      </c>
      <c r="E752" s="4"/>
      <c r="F752" s="1">
        <v>46213</v>
      </c>
      <c r="G752" s="5" t="s">
        <v>2326</v>
      </c>
      <c r="H752" s="4" t="s">
        <v>2327</v>
      </c>
      <c r="I752" s="5" t="s">
        <v>2328</v>
      </c>
      <c r="J752" s="4" t="s">
        <v>2329</v>
      </c>
      <c r="K752" s="4" t="s">
        <v>783</v>
      </c>
      <c r="L752" s="4" t="s">
        <v>266</v>
      </c>
      <c r="M752" s="4" t="s">
        <v>226</v>
      </c>
      <c r="N752" s="4" t="s">
        <v>33</v>
      </c>
      <c r="O752" s="4" t="s">
        <v>25</v>
      </c>
      <c r="P752" s="4" t="s">
        <v>36</v>
      </c>
      <c r="Q752" s="4" t="s">
        <v>27</v>
      </c>
      <c r="R752" s="4"/>
    </row>
    <row r="753" spans="1:18">
      <c r="A753" s="17">
        <v>752</v>
      </c>
      <c r="B753" s="3">
        <v>46213.464282407404</v>
      </c>
      <c r="C753" s="3">
        <v>46213.466828703698</v>
      </c>
      <c r="D753" s="4" t="s">
        <v>18</v>
      </c>
      <c r="E753" s="4"/>
      <c r="F753" s="1">
        <v>46213</v>
      </c>
      <c r="G753" s="5" t="s">
        <v>2330</v>
      </c>
      <c r="H753" s="4" t="s">
        <v>836</v>
      </c>
      <c r="I753" s="5" t="s">
        <v>2331</v>
      </c>
      <c r="J753" s="4" t="s">
        <v>2332</v>
      </c>
      <c r="K753" s="4" t="s">
        <v>2333</v>
      </c>
      <c r="L753" s="4" t="s">
        <v>98</v>
      </c>
      <c r="M753" s="4" t="s">
        <v>45</v>
      </c>
      <c r="N753" s="4" t="s">
        <v>2014</v>
      </c>
      <c r="O753" s="4" t="s">
        <v>25</v>
      </c>
      <c r="P753" s="4" t="s">
        <v>50</v>
      </c>
      <c r="Q753" s="4" t="s">
        <v>27</v>
      </c>
      <c r="R753" s="4"/>
    </row>
    <row r="754" spans="1:18">
      <c r="A754" s="17">
        <v>753</v>
      </c>
      <c r="B754" s="3">
        <v>46213.462650463</v>
      </c>
      <c r="C754" s="3">
        <v>46213.469641203701</v>
      </c>
      <c r="D754" s="4" t="s">
        <v>18</v>
      </c>
      <c r="E754" s="4"/>
      <c r="F754" s="1">
        <v>46213</v>
      </c>
      <c r="G754" s="5" t="s">
        <v>2334</v>
      </c>
      <c r="H754" s="4" t="s">
        <v>2334</v>
      </c>
      <c r="I754" s="5" t="s">
        <v>2335</v>
      </c>
      <c r="J754" s="4" t="s">
        <v>2336</v>
      </c>
      <c r="K754" s="4" t="s">
        <v>221</v>
      </c>
      <c r="L754" s="4" t="s">
        <v>98</v>
      </c>
      <c r="M754" s="4" t="s">
        <v>2041</v>
      </c>
      <c r="N754" s="4" t="s">
        <v>45</v>
      </c>
      <c r="O754" s="4" t="s">
        <v>25</v>
      </c>
      <c r="P754" s="4" t="s">
        <v>50</v>
      </c>
      <c r="Q754" s="4" t="s">
        <v>93</v>
      </c>
      <c r="R754" s="4"/>
    </row>
    <row r="755" spans="1:18">
      <c r="A755" s="17">
        <v>754</v>
      </c>
      <c r="B755" s="3">
        <v>46213.6336689815</v>
      </c>
      <c r="C755" s="3">
        <v>46213.636250000003</v>
      </c>
      <c r="D755" s="4" t="s">
        <v>18</v>
      </c>
      <c r="E755" s="4"/>
      <c r="F755" s="1">
        <v>46213</v>
      </c>
      <c r="G755" s="5" t="s">
        <v>2261</v>
      </c>
      <c r="H755" s="4" t="s">
        <v>2337</v>
      </c>
      <c r="I755" s="5" t="s">
        <v>2338</v>
      </c>
      <c r="J755" s="4" t="s">
        <v>2339</v>
      </c>
      <c r="K755" s="4" t="s">
        <v>191</v>
      </c>
      <c r="L755" s="4" t="s">
        <v>148</v>
      </c>
      <c r="M755" s="4" t="s">
        <v>33</v>
      </c>
      <c r="N755" s="4" t="s">
        <v>2014</v>
      </c>
      <c r="O755" s="4" t="s">
        <v>25</v>
      </c>
      <c r="P755" s="4" t="s">
        <v>36</v>
      </c>
      <c r="Q755" s="4" t="s">
        <v>79</v>
      </c>
      <c r="R755" s="4"/>
    </row>
    <row r="756" spans="1:18">
      <c r="A756" s="17">
        <v>755</v>
      </c>
      <c r="B756" s="3">
        <v>46213.706504629597</v>
      </c>
      <c r="C756" s="3">
        <v>46213.708136574103</v>
      </c>
      <c r="D756" s="4" t="s">
        <v>18</v>
      </c>
      <c r="E756" s="4"/>
      <c r="F756" s="1">
        <v>46213</v>
      </c>
      <c r="G756" s="5" t="s">
        <v>174</v>
      </c>
      <c r="H756" s="4" t="s">
        <v>174</v>
      </c>
      <c r="I756" s="5" t="s">
        <v>2340</v>
      </c>
      <c r="J756" s="4" t="s">
        <v>2341</v>
      </c>
      <c r="K756" s="4" t="s">
        <v>2342</v>
      </c>
      <c r="L756" s="4" t="s">
        <v>148</v>
      </c>
      <c r="M756" s="4" t="s">
        <v>2041</v>
      </c>
      <c r="N756" s="4" t="s">
        <v>33</v>
      </c>
      <c r="O756" s="4" t="s">
        <v>25</v>
      </c>
      <c r="P756" s="4" t="s">
        <v>36</v>
      </c>
      <c r="Q756" s="4" t="s">
        <v>79</v>
      </c>
      <c r="R756" s="4"/>
    </row>
    <row r="757" spans="1:18">
      <c r="A757" s="17">
        <v>756</v>
      </c>
      <c r="B757" s="3">
        <v>46213.708275463003</v>
      </c>
      <c r="C757" s="3">
        <v>46213.711956018502</v>
      </c>
      <c r="D757" s="4" t="s">
        <v>18</v>
      </c>
      <c r="E757" s="4"/>
      <c r="F757" s="1">
        <v>46213</v>
      </c>
      <c r="G757" s="5" t="s">
        <v>174</v>
      </c>
      <c r="H757" s="4" t="s">
        <v>174</v>
      </c>
      <c r="I757" s="5" t="s">
        <v>2343</v>
      </c>
      <c r="J757" s="4" t="s">
        <v>2344</v>
      </c>
      <c r="K757" s="4" t="s">
        <v>2345</v>
      </c>
      <c r="L757" s="4" t="s">
        <v>148</v>
      </c>
      <c r="M757" s="4" t="s">
        <v>45</v>
      </c>
      <c r="N757" s="4" t="s">
        <v>33</v>
      </c>
      <c r="O757" s="4" t="s">
        <v>25</v>
      </c>
      <c r="P757" s="4" t="s">
        <v>36</v>
      </c>
      <c r="Q757" s="4" t="s">
        <v>79</v>
      </c>
      <c r="R757" s="4"/>
    </row>
    <row r="758" spans="1:18">
      <c r="A758" s="17">
        <v>757</v>
      </c>
      <c r="B758" s="3">
        <v>46213.7192476852</v>
      </c>
      <c r="C758" s="3">
        <v>46213.720671296302</v>
      </c>
      <c r="D758" s="4" t="s">
        <v>18</v>
      </c>
      <c r="E758" s="4"/>
      <c r="F758" s="1">
        <v>46213</v>
      </c>
      <c r="G758" s="5" t="s">
        <v>1541</v>
      </c>
      <c r="H758" s="4" t="s">
        <v>19</v>
      </c>
      <c r="I758" s="5" t="s">
        <v>2346</v>
      </c>
      <c r="J758" s="4" t="s">
        <v>2347</v>
      </c>
      <c r="K758" s="4" t="s">
        <v>22</v>
      </c>
      <c r="L758" s="4" t="s">
        <v>23</v>
      </c>
      <c r="M758" s="4" t="s">
        <v>33</v>
      </c>
      <c r="N758" s="4" t="s">
        <v>2014</v>
      </c>
      <c r="O758" s="4" t="s">
        <v>25</v>
      </c>
      <c r="P758" s="4" t="s">
        <v>26</v>
      </c>
      <c r="Q758" s="4" t="s">
        <v>27</v>
      </c>
      <c r="R758" s="4"/>
    </row>
    <row r="759" spans="1:18">
      <c r="A759" s="17">
        <v>758</v>
      </c>
      <c r="B759" s="3">
        <v>46213.725370370397</v>
      </c>
      <c r="C759" s="3">
        <v>46213.726689814801</v>
      </c>
      <c r="D759" s="4" t="s">
        <v>18</v>
      </c>
      <c r="E759" s="4"/>
      <c r="F759" s="1">
        <v>46213</v>
      </c>
      <c r="G759" s="5" t="s">
        <v>458</v>
      </c>
      <c r="H759" s="4" t="s">
        <v>458</v>
      </c>
      <c r="I759" s="5" t="s">
        <v>2348</v>
      </c>
      <c r="J759" s="4" t="s">
        <v>2349</v>
      </c>
      <c r="K759" s="4" t="s">
        <v>1555</v>
      </c>
      <c r="L759" s="4" t="s">
        <v>91</v>
      </c>
      <c r="M759" s="4" t="s">
        <v>33</v>
      </c>
      <c r="N759" s="4" t="s">
        <v>2014</v>
      </c>
      <c r="O759" s="4" t="s">
        <v>25</v>
      </c>
      <c r="P759" s="4" t="s">
        <v>50</v>
      </c>
      <c r="Q759" s="4" t="s">
        <v>79</v>
      </c>
      <c r="R759" s="4"/>
    </row>
    <row r="760" spans="1:18">
      <c r="A760" s="17">
        <v>759</v>
      </c>
      <c r="B760" s="3">
        <v>46213.728125000001</v>
      </c>
      <c r="C760" s="3">
        <v>46213.729108796302</v>
      </c>
      <c r="D760" s="4" t="s">
        <v>18</v>
      </c>
      <c r="E760" s="4"/>
      <c r="F760" s="1">
        <v>46213</v>
      </c>
      <c r="G760" s="5" t="s">
        <v>458</v>
      </c>
      <c r="H760" s="4" t="s">
        <v>83</v>
      </c>
      <c r="I760" s="5" t="s">
        <v>2350</v>
      </c>
      <c r="J760" s="4" t="s">
        <v>2351</v>
      </c>
      <c r="K760" s="4" t="s">
        <v>899</v>
      </c>
      <c r="L760" s="4" t="s">
        <v>91</v>
      </c>
      <c r="M760" s="4" t="s">
        <v>33</v>
      </c>
      <c r="N760" s="4" t="s">
        <v>45</v>
      </c>
      <c r="O760" s="4" t="s">
        <v>25</v>
      </c>
      <c r="P760" s="4" t="s">
        <v>50</v>
      </c>
      <c r="Q760" s="4" t="s">
        <v>27</v>
      </c>
      <c r="R760" s="4"/>
    </row>
    <row r="761" spans="1:18">
      <c r="A761" s="17">
        <v>760</v>
      </c>
      <c r="B761" s="3">
        <v>46213.730162036998</v>
      </c>
      <c r="C761" s="3">
        <v>46213.731423611098</v>
      </c>
      <c r="D761" s="4" t="s">
        <v>18</v>
      </c>
      <c r="E761" s="4"/>
      <c r="F761" s="1">
        <v>46213</v>
      </c>
      <c r="G761" s="5" t="s">
        <v>714</v>
      </c>
      <c r="H761" s="4" t="s">
        <v>2352</v>
      </c>
      <c r="I761" s="5" t="s">
        <v>2353</v>
      </c>
      <c r="J761" s="4" t="s">
        <v>2354</v>
      </c>
      <c r="K761" s="4" t="s">
        <v>2355</v>
      </c>
      <c r="L761" s="4" t="s">
        <v>1560</v>
      </c>
      <c r="M761" s="4" t="s">
        <v>2041</v>
      </c>
      <c r="N761" s="4" t="s">
        <v>33</v>
      </c>
      <c r="O761" s="4" t="s">
        <v>25</v>
      </c>
      <c r="P761" s="4" t="s">
        <v>36</v>
      </c>
      <c r="Q761" s="4" t="s">
        <v>93</v>
      </c>
      <c r="R761" s="4" t="s">
        <v>2247</v>
      </c>
    </row>
    <row r="762" spans="1:18">
      <c r="A762" s="17">
        <v>761</v>
      </c>
      <c r="B762" s="3">
        <v>46213.731550925899</v>
      </c>
      <c r="C762" s="3">
        <v>46213.733009259297</v>
      </c>
      <c r="D762" s="4" t="s">
        <v>18</v>
      </c>
      <c r="E762" s="4"/>
      <c r="F762" s="1">
        <v>46213</v>
      </c>
      <c r="G762" s="5" t="s">
        <v>714</v>
      </c>
      <c r="H762" s="4" t="s">
        <v>2352</v>
      </c>
      <c r="I762" s="5" t="s">
        <v>2356</v>
      </c>
      <c r="J762" s="4" t="s">
        <v>2357</v>
      </c>
      <c r="K762" s="4" t="s">
        <v>2358</v>
      </c>
      <c r="L762" s="4" t="s">
        <v>1560</v>
      </c>
      <c r="M762" s="4" t="s">
        <v>2041</v>
      </c>
      <c r="N762" s="4" t="s">
        <v>33</v>
      </c>
      <c r="O762" s="4" t="s">
        <v>35</v>
      </c>
      <c r="P762" s="4" t="s">
        <v>213</v>
      </c>
      <c r="Q762" s="4" t="s">
        <v>79</v>
      </c>
      <c r="R762" s="4" t="s">
        <v>2079</v>
      </c>
    </row>
    <row r="763" spans="1:18">
      <c r="A763" s="17">
        <v>762</v>
      </c>
      <c r="B763" s="3">
        <v>46213.733043981498</v>
      </c>
      <c r="C763" s="3">
        <v>46213.734004629601</v>
      </c>
      <c r="D763" s="4" t="s">
        <v>18</v>
      </c>
      <c r="E763" s="4"/>
      <c r="F763" s="1">
        <v>46213</v>
      </c>
      <c r="G763" s="5" t="s">
        <v>714</v>
      </c>
      <c r="H763" s="4" t="s">
        <v>714</v>
      </c>
      <c r="I763" s="5" t="s">
        <v>2359</v>
      </c>
      <c r="J763" s="4" t="s">
        <v>2360</v>
      </c>
      <c r="K763" s="4" t="s">
        <v>31</v>
      </c>
      <c r="L763" s="4" t="s">
        <v>1560</v>
      </c>
      <c r="M763" s="4" t="s">
        <v>2041</v>
      </c>
      <c r="N763" s="4" t="s">
        <v>33</v>
      </c>
      <c r="O763" s="4" t="s">
        <v>25</v>
      </c>
      <c r="P763" s="4" t="s">
        <v>50</v>
      </c>
      <c r="Q763" s="4" t="s">
        <v>27</v>
      </c>
      <c r="R763" s="4" t="s">
        <v>2079</v>
      </c>
    </row>
    <row r="764" spans="1:18">
      <c r="A764" s="17">
        <v>763</v>
      </c>
      <c r="B764" s="3">
        <v>46213.795081018499</v>
      </c>
      <c r="C764" s="3">
        <v>46213.7980439815</v>
      </c>
      <c r="D764" s="4" t="s">
        <v>18</v>
      </c>
      <c r="E764" s="4"/>
      <c r="F764" s="1">
        <v>46213</v>
      </c>
      <c r="G764" s="5" t="s">
        <v>2361</v>
      </c>
      <c r="H764" s="4" t="s">
        <v>758</v>
      </c>
      <c r="I764" s="5" t="s">
        <v>2362</v>
      </c>
      <c r="J764" s="4" t="s">
        <v>2363</v>
      </c>
      <c r="K764" s="4" t="s">
        <v>250</v>
      </c>
      <c r="L764" s="4" t="s">
        <v>148</v>
      </c>
      <c r="M764" s="4" t="s">
        <v>2041</v>
      </c>
      <c r="N764" s="4" t="s">
        <v>45</v>
      </c>
      <c r="O764" s="4" t="s">
        <v>35</v>
      </c>
      <c r="P764" s="4" t="s">
        <v>50</v>
      </c>
      <c r="Q764" s="4" t="s">
        <v>27</v>
      </c>
      <c r="R764" s="4"/>
    </row>
    <row r="765" spans="1:18">
      <c r="A765" s="17">
        <v>764</v>
      </c>
      <c r="B765" s="3">
        <v>46213.817905092597</v>
      </c>
      <c r="C765" s="3">
        <v>46213.8194097222</v>
      </c>
      <c r="D765" s="4" t="s">
        <v>18</v>
      </c>
      <c r="E765" s="4"/>
      <c r="F765" s="1">
        <v>46213</v>
      </c>
      <c r="G765" s="5" t="s">
        <v>2364</v>
      </c>
      <c r="H765" s="4" t="s">
        <v>1065</v>
      </c>
      <c r="I765" s="5" t="s">
        <v>2365</v>
      </c>
      <c r="J765" s="4" t="s">
        <v>2366</v>
      </c>
      <c r="K765" s="4" t="s">
        <v>2367</v>
      </c>
      <c r="L765" s="4" t="s">
        <v>32</v>
      </c>
      <c r="M765" s="4" t="s">
        <v>61</v>
      </c>
      <c r="N765" s="4" t="s">
        <v>2014</v>
      </c>
      <c r="O765" s="4" t="s">
        <v>35</v>
      </c>
      <c r="P765" s="4" t="s">
        <v>50</v>
      </c>
      <c r="Q765" s="4" t="s">
        <v>27</v>
      </c>
      <c r="R765" s="4"/>
    </row>
    <row r="766" spans="1:18">
      <c r="A766" s="17">
        <v>765</v>
      </c>
      <c r="B766" s="3">
        <v>46213.833518518499</v>
      </c>
      <c r="C766" s="3">
        <v>46213.835636574098</v>
      </c>
      <c r="D766" s="4" t="s">
        <v>18</v>
      </c>
      <c r="E766" s="4"/>
      <c r="F766" s="1">
        <v>46213</v>
      </c>
      <c r="G766" s="5" t="s">
        <v>2368</v>
      </c>
      <c r="H766" s="4" t="s">
        <v>2369</v>
      </c>
      <c r="I766" s="5" t="s">
        <v>2370</v>
      </c>
      <c r="J766" s="4" t="s">
        <v>2371</v>
      </c>
      <c r="K766" s="4" t="s">
        <v>22</v>
      </c>
      <c r="L766" s="4" t="s">
        <v>32</v>
      </c>
      <c r="M766" s="4" t="s">
        <v>45</v>
      </c>
      <c r="N766" s="4" t="s">
        <v>2014</v>
      </c>
      <c r="O766" s="4" t="s">
        <v>25</v>
      </c>
      <c r="P766" s="4" t="s">
        <v>69</v>
      </c>
      <c r="Q766" s="4" t="s">
        <v>93</v>
      </c>
      <c r="R766" s="4"/>
    </row>
    <row r="767" spans="1:18">
      <c r="A767" s="17">
        <v>766</v>
      </c>
      <c r="B767" s="3">
        <v>46213.857037037</v>
      </c>
      <c r="C767" s="3">
        <v>46213.858055555596</v>
      </c>
      <c r="D767" s="4" t="s">
        <v>18</v>
      </c>
      <c r="E767" s="4"/>
      <c r="F767" s="1">
        <v>46213</v>
      </c>
      <c r="G767" s="5" t="s">
        <v>2372</v>
      </c>
      <c r="H767" s="4" t="s">
        <v>2372</v>
      </c>
      <c r="I767" s="5" t="s">
        <v>2373</v>
      </c>
      <c r="J767" s="4" t="s">
        <v>2374</v>
      </c>
      <c r="K767" s="4" t="s">
        <v>1407</v>
      </c>
      <c r="L767" s="4" t="s">
        <v>91</v>
      </c>
      <c r="M767" s="4" t="s">
        <v>33</v>
      </c>
      <c r="N767" s="4" t="s">
        <v>45</v>
      </c>
      <c r="O767" s="4" t="s">
        <v>25</v>
      </c>
      <c r="P767" s="4" t="s">
        <v>50</v>
      </c>
      <c r="Q767" s="4" t="s">
        <v>79</v>
      </c>
      <c r="R767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7EFD-C77C-4983-84F5-0A59BCB34484}">
  <dimension ref="A1:F7"/>
  <sheetViews>
    <sheetView workbookViewId="0">
      <selection activeCell="F2" sqref="F2"/>
    </sheetView>
  </sheetViews>
  <sheetFormatPr defaultRowHeight="15"/>
  <sheetData>
    <row r="1" spans="1:6">
      <c r="A1" t="s">
        <v>2375</v>
      </c>
      <c r="C1" t="s">
        <v>2376</v>
      </c>
      <c r="F1" t="s">
        <v>2377</v>
      </c>
    </row>
    <row r="2" spans="1:6">
      <c r="A2" t="str" cm="1">
        <f t="array" ref="A2:A7">_xlfn.VSTACK(_xlfn._xlws.FILTER(PTWAuditTable[1st Category of Observation],VALUE(PTWAuditTable[1st Severity])&gt;=4,""),_xlfn._xlws.FILTER(PTWAuditTable[2nd Category of Observation],VALUE(PTWAuditTable[2nd Severity])&gt;=4,""),_xlfn._xlws.FILTER(PTWAuditTable[3rd Category of Observation],VALUE(PTWAuditTable[3rd Severity])&gt;=4,""),_xlfn._xlws.FILTER(PTWAuditTable[4th Category of Observation],VALUE(PTWAuditTable[4th Severity])&gt;=4,""),_xlfn._xlws.FILTER(PTWAuditTable[5th Category of Observation],VALUE(PTWAuditTable[5th Severity])&gt;=4,""))</f>
        <v>Behavioral Issue -Unsafe Act</v>
      </c>
      <c r="C2" t="str" cm="1">
        <f t="array" ref="C2:D4">_xlfn._xlws.SORT(_xlfn.LET(_xlpm.obs,_xlfn.ANCHORARRAY(A2),_xlpm.u,_xlfn.UNIQUE(_xlpm.obs),_xlfn.HSTACK(_xlpm.u,COUNTIF(_xlpm.obs,_xlpm.u))),2,-1)</f>
        <v/>
      </c>
      <c r="D2">
        <v>4</v>
      </c>
      <c r="F2" t="str" cm="1">
        <f t="array" ref="F2:F7">_xlfn.VSTACK(_xlfn._xlws.FILTER(PTWAuditTable[1st Observation],VALUE(PTWAuditTable[1st Severity])&gt;=4,""),_xlfn._xlws.FILTER(PTWAuditTable[2nd Observation],VALUE(PTWAuditTable[2nd Severity])&gt;=4,""),_xlfn._xlws.FILTER(PTWAuditTable[3rd Observation],VALUE(PTWAuditTable[3rd Severity])&gt;=4,""),_xlfn._xlws.FILTER(PTWAuditTable[4th Observation],VALUE(PTWAuditTable[4th Severity])&gt;=4,""),_xlfn._xlws.FILTER(PTWAuditTable[5th Observation],VALUE(PTWAuditTable[5th Severity])&gt;=4,""))</f>
        <v xml:space="preserve">Person standing on block at height unsafe </v>
      </c>
    </row>
    <row r="3" spans="1:6">
      <c r="A3" t="str">
        <v>Electrical safety</v>
      </c>
      <c r="C3" s="8" t="str">
        <v>Behavioral Issue -Unsafe Act</v>
      </c>
      <c r="D3" s="8">
        <v>1</v>
      </c>
      <c r="F3" t="str">
        <v xml:space="preserve">Lifting aLifting activity started without protecting the electrical panel. </v>
      </c>
    </row>
    <row r="4" spans="1:6">
      <c r="A4" t="str">
        <v/>
      </c>
      <c r="C4" s="8" t="str">
        <v>Electrical safety</v>
      </c>
      <c r="D4" s="8">
        <v>1</v>
      </c>
      <c r="F4" t="str">
        <v/>
      </c>
    </row>
    <row r="5" spans="1:6">
      <c r="A5" t="str">
        <v/>
      </c>
      <c r="C5" s="8"/>
      <c r="D5" s="8"/>
      <c r="F5" t="str">
        <v/>
      </c>
    </row>
    <row r="6" spans="1:6">
      <c r="A6" t="str">
        <v/>
      </c>
      <c r="F6" t="str">
        <v/>
      </c>
    </row>
    <row r="7" spans="1:6">
      <c r="A7" t="str">
        <v/>
      </c>
      <c r="F7" t="str"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4961-54D8-4068-9A72-A5712003F011}">
  <dimension ref="A1:F15"/>
  <sheetViews>
    <sheetView workbookViewId="0">
      <selection activeCell="G3" sqref="G3"/>
    </sheetView>
  </sheetViews>
  <sheetFormatPr defaultRowHeight="15"/>
  <cols>
    <col min="3" max="3" width="7.28515625" customWidth="1"/>
    <col min="4" max="4" width="10.5703125" customWidth="1"/>
    <col min="6" max="6" width="12" customWidth="1"/>
  </cols>
  <sheetData>
    <row r="1" spans="1:6">
      <c r="A1" t="s">
        <v>2378</v>
      </c>
      <c r="B1" t="s">
        <v>2379</v>
      </c>
      <c r="E1" s="8" t="s">
        <v>2378</v>
      </c>
      <c r="F1" s="8" t="s">
        <v>2379</v>
      </c>
    </row>
    <row r="2" spans="1:6">
      <c r="A2" t="str" cm="1">
        <f t="array" ref="A2:A9">_xlfn._xlws.SORT(_xlfn.UNIQUE(_xlfn._xlws.FILTER(PTWAuditTable[Contractor],PTWAuditTable[Contractor]&lt;&gt;"")))</f>
        <v xml:space="preserve">Aalanaa </v>
      </c>
      <c r="B2">
        <f>COUNTIFS(PTWAuditTable[Contractor],A2,PTWAuditTable[1st Observation],"&lt;&gt;")+COUNTIFS(PTWAuditTable[Contractor],A2,PTWAuditTable[2nd Observation],"&lt;&gt;")+COUNTIFS(PTWAuditTable[Contractor],A2,PTWAuditTable[3rd Observation],"&lt;&gt;")+COUNTIFS(PTWAuditTable[Contractor],A2,PTWAuditTable[4th Observation],"&lt;&gt;")+COUNTIFS(PTWAuditTable[Contractor],A2,PTWAuditTable[5th Observation],"&lt;&gt;")</f>
        <v>3</v>
      </c>
      <c r="E2" s="8" t="str" cm="1">
        <f t="array" ref="E2:F15">_xlfn._xlws.SORT(A2:B15,2,-1)</f>
        <v>Fluidline</v>
      </c>
      <c r="F2" s="8">
        <v>19</v>
      </c>
    </row>
    <row r="3" spans="1:6">
      <c r="A3" t="str">
        <v>CCEPL</v>
      </c>
      <c r="B3">
        <f>COUNTIFS(PTWAuditTable[Contractor],A3,PTWAuditTable[1st Observation],"&lt;&gt;")+COUNTIFS(PTWAuditTable[Contractor],A3,PTWAuditTable[2nd Observation],"&lt;&gt;")+COUNTIFS(PTWAuditTable[Contractor],A3,PTWAuditTable[3rd Observation],"&lt;&gt;")+COUNTIFS(PTWAuditTable[Contractor],A3,PTWAuditTable[4th Observation],"&lt;&gt;")+COUNTIFS(PTWAuditTable[Contractor],A3,PTWAuditTable[5th Observation],"&lt;&gt;")</f>
        <v>5</v>
      </c>
      <c r="E3" s="8" t="str">
        <v>Crescon</v>
      </c>
      <c r="F3" s="8">
        <v>11</v>
      </c>
    </row>
    <row r="4" spans="1:6">
      <c r="A4" t="str">
        <v>Crescon</v>
      </c>
      <c r="B4">
        <f>COUNTIFS(PTWAuditTable[Contractor],A4,PTWAuditTable[1st Observation],"&lt;&gt;")+COUNTIFS(PTWAuditTable[Contractor],A4,PTWAuditTable[2nd Observation],"&lt;&gt;")+COUNTIFS(PTWAuditTable[Contractor],A4,PTWAuditTable[3rd Observation],"&lt;&gt;")+COUNTIFS(PTWAuditTable[Contractor],A4,PTWAuditTable[4th Observation],"&lt;&gt;")+COUNTIFS(PTWAuditTable[Contractor],A4,PTWAuditTable[5th Observation],"&lt;&gt;")</f>
        <v>11</v>
      </c>
      <c r="E4" s="8" t="str">
        <v>CCEPL</v>
      </c>
      <c r="F4" s="8">
        <v>5</v>
      </c>
    </row>
    <row r="5" spans="1:6">
      <c r="A5" t="str">
        <v>Esspee</v>
      </c>
      <c r="B5">
        <f>COUNTIFS(PTWAuditTable[Contractor],A5,PTWAuditTable[1st Observation],"&lt;&gt;")+COUNTIFS(PTWAuditTable[Contractor],A5,PTWAuditTable[2nd Observation],"&lt;&gt;")+COUNTIFS(PTWAuditTable[Contractor],A5,PTWAuditTable[3rd Observation],"&lt;&gt;")+COUNTIFS(PTWAuditTable[Contractor],A5,PTWAuditTable[4th Observation],"&lt;&gt;")+COUNTIFS(PTWAuditTable[Contractor],A5,PTWAuditTable[5th Observation],"&lt;&gt;")</f>
        <v>5</v>
      </c>
      <c r="E5" s="8" t="str">
        <v>Esspee</v>
      </c>
      <c r="F5" s="8">
        <v>5</v>
      </c>
    </row>
    <row r="6" spans="1:6">
      <c r="A6" t="str">
        <v>Fluidline</v>
      </c>
      <c r="B6">
        <f>COUNTIFS(PTWAuditTable[Contractor],A6,PTWAuditTable[1st Observation],"&lt;&gt;")+COUNTIFS(PTWAuditTable[Contractor],A6,PTWAuditTable[2nd Observation],"&lt;&gt;")+COUNTIFS(PTWAuditTable[Contractor],A6,PTWAuditTable[3rd Observation],"&lt;&gt;")+COUNTIFS(PTWAuditTable[Contractor],A6,PTWAuditTable[4th Observation],"&lt;&gt;")+COUNTIFS(PTWAuditTable[Contractor],A6,PTWAuditTable[5th Observation],"&lt;&gt;")</f>
        <v>19</v>
      </c>
      <c r="E6" s="8" t="str">
        <v>GEA</v>
      </c>
      <c r="F6" s="8">
        <v>5</v>
      </c>
    </row>
    <row r="7" spans="1:6">
      <c r="A7" t="str">
        <v>GEA</v>
      </c>
      <c r="B7">
        <f>COUNTIFS(PTWAuditTable[Contractor],A7,PTWAuditTable[1st Observation],"&lt;&gt;")+COUNTIFS(PTWAuditTable[Contractor],A7,PTWAuditTable[2nd Observation],"&lt;&gt;")+COUNTIFS(PTWAuditTable[Contractor],A7,PTWAuditTable[3rd Observation],"&lt;&gt;")+COUNTIFS(PTWAuditTable[Contractor],A7,PTWAuditTable[4th Observation],"&lt;&gt;")+COUNTIFS(PTWAuditTable[Contractor],A7,PTWAuditTable[5th Observation],"&lt;&gt;")</f>
        <v>5</v>
      </c>
      <c r="E7" s="8" t="str">
        <v xml:space="preserve">Aalanaa </v>
      </c>
      <c r="F7" s="8">
        <v>3</v>
      </c>
    </row>
    <row r="8" spans="1:6">
      <c r="A8" t="str">
        <v xml:space="preserve">KC flooring </v>
      </c>
      <c r="B8">
        <f>COUNTIFS(PTWAuditTable[Contractor],A8,PTWAuditTable[1st Observation],"&lt;&gt;")+COUNTIFS(PTWAuditTable[Contractor],A8,PTWAuditTable[2nd Observation],"&lt;&gt;")+COUNTIFS(PTWAuditTable[Contractor],A8,PTWAuditTable[3rd Observation],"&lt;&gt;")+COUNTIFS(PTWAuditTable[Contractor],A8,PTWAuditTable[4th Observation],"&lt;&gt;")+COUNTIFS(PTWAuditTable[Contractor],A8,PTWAuditTable[5th Observation],"&lt;&gt;")</f>
        <v>2</v>
      </c>
      <c r="E8" s="8" t="str">
        <v>Satnam</v>
      </c>
      <c r="F8" s="8">
        <v>3</v>
      </c>
    </row>
    <row r="9" spans="1:6">
      <c r="A9" t="str">
        <v>Satnam</v>
      </c>
      <c r="B9">
        <f>COUNTIFS(PTWAuditTable[Contractor],A9,PTWAuditTable[1st Observation],"&lt;&gt;")+COUNTIFS(PTWAuditTable[Contractor],A9,PTWAuditTable[2nd Observation],"&lt;&gt;")+COUNTIFS(PTWAuditTable[Contractor],A9,PTWAuditTable[3rd Observation],"&lt;&gt;")+COUNTIFS(PTWAuditTable[Contractor],A9,PTWAuditTable[4th Observation],"&lt;&gt;")+COUNTIFS(PTWAuditTable[Contractor],A9,PTWAuditTable[5th Observation],"&lt;&gt;")</f>
        <v>3</v>
      </c>
      <c r="E9" s="8" t="str">
        <v xml:space="preserve">KC flooring </v>
      </c>
      <c r="F9" s="8">
        <v>2</v>
      </c>
    </row>
    <row r="10" spans="1:6">
      <c r="D10" s="15" t="s">
        <v>2380</v>
      </c>
      <c r="E10" s="8">
        <v>0</v>
      </c>
      <c r="F10" s="8">
        <v>0</v>
      </c>
    </row>
    <row r="11" spans="1:6">
      <c r="D11" s="15"/>
      <c r="E11" s="8">
        <v>0</v>
      </c>
      <c r="F11" s="8">
        <v>0</v>
      </c>
    </row>
    <row r="12" spans="1:6">
      <c r="D12" s="15"/>
      <c r="E12" s="8">
        <v>0</v>
      </c>
      <c r="F12" s="8">
        <v>0</v>
      </c>
    </row>
    <row r="13" spans="1:6">
      <c r="D13" s="15"/>
      <c r="E13" s="8">
        <v>0</v>
      </c>
      <c r="F13" s="8">
        <v>0</v>
      </c>
    </row>
    <row r="14" spans="1:6">
      <c r="D14" s="15"/>
      <c r="E14" s="8">
        <v>0</v>
      </c>
      <c r="F14" s="8">
        <v>0</v>
      </c>
    </row>
    <row r="15" spans="1:6">
      <c r="D15" s="15"/>
      <c r="E15" s="8">
        <v>0</v>
      </c>
      <c r="F15" s="8">
        <v>0</v>
      </c>
    </row>
  </sheetData>
  <mergeCells count="1">
    <mergeCell ref="D10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51D6-6CC3-4DAB-AC44-06FE21DDC2C5}">
  <dimension ref="A1:AA39"/>
  <sheetViews>
    <sheetView topLeftCell="F44" zoomScale="66" workbookViewId="0">
      <selection activeCell="K54" sqref="K54"/>
    </sheetView>
  </sheetViews>
  <sheetFormatPr defaultRowHeight="15"/>
  <cols>
    <col min="1" max="1" width="24.5703125" bestFit="1" customWidth="1"/>
    <col min="2" max="2" width="14" bestFit="1" customWidth="1"/>
    <col min="6" max="6" width="20.85546875" customWidth="1"/>
    <col min="11" max="11" width="111.42578125" bestFit="1" customWidth="1"/>
    <col min="12" max="12" width="14.85546875" customWidth="1"/>
    <col min="13" max="13" width="15.7109375" customWidth="1"/>
  </cols>
  <sheetData>
    <row r="1" spans="1:27">
      <c r="A1" t="s">
        <v>2</v>
      </c>
      <c r="B1" t="s">
        <v>2381</v>
      </c>
      <c r="C1" t="s">
        <v>2382</v>
      </c>
      <c r="D1" t="s">
        <v>2383</v>
      </c>
      <c r="E1" t="s">
        <v>8</v>
      </c>
      <c r="F1" t="s">
        <v>2384</v>
      </c>
      <c r="G1" t="s">
        <v>2378</v>
      </c>
      <c r="H1" t="s">
        <v>2385</v>
      </c>
      <c r="I1" t="s">
        <v>2386</v>
      </c>
      <c r="J1" t="s">
        <v>2387</v>
      </c>
      <c r="K1" t="s">
        <v>2388</v>
      </c>
      <c r="L1" t="s">
        <v>2389</v>
      </c>
      <c r="M1" t="s">
        <v>2390</v>
      </c>
      <c r="N1" t="s">
        <v>2391</v>
      </c>
      <c r="O1" t="s">
        <v>2392</v>
      </c>
      <c r="P1" t="s">
        <v>2393</v>
      </c>
      <c r="Q1" t="s">
        <v>2394</v>
      </c>
      <c r="R1" t="s">
        <v>2395</v>
      </c>
      <c r="S1" t="s">
        <v>2396</v>
      </c>
      <c r="T1" t="s">
        <v>2397</v>
      </c>
      <c r="U1" t="s">
        <v>2398</v>
      </c>
      <c r="V1" t="s">
        <v>2399</v>
      </c>
      <c r="W1" t="s">
        <v>2400</v>
      </c>
      <c r="X1" t="s">
        <v>2401</v>
      </c>
      <c r="Y1" t="s">
        <v>2402</v>
      </c>
      <c r="AA1" t="s">
        <v>2403</v>
      </c>
    </row>
    <row r="2" spans="1:27" hidden="1">
      <c r="A2" s="3">
        <v>46203.687199074076</v>
      </c>
      <c r="B2" s="1">
        <v>46203</v>
      </c>
      <c r="C2" t="s">
        <v>2404</v>
      </c>
      <c r="D2" t="s">
        <v>2405</v>
      </c>
      <c r="E2" s="2" t="s">
        <v>1794</v>
      </c>
      <c r="F2" t="s">
        <v>2406</v>
      </c>
      <c r="G2" t="s">
        <v>23</v>
      </c>
      <c r="H2" t="s">
        <v>2407</v>
      </c>
      <c r="I2" t="s">
        <v>60</v>
      </c>
      <c r="J2" t="s">
        <v>33</v>
      </c>
      <c r="K2" t="s">
        <v>2408</v>
      </c>
      <c r="L2" t="s">
        <v>2409</v>
      </c>
      <c r="M2" s="2">
        <v>3</v>
      </c>
      <c r="N2" t="s">
        <v>2410</v>
      </c>
      <c r="O2" t="s">
        <v>2411</v>
      </c>
      <c r="P2" s="2" t="s">
        <v>2412</v>
      </c>
      <c r="X2" s="4"/>
      <c r="Y2" s="4"/>
      <c r="AA2">
        <f>COUNTA(_xlfn.UNIQUE(PTWAuditTable[PTW No]))</f>
        <v>33</v>
      </c>
    </row>
    <row r="3" spans="1:27" hidden="1">
      <c r="A3" s="3">
        <v>46203.714050925926</v>
      </c>
      <c r="B3" s="1">
        <v>46203</v>
      </c>
      <c r="C3" t="s">
        <v>2404</v>
      </c>
      <c r="D3" t="s">
        <v>2405</v>
      </c>
      <c r="E3" s="2" t="s">
        <v>1791</v>
      </c>
      <c r="F3" t="s">
        <v>2413</v>
      </c>
      <c r="G3" t="s">
        <v>2414</v>
      </c>
      <c r="H3" t="s">
        <v>2407</v>
      </c>
      <c r="I3" t="s">
        <v>60</v>
      </c>
      <c r="J3" t="s">
        <v>33</v>
      </c>
      <c r="K3" t="s">
        <v>2415</v>
      </c>
      <c r="L3" t="s">
        <v>2416</v>
      </c>
      <c r="M3" s="2" t="s">
        <v>2417</v>
      </c>
      <c r="N3" t="s">
        <v>2418</v>
      </c>
      <c r="O3" t="s">
        <v>2419</v>
      </c>
      <c r="P3" s="2" t="s">
        <v>2417</v>
      </c>
      <c r="X3" s="4"/>
      <c r="Y3" s="4"/>
    </row>
    <row r="4" spans="1:27" hidden="1">
      <c r="A4" s="3">
        <v>46204.001516203702</v>
      </c>
      <c r="B4" s="1">
        <v>46203</v>
      </c>
      <c r="C4" t="s">
        <v>2420</v>
      </c>
      <c r="D4" t="s">
        <v>2405</v>
      </c>
      <c r="E4" s="2" t="s">
        <v>1843</v>
      </c>
      <c r="F4" t="s">
        <v>2421</v>
      </c>
      <c r="G4" t="s">
        <v>44</v>
      </c>
      <c r="H4" t="s">
        <v>1212</v>
      </c>
      <c r="I4" t="s">
        <v>60</v>
      </c>
      <c r="J4" t="s">
        <v>2422</v>
      </c>
      <c r="K4" t="s">
        <v>2423</v>
      </c>
      <c r="L4" t="s">
        <v>2424</v>
      </c>
      <c r="M4" s="2" t="s">
        <v>2412</v>
      </c>
      <c r="X4" s="4"/>
      <c r="Y4" s="4"/>
    </row>
    <row r="5" spans="1:27" hidden="1">
      <c r="A5" s="3">
        <v>46204.003611111111</v>
      </c>
      <c r="B5" s="1">
        <v>46203</v>
      </c>
      <c r="C5" t="s">
        <v>2425</v>
      </c>
      <c r="D5" t="s">
        <v>2405</v>
      </c>
      <c r="E5" s="2" t="s">
        <v>1838</v>
      </c>
      <c r="F5" t="s">
        <v>2426</v>
      </c>
      <c r="G5" t="s">
        <v>44</v>
      </c>
      <c r="H5" t="s">
        <v>1212</v>
      </c>
      <c r="I5" t="s">
        <v>60</v>
      </c>
      <c r="J5" t="s">
        <v>2422</v>
      </c>
      <c r="K5" t="s">
        <v>2427</v>
      </c>
      <c r="L5" t="s">
        <v>2428</v>
      </c>
      <c r="M5" s="2" t="s">
        <v>2417</v>
      </c>
      <c r="X5" s="4"/>
      <c r="Y5" s="4"/>
    </row>
    <row r="6" spans="1:27" hidden="1">
      <c r="A6" s="3">
        <v>46204.503935185188</v>
      </c>
      <c r="B6" s="1">
        <v>46204</v>
      </c>
      <c r="C6" t="s">
        <v>2429</v>
      </c>
      <c r="D6" t="s">
        <v>2430</v>
      </c>
      <c r="E6" s="2" t="s">
        <v>2431</v>
      </c>
      <c r="F6" t="s">
        <v>2413</v>
      </c>
      <c r="G6" t="s">
        <v>2432</v>
      </c>
      <c r="H6" t="s">
        <v>2433</v>
      </c>
      <c r="I6" t="s">
        <v>2434</v>
      </c>
      <c r="J6" t="s">
        <v>45</v>
      </c>
      <c r="K6" t="s">
        <v>2435</v>
      </c>
      <c r="L6" t="s">
        <v>2436</v>
      </c>
      <c r="M6" s="2" t="s">
        <v>2417</v>
      </c>
      <c r="N6" t="s">
        <v>2437</v>
      </c>
      <c r="O6" t="s">
        <v>2428</v>
      </c>
      <c r="P6" s="2" t="s">
        <v>2417</v>
      </c>
    </row>
    <row r="7" spans="1:27" hidden="1">
      <c r="A7" s="3">
        <v>46204.519884259258</v>
      </c>
      <c r="B7" s="1">
        <v>46204</v>
      </c>
      <c r="C7" t="s">
        <v>2429</v>
      </c>
      <c r="D7" t="s">
        <v>2405</v>
      </c>
      <c r="E7" s="2" t="s">
        <v>1880</v>
      </c>
      <c r="F7" t="s">
        <v>2413</v>
      </c>
      <c r="G7" t="s">
        <v>2438</v>
      </c>
      <c r="H7" t="s">
        <v>2439</v>
      </c>
      <c r="I7" t="s">
        <v>896</v>
      </c>
      <c r="J7" t="s">
        <v>33</v>
      </c>
      <c r="K7" t="s">
        <v>2440</v>
      </c>
      <c r="L7" t="s">
        <v>2419</v>
      </c>
      <c r="M7" s="2" t="s">
        <v>2417</v>
      </c>
      <c r="N7" t="s">
        <v>2441</v>
      </c>
      <c r="O7" t="s">
        <v>2428</v>
      </c>
      <c r="P7" s="2" t="s">
        <v>2417</v>
      </c>
      <c r="Q7" t="s">
        <v>2442</v>
      </c>
      <c r="R7" t="s">
        <v>2436</v>
      </c>
      <c r="S7" s="2" t="s">
        <v>2412</v>
      </c>
    </row>
    <row r="8" spans="1:27" hidden="1">
      <c r="A8" s="3">
        <v>46204.523368055554</v>
      </c>
      <c r="B8" s="1">
        <v>46204</v>
      </c>
      <c r="C8" t="s">
        <v>2429</v>
      </c>
      <c r="D8" t="s">
        <v>2405</v>
      </c>
      <c r="E8" s="2" t="s">
        <v>1864</v>
      </c>
      <c r="F8" t="s">
        <v>2406</v>
      </c>
      <c r="G8" t="s">
        <v>23</v>
      </c>
      <c r="H8" t="s">
        <v>424</v>
      </c>
      <c r="I8" t="s">
        <v>896</v>
      </c>
      <c r="J8" t="s">
        <v>33</v>
      </c>
      <c r="K8" t="s">
        <v>2443</v>
      </c>
      <c r="L8" t="s">
        <v>2424</v>
      </c>
      <c r="M8" s="2" t="s">
        <v>2417</v>
      </c>
    </row>
    <row r="9" spans="1:27" hidden="1">
      <c r="A9" s="3">
        <v>46204.525694444441</v>
      </c>
      <c r="B9" s="1">
        <v>46204</v>
      </c>
      <c r="C9" t="s">
        <v>2429</v>
      </c>
      <c r="D9" t="s">
        <v>2405</v>
      </c>
      <c r="E9" s="2" t="s">
        <v>1862</v>
      </c>
      <c r="F9" t="s">
        <v>2426</v>
      </c>
      <c r="G9" t="s">
        <v>23</v>
      </c>
      <c r="H9" t="s">
        <v>2439</v>
      </c>
      <c r="I9" t="s">
        <v>2444</v>
      </c>
      <c r="J9" t="s">
        <v>33</v>
      </c>
      <c r="K9" t="s">
        <v>2445</v>
      </c>
      <c r="L9" t="s">
        <v>2446</v>
      </c>
      <c r="M9" s="2" t="s">
        <v>2417</v>
      </c>
      <c r="N9" t="s">
        <v>2447</v>
      </c>
      <c r="O9" t="s">
        <v>2446</v>
      </c>
      <c r="P9" s="2" t="s">
        <v>2417</v>
      </c>
    </row>
    <row r="10" spans="1:27" hidden="1">
      <c r="A10" s="3">
        <v>46204.961064814801</v>
      </c>
      <c r="B10" s="1">
        <v>46204</v>
      </c>
      <c r="C10" s="4" t="s">
        <v>2404</v>
      </c>
      <c r="D10" s="4" t="s">
        <v>2405</v>
      </c>
      <c r="E10" s="5" t="s">
        <v>1911</v>
      </c>
      <c r="F10" s="4" t="s">
        <v>2413</v>
      </c>
      <c r="G10" s="4" t="s">
        <v>98</v>
      </c>
      <c r="H10" s="4" t="s">
        <v>2448</v>
      </c>
      <c r="I10" s="4" t="s">
        <v>819</v>
      </c>
      <c r="J10" s="4" t="s">
        <v>60</v>
      </c>
      <c r="K10" s="4" t="s">
        <v>2449</v>
      </c>
      <c r="L10" s="4" t="s">
        <v>2428</v>
      </c>
      <c r="M10" s="5" t="s">
        <v>2417</v>
      </c>
      <c r="N10" s="4"/>
      <c r="O10" s="4"/>
      <c r="P10" s="5"/>
      <c r="Q10" s="4"/>
      <c r="R10" s="4"/>
      <c r="S10" s="4"/>
      <c r="T10" s="4"/>
      <c r="U10" s="4"/>
      <c r="V10" s="4"/>
    </row>
    <row r="11" spans="1:27" hidden="1">
      <c r="A11" s="3">
        <v>46205.120983796303</v>
      </c>
      <c r="B11" s="1">
        <v>46204</v>
      </c>
      <c r="C11" s="4" t="s">
        <v>2404</v>
      </c>
      <c r="D11" s="4" t="s">
        <v>2405</v>
      </c>
      <c r="E11" s="5" t="s">
        <v>1862</v>
      </c>
      <c r="F11" s="4" t="s">
        <v>2406</v>
      </c>
      <c r="G11" s="4" t="s">
        <v>23</v>
      </c>
      <c r="H11" s="4" t="s">
        <v>2450</v>
      </c>
      <c r="I11" s="4" t="s">
        <v>819</v>
      </c>
      <c r="J11" s="4" t="s">
        <v>2444</v>
      </c>
      <c r="K11" s="4" t="s">
        <v>2451</v>
      </c>
      <c r="L11" s="4" t="s">
        <v>2446</v>
      </c>
      <c r="M11" s="5" t="s">
        <v>2417</v>
      </c>
      <c r="N11" s="4"/>
      <c r="O11" s="4"/>
      <c r="P11" s="5"/>
      <c r="Q11" s="4"/>
      <c r="R11" s="4"/>
      <c r="S11" s="4"/>
      <c r="T11" s="4"/>
      <c r="U11" s="4"/>
      <c r="V11" s="4"/>
    </row>
    <row r="12" spans="1:27" hidden="1">
      <c r="A12" s="3">
        <v>46205.5228935185</v>
      </c>
      <c r="B12" s="1">
        <v>46205</v>
      </c>
      <c r="C12" s="4" t="s">
        <v>2420</v>
      </c>
      <c r="D12" s="4" t="s">
        <v>2405</v>
      </c>
      <c r="E12" s="5" t="s">
        <v>2452</v>
      </c>
      <c r="F12" s="4" t="s">
        <v>2421</v>
      </c>
      <c r="G12" s="4" t="s">
        <v>44</v>
      </c>
      <c r="H12" s="4" t="s">
        <v>31</v>
      </c>
      <c r="I12" s="4" t="s">
        <v>2422</v>
      </c>
      <c r="J12" s="4" t="s">
        <v>45</v>
      </c>
      <c r="K12" s="4" t="s">
        <v>2453</v>
      </c>
      <c r="L12" s="4" t="s">
        <v>2416</v>
      </c>
      <c r="M12" s="5" t="s">
        <v>2412</v>
      </c>
      <c r="N12" s="4"/>
      <c r="O12" s="4"/>
      <c r="P12" s="5"/>
      <c r="Q12" s="4"/>
      <c r="R12" s="4"/>
      <c r="S12" s="4"/>
      <c r="T12" s="4"/>
      <c r="U12" s="4"/>
      <c r="V12" s="4"/>
    </row>
    <row r="13" spans="1:27" hidden="1">
      <c r="A13" s="3">
        <v>46205.529571759304</v>
      </c>
      <c r="B13" s="1">
        <v>46205</v>
      </c>
      <c r="C13" s="4" t="s">
        <v>2420</v>
      </c>
      <c r="D13" s="4" t="s">
        <v>2405</v>
      </c>
      <c r="E13" s="5" t="s">
        <v>2454</v>
      </c>
      <c r="F13" s="4" t="s">
        <v>2413</v>
      </c>
      <c r="G13" s="4" t="s">
        <v>91</v>
      </c>
      <c r="H13" s="4" t="s">
        <v>2455</v>
      </c>
      <c r="I13" s="4" t="s">
        <v>45</v>
      </c>
      <c r="J13" s="4" t="s">
        <v>33</v>
      </c>
      <c r="K13" s="4" t="s">
        <v>2456</v>
      </c>
      <c r="L13" s="4" t="s">
        <v>2428</v>
      </c>
      <c r="M13" s="5" t="s">
        <v>2417</v>
      </c>
      <c r="N13" s="4"/>
      <c r="O13" s="4"/>
      <c r="P13" s="5"/>
      <c r="Q13" s="4"/>
      <c r="R13" s="4"/>
      <c r="S13" s="4"/>
      <c r="T13" s="4"/>
      <c r="U13" s="4"/>
      <c r="V13" s="4"/>
    </row>
    <row r="14" spans="1:27" hidden="1">
      <c r="A14" s="3">
        <v>46205.530868055597</v>
      </c>
      <c r="B14" s="1">
        <v>46205</v>
      </c>
      <c r="C14" s="4" t="s">
        <v>2420</v>
      </c>
      <c r="D14" s="4" t="s">
        <v>2405</v>
      </c>
      <c r="E14" s="5" t="s">
        <v>1952</v>
      </c>
      <c r="F14" s="4" t="s">
        <v>2406</v>
      </c>
      <c r="G14" s="4" t="s">
        <v>91</v>
      </c>
      <c r="H14" s="4" t="s">
        <v>2457</v>
      </c>
      <c r="I14" s="4" t="s">
        <v>45</v>
      </c>
      <c r="J14" s="4" t="s">
        <v>33</v>
      </c>
      <c r="K14" s="4" t="s">
        <v>2458</v>
      </c>
      <c r="L14" s="4" t="s">
        <v>2428</v>
      </c>
      <c r="M14" s="5" t="s">
        <v>2412</v>
      </c>
      <c r="N14" s="4"/>
      <c r="O14" s="4"/>
      <c r="P14" s="5"/>
      <c r="Q14" s="4"/>
      <c r="R14" s="4"/>
      <c r="S14" s="4"/>
      <c r="T14" s="4"/>
      <c r="U14" s="4"/>
      <c r="V14" s="4"/>
    </row>
    <row r="15" spans="1:27" hidden="1">
      <c r="A15" s="3">
        <v>46206.072453703702</v>
      </c>
      <c r="B15" s="1">
        <v>46205</v>
      </c>
      <c r="C15" s="4" t="s">
        <v>2404</v>
      </c>
      <c r="D15" s="4" t="s">
        <v>2405</v>
      </c>
      <c r="E15" s="5" t="s">
        <v>2454</v>
      </c>
      <c r="F15" s="4" t="s">
        <v>2413</v>
      </c>
      <c r="G15" s="4" t="s">
        <v>91</v>
      </c>
      <c r="H15" s="4" t="s">
        <v>2459</v>
      </c>
      <c r="I15" s="4" t="s">
        <v>45</v>
      </c>
      <c r="J15" s="4" t="s">
        <v>33</v>
      </c>
      <c r="K15" s="4" t="s">
        <v>2460</v>
      </c>
      <c r="L15" s="4" t="s">
        <v>2411</v>
      </c>
      <c r="M15" s="5" t="s">
        <v>2412</v>
      </c>
      <c r="N15" s="4"/>
      <c r="O15" s="4"/>
      <c r="P15" s="5"/>
      <c r="Q15" s="4"/>
      <c r="R15" s="4"/>
      <c r="S15" s="4"/>
      <c r="T15" s="4"/>
      <c r="U15" s="4"/>
      <c r="V15" s="4"/>
      <c r="W15" s="4"/>
      <c r="X15" s="4"/>
      <c r="Y15" s="4"/>
    </row>
    <row r="16" spans="1:27" hidden="1">
      <c r="A16" s="3">
        <v>46206.074583333299</v>
      </c>
      <c r="B16" s="1">
        <v>46205</v>
      </c>
      <c r="C16" s="4" t="s">
        <v>2404</v>
      </c>
      <c r="D16" s="4" t="s">
        <v>2405</v>
      </c>
      <c r="E16" s="5" t="s">
        <v>1970</v>
      </c>
      <c r="F16" s="4" t="s">
        <v>2413</v>
      </c>
      <c r="G16" s="4" t="s">
        <v>98</v>
      </c>
      <c r="H16" s="4" t="s">
        <v>356</v>
      </c>
      <c r="I16" s="4" t="s">
        <v>117</v>
      </c>
      <c r="J16" s="4" t="s">
        <v>819</v>
      </c>
      <c r="K16" s="4" t="s">
        <v>2461</v>
      </c>
      <c r="L16" s="4" t="s">
        <v>2419</v>
      </c>
      <c r="M16" s="5" t="s">
        <v>2417</v>
      </c>
      <c r="N16" s="4" t="s">
        <v>2462</v>
      </c>
      <c r="O16" s="4" t="s">
        <v>2463</v>
      </c>
      <c r="P16" s="5" t="s">
        <v>2417</v>
      </c>
      <c r="Q16" s="4"/>
      <c r="R16" s="4"/>
      <c r="S16" s="4"/>
      <c r="T16" s="4"/>
      <c r="U16" s="4"/>
      <c r="V16" s="4"/>
      <c r="W16" s="4"/>
      <c r="X16" s="4"/>
      <c r="Y16" s="4"/>
    </row>
    <row r="17" spans="1:25" hidden="1">
      <c r="A17" s="3">
        <v>46206.075810185197</v>
      </c>
      <c r="B17" s="1">
        <v>46205</v>
      </c>
      <c r="C17" s="4" t="s">
        <v>2404</v>
      </c>
      <c r="D17" s="4" t="s">
        <v>2405</v>
      </c>
      <c r="E17" s="5" t="s">
        <v>2464</v>
      </c>
      <c r="F17" s="4" t="s">
        <v>2413</v>
      </c>
      <c r="G17" s="4" t="s">
        <v>44</v>
      </c>
      <c r="H17" s="4" t="s">
        <v>31</v>
      </c>
      <c r="I17" s="4" t="s">
        <v>2422</v>
      </c>
      <c r="J17" s="4" t="s">
        <v>45</v>
      </c>
      <c r="K17" s="4" t="s">
        <v>2465</v>
      </c>
      <c r="L17" s="4" t="s">
        <v>2428</v>
      </c>
      <c r="M17" s="5" t="s">
        <v>2412</v>
      </c>
      <c r="N17" s="4"/>
      <c r="O17" s="4"/>
      <c r="P17" s="5"/>
      <c r="Q17" s="4"/>
      <c r="R17" s="4"/>
      <c r="S17" s="4"/>
      <c r="T17" s="4"/>
      <c r="U17" s="4"/>
      <c r="V17" s="4"/>
      <c r="W17" s="4"/>
      <c r="X17" s="4"/>
      <c r="Y17" s="4"/>
    </row>
    <row r="18" spans="1:25" hidden="1">
      <c r="A18" s="3">
        <v>46206.486157407402</v>
      </c>
      <c r="B18" s="1">
        <v>46206</v>
      </c>
      <c r="C18" s="4" t="s">
        <v>2466</v>
      </c>
      <c r="D18" s="4" t="s">
        <v>2430</v>
      </c>
      <c r="E18" s="5" t="s">
        <v>2467</v>
      </c>
      <c r="F18" s="4" t="s">
        <v>2406</v>
      </c>
      <c r="G18" s="4" t="s">
        <v>2432</v>
      </c>
      <c r="H18" s="4" t="s">
        <v>2468</v>
      </c>
      <c r="I18" s="4" t="s">
        <v>2469</v>
      </c>
      <c r="J18" s="4" t="s">
        <v>45</v>
      </c>
      <c r="K18" s="4" t="s">
        <v>2470</v>
      </c>
      <c r="L18" s="4" t="s">
        <v>2424</v>
      </c>
      <c r="M18" s="5" t="s">
        <v>2417</v>
      </c>
      <c r="N18" s="4"/>
      <c r="O18" s="4"/>
      <c r="P18" s="5"/>
      <c r="Q18" s="4"/>
      <c r="R18" s="4"/>
      <c r="S18" s="4"/>
      <c r="T18" s="4"/>
      <c r="U18" s="4"/>
      <c r="V18" s="4"/>
      <c r="W18" s="4"/>
      <c r="X18" s="4"/>
      <c r="Y18" s="4"/>
    </row>
    <row r="19" spans="1:25" hidden="1">
      <c r="A19" s="3">
        <v>46206.488356481503</v>
      </c>
      <c r="B19" s="1">
        <v>46206</v>
      </c>
      <c r="C19" s="4" t="s">
        <v>2420</v>
      </c>
      <c r="D19" s="4" t="s">
        <v>2430</v>
      </c>
      <c r="E19" s="5" t="s">
        <v>2471</v>
      </c>
      <c r="F19" s="4" t="s">
        <v>2413</v>
      </c>
      <c r="G19" s="4" t="s">
        <v>98</v>
      </c>
      <c r="H19" s="4" t="s">
        <v>2472</v>
      </c>
      <c r="I19" s="4" t="s">
        <v>2473</v>
      </c>
      <c r="J19" s="4" t="s">
        <v>2474</v>
      </c>
      <c r="K19" s="4" t="s">
        <v>2475</v>
      </c>
      <c r="L19" s="4" t="s">
        <v>2424</v>
      </c>
      <c r="M19" s="5" t="s">
        <v>2412</v>
      </c>
      <c r="N19" s="4"/>
      <c r="O19" s="4"/>
      <c r="P19" s="5"/>
      <c r="Q19" s="4"/>
      <c r="R19" s="4"/>
      <c r="S19" s="4"/>
      <c r="T19" s="4"/>
      <c r="U19" s="4"/>
      <c r="V19" s="4"/>
      <c r="W19" s="4"/>
      <c r="X19" s="4"/>
      <c r="Y19" s="4"/>
    </row>
    <row r="20" spans="1:25" hidden="1">
      <c r="A20" s="3">
        <v>46206.490138888897</v>
      </c>
      <c r="B20" s="1">
        <v>46206</v>
      </c>
      <c r="C20" s="4" t="s">
        <v>2476</v>
      </c>
      <c r="D20" s="4" t="s">
        <v>2405</v>
      </c>
      <c r="E20" s="5" t="s">
        <v>1975</v>
      </c>
      <c r="F20" s="4" t="s">
        <v>2406</v>
      </c>
      <c r="G20" s="4" t="s">
        <v>2438</v>
      </c>
      <c r="H20" s="4" t="s">
        <v>1818</v>
      </c>
      <c r="I20" s="4" t="s">
        <v>819</v>
      </c>
      <c r="J20" s="4" t="s">
        <v>33</v>
      </c>
      <c r="K20" s="4" t="s">
        <v>2477</v>
      </c>
      <c r="L20" s="4" t="s">
        <v>2446</v>
      </c>
      <c r="M20" s="5" t="s">
        <v>2417</v>
      </c>
      <c r="N20" s="4"/>
      <c r="O20" s="4"/>
      <c r="P20" s="5"/>
      <c r="Q20" s="4"/>
      <c r="R20" s="4"/>
      <c r="S20" s="4"/>
      <c r="T20" s="4"/>
      <c r="U20" s="4"/>
      <c r="V20" s="4"/>
      <c r="W20" s="4"/>
      <c r="X20" s="4"/>
      <c r="Y20" s="4"/>
    </row>
    <row r="21" spans="1:25" hidden="1">
      <c r="A21" s="3">
        <v>46206.4925</v>
      </c>
      <c r="B21" s="1">
        <v>46206</v>
      </c>
      <c r="C21" s="4" t="s">
        <v>2478</v>
      </c>
      <c r="D21" s="4" t="s">
        <v>2405</v>
      </c>
      <c r="E21" s="5" t="s">
        <v>2015</v>
      </c>
      <c r="F21" s="4" t="s">
        <v>2413</v>
      </c>
      <c r="G21" s="4" t="s">
        <v>91</v>
      </c>
      <c r="H21" s="4" t="s">
        <v>1818</v>
      </c>
      <c r="I21" s="4" t="s">
        <v>2479</v>
      </c>
      <c r="J21" s="4" t="s">
        <v>819</v>
      </c>
      <c r="K21" s="4" t="s">
        <v>2480</v>
      </c>
      <c r="L21" s="4" t="s">
        <v>2481</v>
      </c>
      <c r="M21" s="5" t="s">
        <v>2417</v>
      </c>
      <c r="N21" s="4"/>
      <c r="O21" s="4"/>
      <c r="P21" s="5"/>
      <c r="Q21" s="4"/>
      <c r="R21" s="4"/>
      <c r="S21" s="4"/>
      <c r="T21" s="4"/>
      <c r="U21" s="4"/>
      <c r="V21" s="4"/>
      <c r="W21" s="4"/>
      <c r="X21" s="4"/>
      <c r="Y21" s="4"/>
    </row>
    <row r="22" spans="1:25" hidden="1">
      <c r="A22" s="3">
        <v>46206.493541666699</v>
      </c>
      <c r="B22" s="1">
        <v>46206</v>
      </c>
      <c r="C22" s="4" t="s">
        <v>2420</v>
      </c>
      <c r="D22" s="4" t="s">
        <v>2405</v>
      </c>
      <c r="E22" s="5" t="s">
        <v>2030</v>
      </c>
      <c r="F22" s="4" t="s">
        <v>2426</v>
      </c>
      <c r="G22" s="4" t="s">
        <v>2438</v>
      </c>
      <c r="H22" s="4" t="s">
        <v>331</v>
      </c>
      <c r="I22" s="4" t="s">
        <v>819</v>
      </c>
      <c r="J22" s="4" t="s">
        <v>33</v>
      </c>
      <c r="K22" s="4" t="s">
        <v>2482</v>
      </c>
      <c r="L22" s="4" t="s">
        <v>2416</v>
      </c>
      <c r="M22" s="5" t="s">
        <v>2483</v>
      </c>
      <c r="N22" s="4"/>
      <c r="O22" s="4"/>
      <c r="P22" s="5"/>
      <c r="Q22" s="4"/>
      <c r="R22" s="4"/>
      <c r="S22" s="4"/>
      <c r="T22" s="4"/>
      <c r="U22" s="4"/>
      <c r="V22" s="4"/>
      <c r="W22" s="4"/>
      <c r="X22" s="4"/>
      <c r="Y22" s="4"/>
    </row>
    <row r="23" spans="1:25" hidden="1">
      <c r="A23" s="3">
        <v>46206.495393518497</v>
      </c>
      <c r="B23" s="1">
        <v>46206</v>
      </c>
      <c r="C23" s="4" t="s">
        <v>2420</v>
      </c>
      <c r="D23" s="4" t="s">
        <v>2405</v>
      </c>
      <c r="E23" s="5" t="s">
        <v>2484</v>
      </c>
      <c r="F23" s="4" t="s">
        <v>2406</v>
      </c>
      <c r="G23" s="4" t="s">
        <v>2438</v>
      </c>
      <c r="H23" s="4" t="s">
        <v>22</v>
      </c>
      <c r="I23" s="4" t="s">
        <v>819</v>
      </c>
      <c r="J23" s="4" t="s">
        <v>33</v>
      </c>
      <c r="K23" s="4" t="s">
        <v>2485</v>
      </c>
      <c r="L23" s="4" t="s">
        <v>2419</v>
      </c>
      <c r="M23" s="5" t="s">
        <v>2417</v>
      </c>
      <c r="N23" s="4" t="s">
        <v>2486</v>
      </c>
      <c r="O23" s="4" t="s">
        <v>2446</v>
      </c>
      <c r="P23" s="5" t="s">
        <v>2412</v>
      </c>
      <c r="Q23" s="4"/>
      <c r="R23" s="4"/>
      <c r="S23" s="4"/>
      <c r="T23" s="4"/>
      <c r="U23" s="4"/>
      <c r="V23" s="4"/>
      <c r="W23" s="4"/>
      <c r="X23" s="4"/>
      <c r="Y23" s="4"/>
    </row>
    <row r="24" spans="1:25" hidden="1">
      <c r="A24" s="3">
        <v>46207.080694444398</v>
      </c>
      <c r="B24" s="1">
        <v>46206</v>
      </c>
      <c r="C24" s="4" t="s">
        <v>2404</v>
      </c>
      <c r="D24" s="4" t="s">
        <v>2405</v>
      </c>
      <c r="E24" s="5" t="s">
        <v>2487</v>
      </c>
      <c r="F24" s="4" t="s">
        <v>2426</v>
      </c>
      <c r="G24" s="4" t="s">
        <v>23</v>
      </c>
      <c r="H24" s="4" t="s">
        <v>492</v>
      </c>
      <c r="I24" s="4" t="s">
        <v>2488</v>
      </c>
      <c r="J24" s="4" t="s">
        <v>819</v>
      </c>
      <c r="K24" s="4" t="s">
        <v>2489</v>
      </c>
      <c r="L24" s="4" t="s">
        <v>2446</v>
      </c>
      <c r="M24" s="5" t="s">
        <v>2490</v>
      </c>
      <c r="N24" s="4"/>
      <c r="O24" s="4"/>
      <c r="P24" s="5"/>
      <c r="Q24" s="4"/>
      <c r="R24" s="4"/>
      <c r="S24" s="4"/>
      <c r="T24" s="4"/>
      <c r="U24" s="4"/>
      <c r="V24" s="4"/>
      <c r="W24" s="4"/>
      <c r="X24" s="4"/>
      <c r="Y24" s="4"/>
    </row>
    <row r="25" spans="1:25" hidden="1">
      <c r="A25" s="3">
        <v>46207.081550925897</v>
      </c>
      <c r="B25" s="1">
        <v>46206</v>
      </c>
      <c r="C25" s="4" t="s">
        <v>2404</v>
      </c>
      <c r="D25" s="4" t="s">
        <v>2405</v>
      </c>
      <c r="E25" s="5" t="s">
        <v>2484</v>
      </c>
      <c r="F25" s="4" t="s">
        <v>2413</v>
      </c>
      <c r="G25" s="4" t="s">
        <v>2438</v>
      </c>
      <c r="H25" s="4" t="s">
        <v>492</v>
      </c>
      <c r="I25" s="4" t="s">
        <v>819</v>
      </c>
      <c r="J25" s="4" t="s">
        <v>33</v>
      </c>
      <c r="K25" s="4" t="s">
        <v>2491</v>
      </c>
      <c r="L25" s="4" t="s">
        <v>2419</v>
      </c>
      <c r="M25" s="5" t="s">
        <v>2417</v>
      </c>
      <c r="N25" s="4"/>
      <c r="O25" s="4"/>
      <c r="P25" s="5"/>
      <c r="Q25" s="4"/>
      <c r="R25" s="4"/>
      <c r="S25" s="4"/>
      <c r="T25" s="4"/>
      <c r="U25" s="4"/>
      <c r="V25" s="4"/>
      <c r="W25" s="4"/>
      <c r="X25" s="4"/>
      <c r="Y25" s="4"/>
    </row>
    <row r="26" spans="1:25" hidden="1">
      <c r="A26" s="3">
        <v>46207.083275463003</v>
      </c>
      <c r="B26" s="1">
        <v>46206</v>
      </c>
      <c r="C26" s="4" t="s">
        <v>2404</v>
      </c>
      <c r="D26" s="4" t="s">
        <v>2405</v>
      </c>
      <c r="E26" s="5" t="s">
        <v>2015</v>
      </c>
      <c r="F26" s="4" t="s">
        <v>2413</v>
      </c>
      <c r="G26" s="4" t="s">
        <v>91</v>
      </c>
      <c r="H26" s="4" t="s">
        <v>2492</v>
      </c>
      <c r="I26" s="4" t="s">
        <v>2488</v>
      </c>
      <c r="J26" s="4" t="s">
        <v>819</v>
      </c>
      <c r="K26" s="4" t="s">
        <v>2493</v>
      </c>
      <c r="L26" s="4" t="s">
        <v>2446</v>
      </c>
      <c r="M26" s="5" t="s">
        <v>2412</v>
      </c>
      <c r="N26" s="4"/>
      <c r="O26" s="4"/>
      <c r="P26" s="5"/>
      <c r="Q26" s="4"/>
      <c r="R26" s="4"/>
      <c r="S26" s="4"/>
      <c r="T26" s="4"/>
      <c r="U26" s="4"/>
      <c r="V26" s="4"/>
      <c r="W26" s="4"/>
      <c r="X26" s="4"/>
      <c r="Y26" s="4"/>
    </row>
    <row r="27" spans="1:25" hidden="1">
      <c r="A27" s="3">
        <v>46207.575555555559</v>
      </c>
      <c r="B27" s="1">
        <v>46207</v>
      </c>
      <c r="C27" s="4" t="s">
        <v>2494</v>
      </c>
      <c r="D27" s="4" t="s">
        <v>2430</v>
      </c>
      <c r="E27" s="5" t="s">
        <v>186</v>
      </c>
      <c r="F27" s="4" t="s">
        <v>2426</v>
      </c>
      <c r="G27" s="4" t="s">
        <v>2495</v>
      </c>
      <c r="H27" s="4" t="s">
        <v>2496</v>
      </c>
      <c r="I27" s="4" t="s">
        <v>2497</v>
      </c>
      <c r="J27" s="4" t="s">
        <v>2498</v>
      </c>
      <c r="K27" s="4" t="s">
        <v>2499</v>
      </c>
      <c r="L27" s="4" t="s">
        <v>2416</v>
      </c>
      <c r="M27" s="5" t="s">
        <v>2412</v>
      </c>
      <c r="N27" s="4" t="s">
        <v>2500</v>
      </c>
      <c r="O27" s="4" t="s">
        <v>2416</v>
      </c>
      <c r="P27" s="5" t="s">
        <v>2412</v>
      </c>
      <c r="Q27" s="4"/>
      <c r="R27" s="4"/>
      <c r="S27" s="4"/>
      <c r="T27" s="4"/>
      <c r="U27" s="4"/>
      <c r="V27" s="4"/>
      <c r="W27" s="4"/>
      <c r="X27" s="4"/>
      <c r="Y27" s="4"/>
    </row>
    <row r="28" spans="1:25" hidden="1">
      <c r="A28" s="3">
        <v>46207.619143518517</v>
      </c>
      <c r="B28" s="1">
        <v>46207</v>
      </c>
      <c r="C28" s="4" t="s">
        <v>2420</v>
      </c>
      <c r="D28" s="4" t="s">
        <v>2405</v>
      </c>
      <c r="E28" s="5" t="s">
        <v>2501</v>
      </c>
      <c r="F28" s="4" t="s">
        <v>2406</v>
      </c>
      <c r="G28" s="4" t="s">
        <v>44</v>
      </c>
      <c r="H28" s="4" t="s">
        <v>31</v>
      </c>
      <c r="I28" s="4" t="s">
        <v>2002</v>
      </c>
      <c r="J28" s="4" t="s">
        <v>61</v>
      </c>
      <c r="K28" s="4" t="s">
        <v>2502</v>
      </c>
      <c r="L28" s="4" t="s">
        <v>2411</v>
      </c>
      <c r="M28" s="5" t="s">
        <v>2490</v>
      </c>
      <c r="N28" s="4"/>
      <c r="O28" s="4"/>
      <c r="P28" s="5"/>
      <c r="Q28" s="4"/>
      <c r="R28" s="4"/>
      <c r="S28" s="4"/>
      <c r="T28" s="4"/>
      <c r="U28" s="4"/>
      <c r="V28" s="4"/>
      <c r="W28" s="4"/>
      <c r="X28" s="4"/>
      <c r="Y28" s="4"/>
    </row>
    <row r="29" spans="1:25" hidden="1">
      <c r="A29" s="3">
        <v>46207.620578703703</v>
      </c>
      <c r="B29" s="1">
        <v>46207</v>
      </c>
      <c r="C29" s="4" t="s">
        <v>2420</v>
      </c>
      <c r="D29" s="4" t="s">
        <v>2405</v>
      </c>
      <c r="E29" s="5" t="s">
        <v>2052</v>
      </c>
      <c r="F29" s="4" t="s">
        <v>2406</v>
      </c>
      <c r="G29" s="4" t="s">
        <v>2438</v>
      </c>
      <c r="H29" s="4" t="s">
        <v>191</v>
      </c>
      <c r="I29" s="4" t="s">
        <v>896</v>
      </c>
      <c r="J29" s="4" t="s">
        <v>33</v>
      </c>
      <c r="K29" s="4" t="s">
        <v>2503</v>
      </c>
      <c r="L29" s="4" t="s">
        <v>2419</v>
      </c>
      <c r="M29" s="5" t="s">
        <v>2412</v>
      </c>
      <c r="N29" s="4"/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</row>
    <row r="30" spans="1:25" hidden="1">
      <c r="A30" s="3">
        <v>46207.839560185188</v>
      </c>
      <c r="B30" s="1">
        <v>46207</v>
      </c>
      <c r="C30" s="4" t="s">
        <v>2404</v>
      </c>
      <c r="D30" s="4" t="s">
        <v>2405</v>
      </c>
      <c r="E30" s="5" t="s">
        <v>2504</v>
      </c>
      <c r="F30" s="4" t="s">
        <v>2406</v>
      </c>
      <c r="G30" s="4" t="s">
        <v>23</v>
      </c>
      <c r="H30" s="4" t="s">
        <v>492</v>
      </c>
      <c r="I30" s="4" t="s">
        <v>2488</v>
      </c>
      <c r="J30" s="4" t="s">
        <v>33</v>
      </c>
      <c r="K30" s="4" t="s">
        <v>2493</v>
      </c>
      <c r="L30" s="4" t="s">
        <v>2463</v>
      </c>
      <c r="M30" s="5" t="s">
        <v>2412</v>
      </c>
      <c r="N30" s="4"/>
      <c r="O30" s="4"/>
      <c r="P30" s="5"/>
      <c r="Q30" s="4"/>
      <c r="R30" s="4"/>
      <c r="S30" s="4"/>
      <c r="T30" s="4"/>
      <c r="U30" s="4"/>
      <c r="V30" s="4"/>
      <c r="W30" s="4"/>
      <c r="X30" s="4"/>
      <c r="Y30" s="4"/>
    </row>
    <row r="31" spans="1:25" hidden="1">
      <c r="A31" s="3">
        <v>46207.84238425926</v>
      </c>
      <c r="B31" s="1">
        <v>46207</v>
      </c>
      <c r="C31" s="4" t="s">
        <v>2404</v>
      </c>
      <c r="D31" s="4" t="s">
        <v>2405</v>
      </c>
      <c r="E31" s="5" t="s">
        <v>2052</v>
      </c>
      <c r="F31" s="4" t="s">
        <v>2413</v>
      </c>
      <c r="G31" s="4" t="s">
        <v>2438</v>
      </c>
      <c r="H31" s="4" t="s">
        <v>492</v>
      </c>
      <c r="I31" s="4" t="s">
        <v>896</v>
      </c>
      <c r="J31" s="4" t="s">
        <v>33</v>
      </c>
      <c r="K31" s="4" t="s">
        <v>2505</v>
      </c>
      <c r="L31" s="4" t="s">
        <v>2428</v>
      </c>
      <c r="M31" s="5" t="s">
        <v>2417</v>
      </c>
      <c r="N31" s="4" t="s">
        <v>2506</v>
      </c>
      <c r="O31" s="4" t="s">
        <v>2446</v>
      </c>
      <c r="P31" s="5" t="s">
        <v>2417</v>
      </c>
      <c r="Q31" s="4" t="s">
        <v>2507</v>
      </c>
      <c r="R31" s="4" t="s">
        <v>2419</v>
      </c>
      <c r="S31" s="4" t="s">
        <v>2417</v>
      </c>
      <c r="T31" s="4"/>
      <c r="U31" s="4"/>
      <c r="V31" s="4"/>
      <c r="W31" s="4"/>
      <c r="X31" s="4"/>
      <c r="Y31" s="4"/>
    </row>
    <row r="32" spans="1:25">
      <c r="A32" s="3">
        <v>46209.929108796299</v>
      </c>
      <c r="B32" s="1">
        <v>46210</v>
      </c>
      <c r="C32" s="4" t="s">
        <v>2404</v>
      </c>
      <c r="D32" s="4" t="s">
        <v>2405</v>
      </c>
      <c r="E32" s="5" t="s">
        <v>2147</v>
      </c>
      <c r="F32" s="4" t="s">
        <v>2406</v>
      </c>
      <c r="G32" s="4" t="s">
        <v>98</v>
      </c>
      <c r="H32" s="4" t="s">
        <v>2407</v>
      </c>
      <c r="I32" s="4" t="s">
        <v>45</v>
      </c>
      <c r="J32" s="4" t="s">
        <v>2488</v>
      </c>
      <c r="K32" s="4" t="s">
        <v>2508</v>
      </c>
      <c r="L32" s="4" t="s">
        <v>2509</v>
      </c>
      <c r="M32" s="5" t="s">
        <v>2417</v>
      </c>
      <c r="N32" s="4"/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</row>
    <row r="33" spans="1:25">
      <c r="A33" s="3">
        <v>46209.930208333331</v>
      </c>
      <c r="B33" s="1">
        <v>46209</v>
      </c>
      <c r="C33" s="4" t="s">
        <v>2404</v>
      </c>
      <c r="D33" s="4" t="s">
        <v>2405</v>
      </c>
      <c r="E33" s="5" t="s">
        <v>2157</v>
      </c>
      <c r="F33" s="4" t="s">
        <v>2413</v>
      </c>
      <c r="G33" s="4" t="s">
        <v>2438</v>
      </c>
      <c r="H33" s="4" t="s">
        <v>492</v>
      </c>
      <c r="I33" s="4" t="s">
        <v>896</v>
      </c>
      <c r="J33" s="4" t="s">
        <v>2488</v>
      </c>
      <c r="K33" s="4" t="s">
        <v>2510</v>
      </c>
      <c r="L33" s="4" t="s">
        <v>2419</v>
      </c>
      <c r="M33" s="5" t="s">
        <v>2417</v>
      </c>
      <c r="N33" s="4"/>
      <c r="O33" s="4"/>
      <c r="P33" s="5"/>
      <c r="Q33" s="4"/>
      <c r="R33" s="4"/>
      <c r="S33" s="4"/>
      <c r="T33" s="4"/>
      <c r="U33" s="4"/>
      <c r="V33" s="4"/>
      <c r="W33" s="4"/>
      <c r="X33" s="4"/>
      <c r="Y33" s="4"/>
    </row>
    <row r="34" spans="1:25">
      <c r="A34" s="3">
        <v>46209.931493055556</v>
      </c>
      <c r="B34" s="1">
        <v>46209</v>
      </c>
      <c r="C34" s="4" t="s">
        <v>2404</v>
      </c>
      <c r="D34" s="4" t="s">
        <v>2405</v>
      </c>
      <c r="E34" s="5" t="s">
        <v>2155</v>
      </c>
      <c r="F34" s="4" t="s">
        <v>2406</v>
      </c>
      <c r="G34" s="4" t="s">
        <v>23</v>
      </c>
      <c r="H34" s="4" t="s">
        <v>492</v>
      </c>
      <c r="I34" s="4" t="s">
        <v>2488</v>
      </c>
      <c r="J34" s="4" t="s">
        <v>33</v>
      </c>
      <c r="K34" s="4" t="s">
        <v>2511</v>
      </c>
      <c r="L34" s="4" t="s">
        <v>2446</v>
      </c>
      <c r="M34" s="5" t="s">
        <v>2417</v>
      </c>
      <c r="N34" s="4"/>
      <c r="O34" s="4"/>
      <c r="P34" s="5"/>
      <c r="Q34" s="4"/>
      <c r="R34" s="4"/>
      <c r="S34" s="4"/>
      <c r="T34" s="4"/>
      <c r="U34" s="4"/>
      <c r="V34" s="4"/>
      <c r="W34" s="4"/>
      <c r="X34" s="4"/>
      <c r="Y34" s="4"/>
    </row>
    <row r="35" spans="1:25">
      <c r="A35" s="3">
        <v>46210.84747685185</v>
      </c>
      <c r="B35" s="1">
        <v>46210</v>
      </c>
      <c r="C35" s="4" t="s">
        <v>2512</v>
      </c>
      <c r="D35" s="4" t="s">
        <v>2405</v>
      </c>
      <c r="E35" s="5" t="s">
        <v>2213</v>
      </c>
      <c r="F35" s="4" t="s">
        <v>2406</v>
      </c>
      <c r="G35" s="4" t="s">
        <v>23</v>
      </c>
      <c r="H35" s="4" t="s">
        <v>2407</v>
      </c>
      <c r="I35" s="4" t="s">
        <v>896</v>
      </c>
      <c r="J35" s="4" t="s">
        <v>45</v>
      </c>
      <c r="K35" s="4" t="s">
        <v>2513</v>
      </c>
      <c r="L35" s="4" t="s">
        <v>2409</v>
      </c>
      <c r="M35" s="5" t="s">
        <v>2412</v>
      </c>
      <c r="N35" s="4" t="s">
        <v>2514</v>
      </c>
      <c r="O35" s="4" t="s">
        <v>2463</v>
      </c>
      <c r="P35" s="5" t="s">
        <v>2417</v>
      </c>
      <c r="Q35" s="4"/>
      <c r="R35" s="4"/>
      <c r="S35" s="4"/>
      <c r="T35" s="4"/>
      <c r="U35" s="4"/>
      <c r="V35" s="4"/>
      <c r="W35" s="4"/>
      <c r="X35" s="4"/>
      <c r="Y35" s="4"/>
    </row>
    <row r="36" spans="1:25">
      <c r="A36" s="3">
        <v>46210.848657407405</v>
      </c>
      <c r="B36" s="1">
        <v>46210</v>
      </c>
      <c r="C36" s="4" t="s">
        <v>2512</v>
      </c>
      <c r="D36" s="4" t="s">
        <v>2405</v>
      </c>
      <c r="E36" s="5" t="s">
        <v>2223</v>
      </c>
      <c r="F36" s="4" t="s">
        <v>2406</v>
      </c>
      <c r="G36" s="4" t="s">
        <v>2414</v>
      </c>
      <c r="H36" s="4" t="s">
        <v>2407</v>
      </c>
      <c r="I36" s="4" t="s">
        <v>2488</v>
      </c>
      <c r="J36" s="4" t="s">
        <v>2488</v>
      </c>
      <c r="K36" s="4" t="s">
        <v>2515</v>
      </c>
      <c r="L36" s="4" t="s">
        <v>2463</v>
      </c>
      <c r="M36" s="5" t="s">
        <v>2417</v>
      </c>
      <c r="N36" s="4"/>
      <c r="O36" s="4"/>
      <c r="P36" s="5"/>
      <c r="Q36" s="4"/>
      <c r="R36" s="4"/>
      <c r="S36" s="4"/>
      <c r="T36" s="4"/>
      <c r="U36" s="4"/>
      <c r="V36" s="4"/>
      <c r="W36" s="4"/>
      <c r="X36" s="4"/>
      <c r="Y36" s="4"/>
    </row>
    <row r="37" spans="1:25">
      <c r="A37" s="3">
        <v>46210.849756944444</v>
      </c>
      <c r="B37" s="1">
        <v>46210</v>
      </c>
      <c r="C37" s="4" t="s">
        <v>2512</v>
      </c>
      <c r="D37" s="4" t="s">
        <v>2405</v>
      </c>
      <c r="E37" s="5" t="s">
        <v>2211</v>
      </c>
      <c r="F37" s="4" t="s">
        <v>2413</v>
      </c>
      <c r="G37" s="4" t="s">
        <v>2438</v>
      </c>
      <c r="H37" s="4" t="s">
        <v>492</v>
      </c>
      <c r="I37" s="4" t="s">
        <v>896</v>
      </c>
      <c r="J37" s="4" t="s">
        <v>45</v>
      </c>
      <c r="K37" s="4" t="s">
        <v>2516</v>
      </c>
      <c r="L37" s="4" t="s">
        <v>2419</v>
      </c>
      <c r="M37" s="5" t="s">
        <v>2417</v>
      </c>
      <c r="N37" s="4"/>
      <c r="O37" s="4"/>
      <c r="P37" s="5"/>
      <c r="Q37" s="4"/>
      <c r="R37" s="4"/>
      <c r="S37" s="4"/>
      <c r="T37" s="4"/>
      <c r="U37" s="4"/>
      <c r="V37" s="4"/>
      <c r="W37" s="4"/>
      <c r="X37" s="4"/>
      <c r="Y37" s="4"/>
    </row>
    <row r="38" spans="1:25">
      <c r="A38" s="3">
        <v>46211.925069444442</v>
      </c>
      <c r="B38" s="1">
        <v>46212</v>
      </c>
      <c r="C38" s="4" t="s">
        <v>2512</v>
      </c>
      <c r="D38" s="4" t="s">
        <v>2405</v>
      </c>
      <c r="E38" s="5" t="s">
        <v>2262</v>
      </c>
      <c r="F38" s="4" t="s">
        <v>2413</v>
      </c>
      <c r="G38" s="4" t="s">
        <v>2438</v>
      </c>
      <c r="H38" s="4" t="s">
        <v>492</v>
      </c>
      <c r="I38" s="4" t="s">
        <v>896</v>
      </c>
      <c r="J38" s="4" t="s">
        <v>2488</v>
      </c>
      <c r="K38" s="4" t="s">
        <v>2517</v>
      </c>
      <c r="L38" s="4" t="s">
        <v>2411</v>
      </c>
      <c r="M38" s="5" t="s">
        <v>2417</v>
      </c>
      <c r="N38" s="4"/>
      <c r="O38" s="4"/>
      <c r="P38" s="5"/>
      <c r="Q38" s="4"/>
      <c r="R38" s="4"/>
      <c r="S38" s="4"/>
      <c r="T38" s="4"/>
      <c r="U38" s="4"/>
      <c r="V38" s="4"/>
      <c r="W38" s="4"/>
      <c r="X38" s="4"/>
      <c r="Y38" s="4"/>
    </row>
    <row r="39" spans="1:25">
      <c r="A39" s="3">
        <v>46212.855138888888</v>
      </c>
      <c r="B39" s="1">
        <v>46213</v>
      </c>
      <c r="C39" s="4" t="s">
        <v>2512</v>
      </c>
      <c r="D39" s="4" t="s">
        <v>2405</v>
      </c>
      <c r="E39" s="5" t="s">
        <v>2296</v>
      </c>
      <c r="F39" s="4" t="s">
        <v>2413</v>
      </c>
      <c r="G39" s="4" t="s">
        <v>2438</v>
      </c>
      <c r="H39" s="4" t="s">
        <v>492</v>
      </c>
      <c r="I39" s="4" t="s">
        <v>117</v>
      </c>
      <c r="J39" s="4" t="s">
        <v>2488</v>
      </c>
      <c r="K39" s="4" t="s">
        <v>2518</v>
      </c>
      <c r="L39" s="4" t="s">
        <v>2419</v>
      </c>
      <c r="M39" s="5" t="s">
        <v>2417</v>
      </c>
      <c r="N39" s="4" t="s">
        <v>2519</v>
      </c>
      <c r="O39" s="4" t="s">
        <v>2409</v>
      </c>
      <c r="P39" s="5" t="s">
        <v>2412</v>
      </c>
      <c r="Q39" s="4" t="s">
        <v>2520</v>
      </c>
      <c r="R39" s="4" t="s">
        <v>2419</v>
      </c>
      <c r="S39" s="4" t="s">
        <v>2417</v>
      </c>
      <c r="T39" s="4" t="s">
        <v>2521</v>
      </c>
      <c r="U39" s="4" t="s">
        <v>2446</v>
      </c>
      <c r="V39" s="4"/>
      <c r="W39" s="4"/>
      <c r="X39" s="4"/>
      <c r="Y39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D2A2-AC99-4356-8009-F3EEF8343312}">
  <dimension ref="A1:K8"/>
  <sheetViews>
    <sheetView tabSelected="1" workbookViewId="0">
      <selection activeCell="G1" sqref="G1:K6"/>
    </sheetView>
  </sheetViews>
  <sheetFormatPr defaultRowHeight="15"/>
  <cols>
    <col min="4" max="4" width="45.85546875" bestFit="1" customWidth="1"/>
    <col min="8" max="8" width="11.42578125" bestFit="1" customWidth="1"/>
    <col min="10" max="10" width="45.85546875" bestFit="1" customWidth="1"/>
  </cols>
  <sheetData>
    <row r="1" spans="1:11">
      <c r="G1" s="9">
        <v>46210</v>
      </c>
      <c r="H1" s="10" t="s">
        <v>2522</v>
      </c>
      <c r="I1" s="10" t="s">
        <v>2523</v>
      </c>
      <c r="J1" s="10" t="s">
        <v>2524</v>
      </c>
      <c r="K1" s="12" t="s">
        <v>2525</v>
      </c>
    </row>
    <row r="2" spans="1:11">
      <c r="G2" s="9">
        <v>46210</v>
      </c>
      <c r="H2" s="10" t="s">
        <v>2526</v>
      </c>
      <c r="I2" s="10" t="s">
        <v>2527</v>
      </c>
      <c r="J2" s="10" t="s">
        <v>2528</v>
      </c>
      <c r="K2" s="11" t="s">
        <v>2529</v>
      </c>
    </row>
    <row r="3" spans="1:11">
      <c r="A3" s="9">
        <v>46210</v>
      </c>
      <c r="B3" s="10" t="s">
        <v>2530</v>
      </c>
      <c r="C3" s="10" t="s">
        <v>2531</v>
      </c>
      <c r="D3" s="10" t="s">
        <v>2532</v>
      </c>
      <c r="E3" s="13" t="s">
        <v>2533</v>
      </c>
      <c r="G3" s="9">
        <v>46210</v>
      </c>
      <c r="H3" s="10" t="s">
        <v>2534</v>
      </c>
      <c r="I3" s="10" t="s">
        <v>2523</v>
      </c>
      <c r="J3" s="10" t="s">
        <v>2524</v>
      </c>
      <c r="K3" s="14" t="s">
        <v>2535</v>
      </c>
    </row>
    <row r="4" spans="1:11">
      <c r="A4" s="9">
        <v>46210</v>
      </c>
      <c r="B4" s="10" t="s">
        <v>825</v>
      </c>
      <c r="C4" s="10" t="s">
        <v>2536</v>
      </c>
      <c r="D4" s="10" t="s">
        <v>2537</v>
      </c>
      <c r="E4" s="14" t="s">
        <v>2535</v>
      </c>
      <c r="G4" s="9">
        <v>46210</v>
      </c>
      <c r="H4" s="10" t="s">
        <v>2538</v>
      </c>
      <c r="I4" s="10" t="s">
        <v>2527</v>
      </c>
      <c r="J4" s="10" t="s">
        <v>2528</v>
      </c>
      <c r="K4" s="12" t="s">
        <v>2525</v>
      </c>
    </row>
    <row r="5" spans="1:11">
      <c r="A5" s="9">
        <v>46210</v>
      </c>
      <c r="B5" s="10" t="s">
        <v>2184</v>
      </c>
      <c r="C5" s="10" t="s">
        <v>2523</v>
      </c>
      <c r="D5" s="10" t="s">
        <v>2524</v>
      </c>
      <c r="E5" s="14" t="s">
        <v>2535</v>
      </c>
      <c r="G5" s="9">
        <v>46210</v>
      </c>
      <c r="H5" s="10" t="s">
        <v>2539</v>
      </c>
      <c r="I5" s="10" t="s">
        <v>2531</v>
      </c>
      <c r="J5" s="10" t="s">
        <v>2532</v>
      </c>
      <c r="K5" s="14" t="s">
        <v>2535</v>
      </c>
    </row>
    <row r="6" spans="1:11">
      <c r="A6" s="9">
        <v>46210</v>
      </c>
      <c r="B6" s="10" t="s">
        <v>2540</v>
      </c>
      <c r="C6" s="10" t="s">
        <v>2527</v>
      </c>
      <c r="D6" s="10" t="s">
        <v>2528</v>
      </c>
      <c r="E6" s="14" t="s">
        <v>2535</v>
      </c>
      <c r="G6" s="9">
        <v>46210</v>
      </c>
      <c r="H6" s="10" t="s">
        <v>2541</v>
      </c>
      <c r="I6" s="10" t="s">
        <v>2527</v>
      </c>
      <c r="J6" s="10" t="s">
        <v>2528</v>
      </c>
      <c r="K6" s="14" t="s">
        <v>2535</v>
      </c>
    </row>
    <row r="7" spans="1:11">
      <c r="A7" s="9">
        <v>46210</v>
      </c>
      <c r="B7" s="10" t="s">
        <v>2429</v>
      </c>
      <c r="C7" s="10" t="s">
        <v>2531</v>
      </c>
      <c r="D7" s="10" t="s">
        <v>2532</v>
      </c>
      <c r="E7" s="12" t="s">
        <v>2525</v>
      </c>
    </row>
    <row r="8" spans="1:11">
      <c r="A8" s="9">
        <v>46210</v>
      </c>
      <c r="B8" s="10" t="s">
        <v>2542</v>
      </c>
      <c r="C8" s="10" t="s">
        <v>2536</v>
      </c>
      <c r="D8" s="10" t="s">
        <v>2537</v>
      </c>
      <c r="E8" s="13" t="s">
        <v>2533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F794-91F1-4269-9C83-206A710F4396}">
  <dimension ref="A1:I7"/>
  <sheetViews>
    <sheetView workbookViewId="0">
      <selection activeCell="F4" sqref="F4"/>
    </sheetView>
  </sheetViews>
  <sheetFormatPr defaultRowHeight="15"/>
  <cols>
    <col min="1" max="2" width="14" customWidth="1"/>
    <col min="3" max="3" width="15.7109375" customWidth="1"/>
    <col min="4" max="10" width="14" customWidth="1"/>
  </cols>
  <sheetData>
    <row r="1" spans="1:9" ht="33.75" customHeight="1">
      <c r="A1" s="6" t="s">
        <v>2543</v>
      </c>
      <c r="B1" s="6" t="s">
        <v>2544</v>
      </c>
      <c r="C1" s="7" t="s">
        <v>2545</v>
      </c>
      <c r="D1" s="6" t="s">
        <v>2546</v>
      </c>
      <c r="E1" s="6" t="s">
        <v>2547</v>
      </c>
      <c r="F1" s="6" t="s">
        <v>2548</v>
      </c>
      <c r="G1" s="6" t="s">
        <v>2549</v>
      </c>
      <c r="H1" s="6" t="s">
        <v>2550</v>
      </c>
      <c r="I1" s="6" t="s">
        <v>2551</v>
      </c>
    </row>
    <row r="2" spans="1:9">
      <c r="A2">
        <f>'[1]PTW Record'!$Q$3</f>
        <v>2907</v>
      </c>
      <c r="B2">
        <f>'[1]PTW Record'!$R$3</f>
        <v>2832</v>
      </c>
      <c r="C2">
        <f>'PTW Audit'!AA2</f>
        <v>33</v>
      </c>
      <c r="D2" s="4">
        <f>COUNTA(PTWAuditTable[1st Observation])+COUNTA(PTWAuditTable[2nd Observation])+COUNTA(PTWAuditTable[3rd Observation])+COUNTA(PTWAuditTable[4th Observation])+COUNTA(PTWAuditTable[5th Observation])</f>
        <v>53</v>
      </c>
      <c r="E2" cm="1">
        <f t="array" ref="E2">SUMPRODUCT(--(VALUE(PTWAuditTable[1st Severity])&gt;=4))+SUMPRODUCT(--(VALUE(PTWAuditTable[2nd Severity])&gt;=4))+SUMPRODUCT(--(VALUE(PTWAuditTable[3rd Severity])&gt;=4))+SUMPRODUCT(--(VALUE(PTWAuditTable[4th Severity])&gt;=4))+SUMPRODUCT(--(VALUE(PTWAuditTable[5th Severity])&gt;=4))</f>
        <v>2</v>
      </c>
      <c r="F2" s="4">
        <f>((A2-D2)/(A2))*100</f>
        <v>98.176814585483314</v>
      </c>
      <c r="G2">
        <f>'[1]PTW Record'!$S$3</f>
        <v>321</v>
      </c>
      <c r="H2">
        <f>'[1]PTW Record'!$T$3</f>
        <v>314</v>
      </c>
      <c r="I2">
        <f>'[1]PTW Record'!$U$3</f>
        <v>22</v>
      </c>
    </row>
    <row r="4" spans="1:9" ht="14.45" customHeight="1">
      <c r="A4" s="16" t="s">
        <v>2552</v>
      </c>
      <c r="B4" s="16"/>
      <c r="C4" t="s">
        <v>2553</v>
      </c>
      <c r="D4" t="s">
        <v>2554</v>
      </c>
    </row>
    <row r="5" spans="1:9">
      <c r="A5" s="8" t="str">
        <f>ContractorObs!E2</f>
        <v>Fluidline</v>
      </c>
      <c r="B5" s="8">
        <f>ContractorObs!F2</f>
        <v>19</v>
      </c>
      <c r="C5" t="str">
        <f>HighRiskObs!F2</f>
        <v xml:space="preserve">Person standing on block at height unsafe </v>
      </c>
      <c r="D5" t="str">
        <f>HighRiskObs!C3</f>
        <v>Behavioral Issue -Unsafe Act</v>
      </c>
    </row>
    <row r="6" spans="1:9">
      <c r="A6" s="8" t="str">
        <f>ContractorObs!E3</f>
        <v>Crescon</v>
      </c>
      <c r="B6" s="8">
        <f>ContractorObs!F3</f>
        <v>11</v>
      </c>
      <c r="C6" t="str">
        <f>HighRiskObs!F3</f>
        <v xml:space="preserve">Lifting aLifting activity started without protecting the electrical panel. </v>
      </c>
      <c r="D6" t="str">
        <f>HighRiskObs!C4</f>
        <v>Electrical safety</v>
      </c>
    </row>
    <row r="7" spans="1:9">
      <c r="A7" s="8" t="str">
        <f>ContractorObs!E4</f>
        <v>CCEPL</v>
      </c>
      <c r="B7" s="8">
        <f>ContractorObs!F4</f>
        <v>5</v>
      </c>
      <c r="C7" t="str">
        <f>HighRiskObs!F4</f>
        <v/>
      </c>
      <c r="D7">
        <f>HighRiskObs!C5</f>
        <v>0</v>
      </c>
    </row>
  </sheetData>
  <mergeCells count="1">
    <mergeCell ref="A4:B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183F-F7E5-4832-8C30-A550DC591B67}">
  <dimension ref="A1"/>
  <sheetViews>
    <sheetView workbookViewId="0"/>
  </sheetViews>
  <sheetFormatPr defaultRowHeight="1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cceda3-bb16-4686-a971-9fe5d13243fd}" enabled="1" method="Standard" siteId="{4720ed5e-c545-46eb-99a5-958dd333e9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2026-05-28T07:08:44Z</dcterms:created>
  <dcterms:modified xsi:type="dcterms:W3CDTF">2026-07-10T18:04:06Z</dcterms:modified>
  <cp:category/>
  <cp:contentStatus/>
</cp:coreProperties>
</file>